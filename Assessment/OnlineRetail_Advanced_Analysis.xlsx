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8E8EB190-0741-440D-80FA-143520E24C55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Dashboard" sheetId="1" r:id="rId1"/>
    <sheet name="Data_Profile" sheetId="2" r:id="rId2"/>
    <sheet name="Hourly_Pivot_AOV" sheetId="3" r:id="rId3"/>
    <sheet name="Pareto_Analysis" sheetId="4" r:id="rId4"/>
    <sheet name="TimeSeries_Forecast" sheetId="5" r:id="rId5"/>
    <sheet name="Submission_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" i="5" l="1"/>
  <c r="G4167" i="4"/>
  <c r="H4167" i="4" s="1"/>
  <c r="G4166" i="4"/>
  <c r="H4166" i="4" s="1"/>
  <c r="G4165" i="4"/>
  <c r="H4165" i="4" s="1"/>
  <c r="G4164" i="4"/>
  <c r="H4164" i="4" s="1"/>
  <c r="G4163" i="4"/>
  <c r="H4163" i="4" s="1"/>
  <c r="G4162" i="4"/>
  <c r="H4162" i="4" s="1"/>
  <c r="G4161" i="4"/>
  <c r="H4161" i="4" s="1"/>
  <c r="G4160" i="4"/>
  <c r="H4160" i="4" s="1"/>
  <c r="G4159" i="4"/>
  <c r="H4159" i="4" s="1"/>
  <c r="G4158" i="4"/>
  <c r="H4158" i="4" s="1"/>
  <c r="G4157" i="4"/>
  <c r="H4157" i="4" s="1"/>
  <c r="G4156" i="4"/>
  <c r="H4156" i="4" s="1"/>
  <c r="G4155" i="4"/>
  <c r="H4155" i="4" s="1"/>
  <c r="G4154" i="4"/>
  <c r="H4154" i="4" s="1"/>
  <c r="G4153" i="4"/>
  <c r="H4153" i="4" s="1"/>
  <c r="G4152" i="4"/>
  <c r="H4152" i="4" s="1"/>
  <c r="G4151" i="4"/>
  <c r="H4151" i="4" s="1"/>
  <c r="G4150" i="4"/>
  <c r="H4150" i="4" s="1"/>
  <c r="G4149" i="4"/>
  <c r="H4149" i="4" s="1"/>
  <c r="G4148" i="4"/>
  <c r="H4148" i="4" s="1"/>
  <c r="G4147" i="4"/>
  <c r="H4147" i="4" s="1"/>
  <c r="G4146" i="4"/>
  <c r="H4146" i="4" s="1"/>
  <c r="G4145" i="4"/>
  <c r="H4145" i="4" s="1"/>
  <c r="G4144" i="4"/>
  <c r="H4144" i="4" s="1"/>
  <c r="G4143" i="4"/>
  <c r="H4143" i="4" s="1"/>
  <c r="G4142" i="4"/>
  <c r="H4142" i="4" s="1"/>
  <c r="G4141" i="4"/>
  <c r="H4141" i="4" s="1"/>
  <c r="G4140" i="4"/>
  <c r="H4140" i="4" s="1"/>
  <c r="G4139" i="4"/>
  <c r="H4139" i="4" s="1"/>
  <c r="G4138" i="4"/>
  <c r="H4138" i="4" s="1"/>
  <c r="G4137" i="4"/>
  <c r="H4137" i="4" s="1"/>
  <c r="G4136" i="4"/>
  <c r="H4136" i="4" s="1"/>
  <c r="G4135" i="4"/>
  <c r="H4135" i="4" s="1"/>
  <c r="G4134" i="4"/>
  <c r="H4134" i="4" s="1"/>
  <c r="G4133" i="4"/>
  <c r="H4133" i="4" s="1"/>
  <c r="G4132" i="4"/>
  <c r="H4132" i="4" s="1"/>
  <c r="G4131" i="4"/>
  <c r="H4131" i="4" s="1"/>
  <c r="G4130" i="4"/>
  <c r="H4130" i="4" s="1"/>
  <c r="G4129" i="4"/>
  <c r="H4129" i="4" s="1"/>
  <c r="G4128" i="4"/>
  <c r="H4128" i="4" s="1"/>
  <c r="G4127" i="4"/>
  <c r="H4127" i="4" s="1"/>
  <c r="G4126" i="4"/>
  <c r="H4126" i="4" s="1"/>
  <c r="G4125" i="4"/>
  <c r="H4125" i="4" s="1"/>
  <c r="G4124" i="4"/>
  <c r="H4124" i="4" s="1"/>
  <c r="G4123" i="4"/>
  <c r="H4123" i="4" s="1"/>
  <c r="G4122" i="4"/>
  <c r="H4122" i="4" s="1"/>
  <c r="G4121" i="4"/>
  <c r="H4121" i="4" s="1"/>
  <c r="G4120" i="4"/>
  <c r="H4120" i="4" s="1"/>
  <c r="G4119" i="4"/>
  <c r="H4119" i="4" s="1"/>
  <c r="G4118" i="4"/>
  <c r="H4118" i="4" s="1"/>
  <c r="G4117" i="4"/>
  <c r="H4117" i="4" s="1"/>
  <c r="G4116" i="4"/>
  <c r="H4116" i="4" s="1"/>
  <c r="G4115" i="4"/>
  <c r="H4115" i="4" s="1"/>
  <c r="G4114" i="4"/>
  <c r="H4114" i="4" s="1"/>
  <c r="G4113" i="4"/>
  <c r="H4113" i="4" s="1"/>
  <c r="G4112" i="4"/>
  <c r="H4112" i="4" s="1"/>
  <c r="G4111" i="4"/>
  <c r="H4111" i="4" s="1"/>
  <c r="G4110" i="4"/>
  <c r="H4110" i="4" s="1"/>
  <c r="G4109" i="4"/>
  <c r="H4109" i="4" s="1"/>
  <c r="G4108" i="4"/>
  <c r="H4108" i="4" s="1"/>
  <c r="G4107" i="4"/>
  <c r="H4107" i="4" s="1"/>
  <c r="G4106" i="4"/>
  <c r="H4106" i="4" s="1"/>
  <c r="G4105" i="4"/>
  <c r="H4105" i="4" s="1"/>
  <c r="G4104" i="4"/>
  <c r="H4104" i="4" s="1"/>
  <c r="G4103" i="4"/>
  <c r="H4103" i="4" s="1"/>
  <c r="G4102" i="4"/>
  <c r="H4102" i="4" s="1"/>
  <c r="G4101" i="4"/>
  <c r="H4101" i="4" s="1"/>
  <c r="G4100" i="4"/>
  <c r="H4100" i="4" s="1"/>
  <c r="G4099" i="4"/>
  <c r="H4099" i="4" s="1"/>
  <c r="G4098" i="4"/>
  <c r="H4098" i="4" s="1"/>
  <c r="G4097" i="4"/>
  <c r="H4097" i="4" s="1"/>
  <c r="G4096" i="4"/>
  <c r="H4096" i="4" s="1"/>
  <c r="G4095" i="4"/>
  <c r="H4095" i="4" s="1"/>
  <c r="G4094" i="4"/>
  <c r="H4094" i="4" s="1"/>
  <c r="G4093" i="4"/>
  <c r="H4093" i="4" s="1"/>
  <c r="G4092" i="4"/>
  <c r="H4092" i="4" s="1"/>
  <c r="G4091" i="4"/>
  <c r="H4091" i="4" s="1"/>
  <c r="G4090" i="4"/>
  <c r="H4090" i="4" s="1"/>
  <c r="G4089" i="4"/>
  <c r="H4089" i="4" s="1"/>
  <c r="G4088" i="4"/>
  <c r="H4088" i="4" s="1"/>
  <c r="G4087" i="4"/>
  <c r="H4087" i="4" s="1"/>
  <c r="G4086" i="4"/>
  <c r="H4086" i="4" s="1"/>
  <c r="G4085" i="4"/>
  <c r="H4085" i="4" s="1"/>
  <c r="G4084" i="4"/>
  <c r="H4084" i="4" s="1"/>
  <c r="G4083" i="4"/>
  <c r="H4083" i="4" s="1"/>
  <c r="G4082" i="4"/>
  <c r="H4082" i="4" s="1"/>
  <c r="G4081" i="4"/>
  <c r="H4081" i="4" s="1"/>
  <c r="G4080" i="4"/>
  <c r="H4080" i="4" s="1"/>
  <c r="G4079" i="4"/>
  <c r="H4079" i="4" s="1"/>
  <c r="G4078" i="4"/>
  <c r="H4078" i="4" s="1"/>
  <c r="G4077" i="4"/>
  <c r="H4077" i="4" s="1"/>
  <c r="G4076" i="4"/>
  <c r="H4076" i="4" s="1"/>
  <c r="G4075" i="4"/>
  <c r="H4075" i="4" s="1"/>
  <c r="G4074" i="4"/>
  <c r="H4074" i="4" s="1"/>
  <c r="G4073" i="4"/>
  <c r="H4073" i="4" s="1"/>
  <c r="G4072" i="4"/>
  <c r="H4072" i="4" s="1"/>
  <c r="G4071" i="4"/>
  <c r="H4071" i="4" s="1"/>
  <c r="G4070" i="4"/>
  <c r="H4070" i="4" s="1"/>
  <c r="G4069" i="4"/>
  <c r="H4069" i="4" s="1"/>
  <c r="G4068" i="4"/>
  <c r="H4068" i="4" s="1"/>
  <c r="G4067" i="4"/>
  <c r="H4067" i="4" s="1"/>
  <c r="G4066" i="4"/>
  <c r="H4066" i="4" s="1"/>
  <c r="G4065" i="4"/>
  <c r="H4065" i="4" s="1"/>
  <c r="G4064" i="4"/>
  <c r="H4064" i="4" s="1"/>
  <c r="G4063" i="4"/>
  <c r="H4063" i="4" s="1"/>
  <c r="G4062" i="4"/>
  <c r="H4062" i="4" s="1"/>
  <c r="G4061" i="4"/>
  <c r="H4061" i="4" s="1"/>
  <c r="G4060" i="4"/>
  <c r="H4060" i="4" s="1"/>
  <c r="G4059" i="4"/>
  <c r="H4059" i="4" s="1"/>
  <c r="G4058" i="4"/>
  <c r="H4058" i="4" s="1"/>
  <c r="G4057" i="4"/>
  <c r="H4057" i="4" s="1"/>
  <c r="G4056" i="4"/>
  <c r="H4056" i="4" s="1"/>
  <c r="G4055" i="4"/>
  <c r="H4055" i="4" s="1"/>
  <c r="G4054" i="4"/>
  <c r="H4054" i="4" s="1"/>
  <c r="G4053" i="4"/>
  <c r="H4053" i="4" s="1"/>
  <c r="G4052" i="4"/>
  <c r="H4052" i="4" s="1"/>
  <c r="G4051" i="4"/>
  <c r="H4051" i="4" s="1"/>
  <c r="G4050" i="4"/>
  <c r="H4050" i="4" s="1"/>
  <c r="G4049" i="4"/>
  <c r="H4049" i="4" s="1"/>
  <c r="G4048" i="4"/>
  <c r="H4048" i="4" s="1"/>
  <c r="G4047" i="4"/>
  <c r="H4047" i="4" s="1"/>
  <c r="G4046" i="4"/>
  <c r="H4046" i="4" s="1"/>
  <c r="G4045" i="4"/>
  <c r="H4045" i="4" s="1"/>
  <c r="G4044" i="4"/>
  <c r="H4044" i="4" s="1"/>
  <c r="G4043" i="4"/>
  <c r="H4043" i="4" s="1"/>
  <c r="G4042" i="4"/>
  <c r="H4042" i="4" s="1"/>
  <c r="G4041" i="4"/>
  <c r="H4041" i="4" s="1"/>
  <c r="G4040" i="4"/>
  <c r="H4040" i="4" s="1"/>
  <c r="G4039" i="4"/>
  <c r="H4039" i="4" s="1"/>
  <c r="G4038" i="4"/>
  <c r="H4038" i="4" s="1"/>
  <c r="G4037" i="4"/>
  <c r="H4037" i="4" s="1"/>
  <c r="G4036" i="4"/>
  <c r="H4036" i="4" s="1"/>
  <c r="G4035" i="4"/>
  <c r="H4035" i="4" s="1"/>
  <c r="G4034" i="4"/>
  <c r="H4034" i="4" s="1"/>
  <c r="G4033" i="4"/>
  <c r="H4033" i="4" s="1"/>
  <c r="G4032" i="4"/>
  <c r="H4032" i="4" s="1"/>
  <c r="G4031" i="4"/>
  <c r="H4031" i="4" s="1"/>
  <c r="G4030" i="4"/>
  <c r="H4030" i="4" s="1"/>
  <c r="G4029" i="4"/>
  <c r="H4029" i="4" s="1"/>
  <c r="G4028" i="4"/>
  <c r="H4028" i="4" s="1"/>
  <c r="G4027" i="4"/>
  <c r="H4027" i="4" s="1"/>
  <c r="G4026" i="4"/>
  <c r="H4026" i="4" s="1"/>
  <c r="G4025" i="4"/>
  <c r="H4025" i="4" s="1"/>
  <c r="G4024" i="4"/>
  <c r="H4024" i="4" s="1"/>
  <c r="G4023" i="4"/>
  <c r="H4023" i="4" s="1"/>
  <c r="G4022" i="4"/>
  <c r="H4022" i="4" s="1"/>
  <c r="G4021" i="4"/>
  <c r="H4021" i="4" s="1"/>
  <c r="G4020" i="4"/>
  <c r="H4020" i="4" s="1"/>
  <c r="G4019" i="4"/>
  <c r="H4019" i="4" s="1"/>
  <c r="G4018" i="4"/>
  <c r="H4018" i="4" s="1"/>
  <c r="G4017" i="4"/>
  <c r="H4017" i="4" s="1"/>
  <c r="G4016" i="4"/>
  <c r="H4016" i="4" s="1"/>
  <c r="G4015" i="4"/>
  <c r="H4015" i="4" s="1"/>
  <c r="G4014" i="4"/>
  <c r="H4014" i="4" s="1"/>
  <c r="G4013" i="4"/>
  <c r="H4013" i="4" s="1"/>
  <c r="G4012" i="4"/>
  <c r="H4012" i="4" s="1"/>
  <c r="G4011" i="4"/>
  <c r="H4011" i="4" s="1"/>
  <c r="G4010" i="4"/>
  <c r="H4010" i="4" s="1"/>
  <c r="G4009" i="4"/>
  <c r="H4009" i="4" s="1"/>
  <c r="G4008" i="4"/>
  <c r="H4008" i="4" s="1"/>
  <c r="G4007" i="4"/>
  <c r="H4007" i="4" s="1"/>
  <c r="G4006" i="4"/>
  <c r="H4006" i="4" s="1"/>
  <c r="G4005" i="4"/>
  <c r="H4005" i="4" s="1"/>
  <c r="G4004" i="4"/>
  <c r="H4004" i="4" s="1"/>
  <c r="G4003" i="4"/>
  <c r="H4003" i="4" s="1"/>
  <c r="G4002" i="4"/>
  <c r="H4002" i="4" s="1"/>
  <c r="G4001" i="4"/>
  <c r="H4001" i="4" s="1"/>
  <c r="G4000" i="4"/>
  <c r="H4000" i="4" s="1"/>
  <c r="H3999" i="4"/>
  <c r="G3999" i="4"/>
  <c r="G3998" i="4"/>
  <c r="H3998" i="4" s="1"/>
  <c r="G3997" i="4"/>
  <c r="H3997" i="4" s="1"/>
  <c r="G3996" i="4"/>
  <c r="H3996" i="4" s="1"/>
  <c r="H3995" i="4"/>
  <c r="G3995" i="4"/>
  <c r="G3994" i="4"/>
  <c r="H3994" i="4" s="1"/>
  <c r="G3993" i="4"/>
  <c r="H3993" i="4" s="1"/>
  <c r="G3992" i="4"/>
  <c r="H3992" i="4" s="1"/>
  <c r="G3991" i="4"/>
  <c r="H3991" i="4" s="1"/>
  <c r="G3990" i="4"/>
  <c r="H3990" i="4" s="1"/>
  <c r="G3989" i="4"/>
  <c r="H3989" i="4" s="1"/>
  <c r="G3988" i="4"/>
  <c r="H3988" i="4" s="1"/>
  <c r="H3987" i="4"/>
  <c r="G3987" i="4"/>
  <c r="G3986" i="4"/>
  <c r="H3986" i="4" s="1"/>
  <c r="G3985" i="4"/>
  <c r="H3985" i="4" s="1"/>
  <c r="G3984" i="4"/>
  <c r="H3984" i="4" s="1"/>
  <c r="G3983" i="4"/>
  <c r="H3983" i="4" s="1"/>
  <c r="G3982" i="4"/>
  <c r="H3982" i="4" s="1"/>
  <c r="G3981" i="4"/>
  <c r="H3981" i="4" s="1"/>
  <c r="G3980" i="4"/>
  <c r="H3980" i="4" s="1"/>
  <c r="H3979" i="4"/>
  <c r="G3979" i="4"/>
  <c r="G3978" i="4"/>
  <c r="H3978" i="4" s="1"/>
  <c r="G3977" i="4"/>
  <c r="H3977" i="4" s="1"/>
  <c r="G3976" i="4"/>
  <c r="H3976" i="4" s="1"/>
  <c r="G3975" i="4"/>
  <c r="H3975" i="4" s="1"/>
  <c r="G3974" i="4"/>
  <c r="H3974" i="4" s="1"/>
  <c r="G3973" i="4"/>
  <c r="H3973" i="4" s="1"/>
  <c r="G3972" i="4"/>
  <c r="H3972" i="4" s="1"/>
  <c r="H3971" i="4"/>
  <c r="G3971" i="4"/>
  <c r="G3970" i="4"/>
  <c r="H3970" i="4" s="1"/>
  <c r="G3969" i="4"/>
  <c r="H3969" i="4" s="1"/>
  <c r="G3968" i="4"/>
  <c r="H3968" i="4" s="1"/>
  <c r="G3967" i="4"/>
  <c r="H3967" i="4" s="1"/>
  <c r="G3966" i="4"/>
  <c r="H3966" i="4" s="1"/>
  <c r="G3965" i="4"/>
  <c r="H3965" i="4" s="1"/>
  <c r="G3964" i="4"/>
  <c r="H3964" i="4" s="1"/>
  <c r="H3963" i="4"/>
  <c r="G3963" i="4"/>
  <c r="G3962" i="4"/>
  <c r="H3962" i="4" s="1"/>
  <c r="G3961" i="4"/>
  <c r="H3961" i="4" s="1"/>
  <c r="G3960" i="4"/>
  <c r="H3960" i="4" s="1"/>
  <c r="G3959" i="4"/>
  <c r="H3959" i="4" s="1"/>
  <c r="G3958" i="4"/>
  <c r="H3958" i="4" s="1"/>
  <c r="G3957" i="4"/>
  <c r="H3957" i="4" s="1"/>
  <c r="G3956" i="4"/>
  <c r="H3956" i="4" s="1"/>
  <c r="H3955" i="4"/>
  <c r="G3955" i="4"/>
  <c r="G3954" i="4"/>
  <c r="H3954" i="4" s="1"/>
  <c r="G3953" i="4"/>
  <c r="H3953" i="4" s="1"/>
  <c r="G3952" i="4"/>
  <c r="H3952" i="4" s="1"/>
  <c r="G3951" i="4"/>
  <c r="H3951" i="4" s="1"/>
  <c r="G3950" i="4"/>
  <c r="H3950" i="4" s="1"/>
  <c r="G3949" i="4"/>
  <c r="H3949" i="4" s="1"/>
  <c r="G3948" i="4"/>
  <c r="H3948" i="4" s="1"/>
  <c r="H3947" i="4"/>
  <c r="G3947" i="4"/>
  <c r="G3946" i="4"/>
  <c r="H3946" i="4" s="1"/>
  <c r="G3945" i="4"/>
  <c r="H3945" i="4" s="1"/>
  <c r="G3944" i="4"/>
  <c r="H3944" i="4" s="1"/>
  <c r="G3943" i="4"/>
  <c r="H3943" i="4" s="1"/>
  <c r="G3942" i="4"/>
  <c r="H3942" i="4" s="1"/>
  <c r="G3941" i="4"/>
  <c r="H3941" i="4" s="1"/>
  <c r="G3940" i="4"/>
  <c r="H3940" i="4" s="1"/>
  <c r="H3939" i="4"/>
  <c r="G3939" i="4"/>
  <c r="G3938" i="4"/>
  <c r="H3938" i="4" s="1"/>
  <c r="G3937" i="4"/>
  <c r="H3937" i="4" s="1"/>
  <c r="G3936" i="4"/>
  <c r="H3936" i="4" s="1"/>
  <c r="G3935" i="4"/>
  <c r="H3935" i="4" s="1"/>
  <c r="G3934" i="4"/>
  <c r="H3934" i="4" s="1"/>
  <c r="G3933" i="4"/>
  <c r="H3933" i="4" s="1"/>
  <c r="G3932" i="4"/>
  <c r="H3932" i="4" s="1"/>
  <c r="H3931" i="4"/>
  <c r="G3931" i="4"/>
  <c r="G3930" i="4"/>
  <c r="H3930" i="4" s="1"/>
  <c r="G3929" i="4"/>
  <c r="H3929" i="4" s="1"/>
  <c r="G3928" i="4"/>
  <c r="H3928" i="4" s="1"/>
  <c r="G3927" i="4"/>
  <c r="H3927" i="4" s="1"/>
  <c r="G3926" i="4"/>
  <c r="H3926" i="4" s="1"/>
  <c r="G3925" i="4"/>
  <c r="H3925" i="4" s="1"/>
  <c r="G3924" i="4"/>
  <c r="H3924" i="4" s="1"/>
  <c r="H3923" i="4"/>
  <c r="G3923" i="4"/>
  <c r="G3922" i="4"/>
  <c r="H3922" i="4" s="1"/>
  <c r="G3921" i="4"/>
  <c r="H3921" i="4" s="1"/>
  <c r="G3920" i="4"/>
  <c r="H3920" i="4" s="1"/>
  <c r="G3919" i="4"/>
  <c r="H3919" i="4" s="1"/>
  <c r="G3918" i="4"/>
  <c r="H3918" i="4" s="1"/>
  <c r="G3917" i="4"/>
  <c r="H3917" i="4" s="1"/>
  <c r="G3916" i="4"/>
  <c r="H3916" i="4" s="1"/>
  <c r="H3915" i="4"/>
  <c r="G3915" i="4"/>
  <c r="G3914" i="4"/>
  <c r="H3914" i="4" s="1"/>
  <c r="G3913" i="4"/>
  <c r="H3913" i="4" s="1"/>
  <c r="G3912" i="4"/>
  <c r="H3912" i="4" s="1"/>
  <c r="G3911" i="4"/>
  <c r="H3911" i="4" s="1"/>
  <c r="G3910" i="4"/>
  <c r="H3910" i="4" s="1"/>
  <c r="G3909" i="4"/>
  <c r="H3909" i="4" s="1"/>
  <c r="G3908" i="4"/>
  <c r="H3908" i="4" s="1"/>
  <c r="H3907" i="4"/>
  <c r="G3907" i="4"/>
  <c r="G3906" i="4"/>
  <c r="H3906" i="4" s="1"/>
  <c r="G3905" i="4"/>
  <c r="H3905" i="4" s="1"/>
  <c r="G3904" i="4"/>
  <c r="H3904" i="4" s="1"/>
  <c r="G3903" i="4"/>
  <c r="H3903" i="4" s="1"/>
  <c r="G3902" i="4"/>
  <c r="H3902" i="4" s="1"/>
  <c r="G3901" i="4"/>
  <c r="H3901" i="4" s="1"/>
  <c r="G3900" i="4"/>
  <c r="H3900" i="4" s="1"/>
  <c r="H3899" i="4"/>
  <c r="G3899" i="4"/>
  <c r="G3898" i="4"/>
  <c r="H3898" i="4" s="1"/>
  <c r="G3897" i="4"/>
  <c r="H3897" i="4" s="1"/>
  <c r="G3896" i="4"/>
  <c r="H3896" i="4" s="1"/>
  <c r="G3895" i="4"/>
  <c r="H3895" i="4" s="1"/>
  <c r="G3894" i="4"/>
  <c r="H3894" i="4" s="1"/>
  <c r="G3893" i="4"/>
  <c r="H3893" i="4" s="1"/>
  <c r="G3892" i="4"/>
  <c r="H3892" i="4" s="1"/>
  <c r="H3891" i="4"/>
  <c r="G3891" i="4"/>
  <c r="G3890" i="4"/>
  <c r="H3890" i="4" s="1"/>
  <c r="G3889" i="4"/>
  <c r="H3889" i="4" s="1"/>
  <c r="G3888" i="4"/>
  <c r="H3888" i="4" s="1"/>
  <c r="G3887" i="4"/>
  <c r="H3887" i="4" s="1"/>
  <c r="G3886" i="4"/>
  <c r="H3886" i="4" s="1"/>
  <c r="G3885" i="4"/>
  <c r="H3885" i="4" s="1"/>
  <c r="G3884" i="4"/>
  <c r="H3884" i="4" s="1"/>
  <c r="H3883" i="4"/>
  <c r="G3883" i="4"/>
  <c r="G3882" i="4"/>
  <c r="H3882" i="4" s="1"/>
  <c r="G3881" i="4"/>
  <c r="H3881" i="4" s="1"/>
  <c r="G3880" i="4"/>
  <c r="H3880" i="4" s="1"/>
  <c r="G3879" i="4"/>
  <c r="H3879" i="4" s="1"/>
  <c r="G3878" i="4"/>
  <c r="H3878" i="4" s="1"/>
  <c r="G3877" i="4"/>
  <c r="H3877" i="4" s="1"/>
  <c r="G3876" i="4"/>
  <c r="H3876" i="4" s="1"/>
  <c r="H3875" i="4"/>
  <c r="G3875" i="4"/>
  <c r="G3874" i="4"/>
  <c r="H3874" i="4" s="1"/>
  <c r="G3873" i="4"/>
  <c r="H3873" i="4" s="1"/>
  <c r="G3872" i="4"/>
  <c r="H3872" i="4" s="1"/>
  <c r="G3871" i="4"/>
  <c r="H3871" i="4" s="1"/>
  <c r="G3870" i="4"/>
  <c r="H3870" i="4" s="1"/>
  <c r="G3869" i="4"/>
  <c r="H3869" i="4" s="1"/>
  <c r="G3868" i="4"/>
  <c r="H3868" i="4" s="1"/>
  <c r="H3867" i="4"/>
  <c r="G3867" i="4"/>
  <c r="G3866" i="4"/>
  <c r="H3866" i="4" s="1"/>
  <c r="G3865" i="4"/>
  <c r="H3865" i="4" s="1"/>
  <c r="G3864" i="4"/>
  <c r="H3864" i="4" s="1"/>
  <c r="G3863" i="4"/>
  <c r="H3863" i="4" s="1"/>
  <c r="G3862" i="4"/>
  <c r="H3862" i="4" s="1"/>
  <c r="G3861" i="4"/>
  <c r="H3861" i="4" s="1"/>
  <c r="G3860" i="4"/>
  <c r="H3860" i="4" s="1"/>
  <c r="H3859" i="4"/>
  <c r="G3859" i="4"/>
  <c r="G3858" i="4"/>
  <c r="H3858" i="4" s="1"/>
  <c r="G3857" i="4"/>
  <c r="H3857" i="4" s="1"/>
  <c r="G3856" i="4"/>
  <c r="H3856" i="4" s="1"/>
  <c r="G3855" i="4"/>
  <c r="H3855" i="4" s="1"/>
  <c r="G3854" i="4"/>
  <c r="H3854" i="4" s="1"/>
  <c r="G3853" i="4"/>
  <c r="H3853" i="4" s="1"/>
  <c r="G3852" i="4"/>
  <c r="H3852" i="4" s="1"/>
  <c r="H3851" i="4"/>
  <c r="G3851" i="4"/>
  <c r="G3850" i="4"/>
  <c r="H3850" i="4" s="1"/>
  <c r="G3849" i="4"/>
  <c r="H3849" i="4" s="1"/>
  <c r="G3848" i="4"/>
  <c r="H3848" i="4" s="1"/>
  <c r="G3847" i="4"/>
  <c r="H3847" i="4" s="1"/>
  <c r="G3846" i="4"/>
  <c r="H3846" i="4" s="1"/>
  <c r="G3845" i="4"/>
  <c r="H3845" i="4" s="1"/>
  <c r="G3844" i="4"/>
  <c r="H3844" i="4" s="1"/>
  <c r="H3843" i="4"/>
  <c r="G3843" i="4"/>
  <c r="G3842" i="4"/>
  <c r="H3842" i="4" s="1"/>
  <c r="G3841" i="4"/>
  <c r="H3841" i="4" s="1"/>
  <c r="G3840" i="4"/>
  <c r="H3840" i="4" s="1"/>
  <c r="G3839" i="4"/>
  <c r="H3839" i="4" s="1"/>
  <c r="G3838" i="4"/>
  <c r="H3838" i="4" s="1"/>
  <c r="G3837" i="4"/>
  <c r="H3837" i="4" s="1"/>
  <c r="G3836" i="4"/>
  <c r="H3836" i="4" s="1"/>
  <c r="H3835" i="4"/>
  <c r="G3835" i="4"/>
  <c r="G3834" i="4"/>
  <c r="H3834" i="4" s="1"/>
  <c r="G3833" i="4"/>
  <c r="H3833" i="4" s="1"/>
  <c r="G3832" i="4"/>
  <c r="H3832" i="4" s="1"/>
  <c r="G3831" i="4"/>
  <c r="H3831" i="4" s="1"/>
  <c r="G3830" i="4"/>
  <c r="H3830" i="4" s="1"/>
  <c r="G3829" i="4"/>
  <c r="H3829" i="4" s="1"/>
  <c r="G3828" i="4"/>
  <c r="H3828" i="4" s="1"/>
  <c r="H3827" i="4"/>
  <c r="G3827" i="4"/>
  <c r="G3826" i="4"/>
  <c r="H3826" i="4" s="1"/>
  <c r="G3825" i="4"/>
  <c r="H3825" i="4" s="1"/>
  <c r="G3824" i="4"/>
  <c r="H3824" i="4" s="1"/>
  <c r="G3823" i="4"/>
  <c r="H3823" i="4" s="1"/>
  <c r="G3822" i="4"/>
  <c r="H3822" i="4" s="1"/>
  <c r="G3821" i="4"/>
  <c r="H3821" i="4" s="1"/>
  <c r="G3820" i="4"/>
  <c r="H3820" i="4" s="1"/>
  <c r="H3819" i="4"/>
  <c r="G3819" i="4"/>
  <c r="G3818" i="4"/>
  <c r="H3818" i="4" s="1"/>
  <c r="G3817" i="4"/>
  <c r="H3817" i="4" s="1"/>
  <c r="G3816" i="4"/>
  <c r="H3816" i="4" s="1"/>
  <c r="G3815" i="4"/>
  <c r="H3815" i="4" s="1"/>
  <c r="G3814" i="4"/>
  <c r="H3814" i="4" s="1"/>
  <c r="G3813" i="4"/>
  <c r="H3813" i="4" s="1"/>
  <c r="G3812" i="4"/>
  <c r="H3812" i="4" s="1"/>
  <c r="H3811" i="4"/>
  <c r="G3811" i="4"/>
  <c r="G3810" i="4"/>
  <c r="H3810" i="4" s="1"/>
  <c r="G3809" i="4"/>
  <c r="H3809" i="4" s="1"/>
  <c r="G3808" i="4"/>
  <c r="H3808" i="4" s="1"/>
  <c r="G3807" i="4"/>
  <c r="H3807" i="4" s="1"/>
  <c r="G3806" i="4"/>
  <c r="H3806" i="4" s="1"/>
  <c r="G3805" i="4"/>
  <c r="H3805" i="4" s="1"/>
  <c r="G3804" i="4"/>
  <c r="H3804" i="4" s="1"/>
  <c r="H3803" i="4"/>
  <c r="G3803" i="4"/>
  <c r="G3802" i="4"/>
  <c r="H3802" i="4" s="1"/>
  <c r="G3801" i="4"/>
  <c r="H3801" i="4" s="1"/>
  <c r="G3800" i="4"/>
  <c r="H3800" i="4" s="1"/>
  <c r="G3799" i="4"/>
  <c r="H3799" i="4" s="1"/>
  <c r="G3798" i="4"/>
  <c r="H3798" i="4" s="1"/>
  <c r="G3797" i="4"/>
  <c r="H3797" i="4" s="1"/>
  <c r="G3796" i="4"/>
  <c r="H3796" i="4" s="1"/>
  <c r="H3795" i="4"/>
  <c r="G3795" i="4"/>
  <c r="G3794" i="4"/>
  <c r="H3794" i="4" s="1"/>
  <c r="G3793" i="4"/>
  <c r="H3793" i="4" s="1"/>
  <c r="G3792" i="4"/>
  <c r="H3792" i="4" s="1"/>
  <c r="G3791" i="4"/>
  <c r="H3791" i="4" s="1"/>
  <c r="G3790" i="4"/>
  <c r="H3790" i="4" s="1"/>
  <c r="G3789" i="4"/>
  <c r="H3789" i="4" s="1"/>
  <c r="G3788" i="4"/>
  <c r="H3788" i="4" s="1"/>
  <c r="H3787" i="4"/>
  <c r="G3787" i="4"/>
  <c r="G3786" i="4"/>
  <c r="H3786" i="4" s="1"/>
  <c r="G3785" i="4"/>
  <c r="H3785" i="4" s="1"/>
  <c r="G3784" i="4"/>
  <c r="H3784" i="4" s="1"/>
  <c r="G3783" i="4"/>
  <c r="H3783" i="4" s="1"/>
  <c r="G3782" i="4"/>
  <c r="H3782" i="4" s="1"/>
  <c r="G3781" i="4"/>
  <c r="H3781" i="4" s="1"/>
  <c r="G3780" i="4"/>
  <c r="H3780" i="4" s="1"/>
  <c r="H3779" i="4"/>
  <c r="G3779" i="4"/>
  <c r="G3778" i="4"/>
  <c r="H3778" i="4" s="1"/>
  <c r="G3777" i="4"/>
  <c r="H3777" i="4" s="1"/>
  <c r="G3776" i="4"/>
  <c r="H3776" i="4" s="1"/>
  <c r="G3775" i="4"/>
  <c r="H3775" i="4" s="1"/>
  <c r="G3774" i="4"/>
  <c r="H3774" i="4" s="1"/>
  <c r="G3773" i="4"/>
  <c r="H3773" i="4" s="1"/>
  <c r="G3772" i="4"/>
  <c r="H3772" i="4" s="1"/>
  <c r="H3771" i="4"/>
  <c r="G3771" i="4"/>
  <c r="G3770" i="4"/>
  <c r="H3770" i="4" s="1"/>
  <c r="G3769" i="4"/>
  <c r="H3769" i="4" s="1"/>
  <c r="G3768" i="4"/>
  <c r="H3768" i="4" s="1"/>
  <c r="G3767" i="4"/>
  <c r="H3767" i="4" s="1"/>
  <c r="G3766" i="4"/>
  <c r="H3766" i="4" s="1"/>
  <c r="G3765" i="4"/>
  <c r="H3765" i="4" s="1"/>
  <c r="G3764" i="4"/>
  <c r="H3764" i="4" s="1"/>
  <c r="H3763" i="4"/>
  <c r="G3763" i="4"/>
  <c r="G3762" i="4"/>
  <c r="H3762" i="4" s="1"/>
  <c r="G3761" i="4"/>
  <c r="H3761" i="4" s="1"/>
  <c r="G3760" i="4"/>
  <c r="H3760" i="4" s="1"/>
  <c r="G3759" i="4"/>
  <c r="H3759" i="4" s="1"/>
  <c r="G3758" i="4"/>
  <c r="H3758" i="4" s="1"/>
  <c r="G3757" i="4"/>
  <c r="H3757" i="4" s="1"/>
  <c r="G3756" i="4"/>
  <c r="H3756" i="4" s="1"/>
  <c r="H3755" i="4"/>
  <c r="G3755" i="4"/>
  <c r="G3754" i="4"/>
  <c r="H3754" i="4" s="1"/>
  <c r="G3753" i="4"/>
  <c r="H3753" i="4" s="1"/>
  <c r="G3752" i="4"/>
  <c r="H3752" i="4" s="1"/>
  <c r="G3751" i="4"/>
  <c r="H3751" i="4" s="1"/>
  <c r="G3750" i="4"/>
  <c r="H3750" i="4" s="1"/>
  <c r="G3749" i="4"/>
  <c r="H3749" i="4" s="1"/>
  <c r="G3748" i="4"/>
  <c r="H3748" i="4" s="1"/>
  <c r="H3747" i="4"/>
  <c r="G3747" i="4"/>
  <c r="G3746" i="4"/>
  <c r="H3746" i="4" s="1"/>
  <c r="G3745" i="4"/>
  <c r="H3745" i="4" s="1"/>
  <c r="G3744" i="4"/>
  <c r="H3744" i="4" s="1"/>
  <c r="G3743" i="4"/>
  <c r="H3743" i="4" s="1"/>
  <c r="G3742" i="4"/>
  <c r="H3742" i="4" s="1"/>
  <c r="G3741" i="4"/>
  <c r="H3741" i="4" s="1"/>
  <c r="G3740" i="4"/>
  <c r="H3740" i="4" s="1"/>
  <c r="H3739" i="4"/>
  <c r="G3739" i="4"/>
  <c r="G3738" i="4"/>
  <c r="H3738" i="4" s="1"/>
  <c r="G3737" i="4"/>
  <c r="H3737" i="4" s="1"/>
  <c r="G3736" i="4"/>
  <c r="H3736" i="4" s="1"/>
  <c r="G3735" i="4"/>
  <c r="H3735" i="4" s="1"/>
  <c r="G3734" i="4"/>
  <c r="H3734" i="4" s="1"/>
  <c r="G3733" i="4"/>
  <c r="H3733" i="4" s="1"/>
  <c r="G3732" i="4"/>
  <c r="H3732" i="4" s="1"/>
  <c r="H3731" i="4"/>
  <c r="G3731" i="4"/>
  <c r="G3730" i="4"/>
  <c r="H3730" i="4" s="1"/>
  <c r="G3729" i="4"/>
  <c r="H3729" i="4" s="1"/>
  <c r="G3728" i="4"/>
  <c r="H3728" i="4" s="1"/>
  <c r="G3727" i="4"/>
  <c r="H3727" i="4" s="1"/>
  <c r="G3726" i="4"/>
  <c r="H3726" i="4" s="1"/>
  <c r="G3725" i="4"/>
  <c r="H3725" i="4" s="1"/>
  <c r="G3724" i="4"/>
  <c r="H3724" i="4" s="1"/>
  <c r="H3723" i="4"/>
  <c r="G3723" i="4"/>
  <c r="G3722" i="4"/>
  <c r="H3722" i="4" s="1"/>
  <c r="G3721" i="4"/>
  <c r="H3721" i="4" s="1"/>
  <c r="G3720" i="4"/>
  <c r="H3720" i="4" s="1"/>
  <c r="G3719" i="4"/>
  <c r="H3719" i="4" s="1"/>
  <c r="G3718" i="4"/>
  <c r="H3718" i="4" s="1"/>
  <c r="G3717" i="4"/>
  <c r="H3717" i="4" s="1"/>
  <c r="G3716" i="4"/>
  <c r="H3716" i="4" s="1"/>
  <c r="H3715" i="4"/>
  <c r="G3715" i="4"/>
  <c r="G3714" i="4"/>
  <c r="H3714" i="4" s="1"/>
  <c r="G3713" i="4"/>
  <c r="H3713" i="4" s="1"/>
  <c r="G3712" i="4"/>
  <c r="H3712" i="4" s="1"/>
  <c r="G3711" i="4"/>
  <c r="H3711" i="4" s="1"/>
  <c r="G3710" i="4"/>
  <c r="H3710" i="4" s="1"/>
  <c r="G3709" i="4"/>
  <c r="H3709" i="4" s="1"/>
  <c r="G3708" i="4"/>
  <c r="H3708" i="4" s="1"/>
  <c r="H3707" i="4"/>
  <c r="G3707" i="4"/>
  <c r="G3706" i="4"/>
  <c r="H3706" i="4" s="1"/>
  <c r="G3705" i="4"/>
  <c r="H3705" i="4" s="1"/>
  <c r="G3704" i="4"/>
  <c r="H3704" i="4" s="1"/>
  <c r="G3703" i="4"/>
  <c r="H3703" i="4" s="1"/>
  <c r="G3702" i="4"/>
  <c r="H3702" i="4" s="1"/>
  <c r="G3701" i="4"/>
  <c r="H3701" i="4" s="1"/>
  <c r="G3700" i="4"/>
  <c r="H3700" i="4" s="1"/>
  <c r="H3699" i="4"/>
  <c r="G3699" i="4"/>
  <c r="G3698" i="4"/>
  <c r="H3698" i="4" s="1"/>
  <c r="G3697" i="4"/>
  <c r="H3697" i="4" s="1"/>
  <c r="G3696" i="4"/>
  <c r="H3696" i="4" s="1"/>
  <c r="G3695" i="4"/>
  <c r="H3695" i="4" s="1"/>
  <c r="G3694" i="4"/>
  <c r="H3694" i="4" s="1"/>
  <c r="G3693" i="4"/>
  <c r="H3693" i="4" s="1"/>
  <c r="G3692" i="4"/>
  <c r="H3692" i="4" s="1"/>
  <c r="H3691" i="4"/>
  <c r="G3691" i="4"/>
  <c r="G3690" i="4"/>
  <c r="H3690" i="4" s="1"/>
  <c r="G3689" i="4"/>
  <c r="H3689" i="4" s="1"/>
  <c r="G3688" i="4"/>
  <c r="H3688" i="4" s="1"/>
  <c r="G3687" i="4"/>
  <c r="H3687" i="4" s="1"/>
  <c r="G3686" i="4"/>
  <c r="H3686" i="4" s="1"/>
  <c r="G3685" i="4"/>
  <c r="H3685" i="4" s="1"/>
  <c r="G3684" i="4"/>
  <c r="H3684" i="4" s="1"/>
  <c r="H3683" i="4"/>
  <c r="G3683" i="4"/>
  <c r="G3682" i="4"/>
  <c r="H3682" i="4" s="1"/>
  <c r="G3681" i="4"/>
  <c r="H3681" i="4" s="1"/>
  <c r="G3680" i="4"/>
  <c r="H3680" i="4" s="1"/>
  <c r="G3679" i="4"/>
  <c r="H3679" i="4" s="1"/>
  <c r="G3678" i="4"/>
  <c r="H3678" i="4" s="1"/>
  <c r="G3677" i="4"/>
  <c r="H3677" i="4" s="1"/>
  <c r="G3676" i="4"/>
  <c r="H3676" i="4" s="1"/>
  <c r="H3675" i="4"/>
  <c r="G3675" i="4"/>
  <c r="G3674" i="4"/>
  <c r="H3674" i="4" s="1"/>
  <c r="G3673" i="4"/>
  <c r="H3673" i="4" s="1"/>
  <c r="G3672" i="4"/>
  <c r="H3672" i="4" s="1"/>
  <c r="G3671" i="4"/>
  <c r="H3671" i="4" s="1"/>
  <c r="G3670" i="4"/>
  <c r="H3670" i="4" s="1"/>
  <c r="G3669" i="4"/>
  <c r="H3669" i="4" s="1"/>
  <c r="G3668" i="4"/>
  <c r="H3668" i="4" s="1"/>
  <c r="H3667" i="4"/>
  <c r="G3667" i="4"/>
  <c r="G3666" i="4"/>
  <c r="H3666" i="4" s="1"/>
  <c r="G3665" i="4"/>
  <c r="H3665" i="4" s="1"/>
  <c r="G3664" i="4"/>
  <c r="H3664" i="4" s="1"/>
  <c r="G3663" i="4"/>
  <c r="H3663" i="4" s="1"/>
  <c r="G3662" i="4"/>
  <c r="H3662" i="4" s="1"/>
  <c r="G3661" i="4"/>
  <c r="H3661" i="4" s="1"/>
  <c r="G3660" i="4"/>
  <c r="H3660" i="4" s="1"/>
  <c r="H3659" i="4"/>
  <c r="G3659" i="4"/>
  <c r="G3658" i="4"/>
  <c r="H3658" i="4" s="1"/>
  <c r="H3657" i="4"/>
  <c r="G3657" i="4"/>
  <c r="G3656" i="4"/>
  <c r="H3656" i="4" s="1"/>
  <c r="H3655" i="4"/>
  <c r="G3655" i="4"/>
  <c r="G3654" i="4"/>
  <c r="H3654" i="4" s="1"/>
  <c r="H3653" i="4"/>
  <c r="G3653" i="4"/>
  <c r="G3652" i="4"/>
  <c r="H3652" i="4" s="1"/>
  <c r="H3651" i="4"/>
  <c r="G3651" i="4"/>
  <c r="G3650" i="4"/>
  <c r="H3650" i="4" s="1"/>
  <c r="H3649" i="4"/>
  <c r="G3649" i="4"/>
  <c r="G3648" i="4"/>
  <c r="H3648" i="4" s="1"/>
  <c r="H3647" i="4"/>
  <c r="G3647" i="4"/>
  <c r="G3646" i="4"/>
  <c r="H3646" i="4" s="1"/>
  <c r="G3645" i="4"/>
  <c r="H3645" i="4" s="1"/>
  <c r="G3644" i="4"/>
  <c r="H3644" i="4" s="1"/>
  <c r="H3643" i="4"/>
  <c r="G3643" i="4"/>
  <c r="G3642" i="4"/>
  <c r="H3642" i="4" s="1"/>
  <c r="G3641" i="4"/>
  <c r="H3641" i="4" s="1"/>
  <c r="G3640" i="4"/>
  <c r="H3640" i="4" s="1"/>
  <c r="H3639" i="4"/>
  <c r="G3639" i="4"/>
  <c r="G3638" i="4"/>
  <c r="H3638" i="4" s="1"/>
  <c r="G3637" i="4"/>
  <c r="H3637" i="4" s="1"/>
  <c r="G3636" i="4"/>
  <c r="H3636" i="4" s="1"/>
  <c r="H3635" i="4"/>
  <c r="G3635" i="4"/>
  <c r="G3634" i="4"/>
  <c r="H3634" i="4" s="1"/>
  <c r="G3633" i="4"/>
  <c r="H3633" i="4" s="1"/>
  <c r="G3632" i="4"/>
  <c r="H3632" i="4" s="1"/>
  <c r="H3631" i="4"/>
  <c r="G3631" i="4"/>
  <c r="G3630" i="4"/>
  <c r="H3630" i="4" s="1"/>
  <c r="G3629" i="4"/>
  <c r="H3629" i="4" s="1"/>
  <c r="G3628" i="4"/>
  <c r="H3628" i="4" s="1"/>
  <c r="H3627" i="4"/>
  <c r="G3627" i="4"/>
  <c r="G3626" i="4"/>
  <c r="H3626" i="4" s="1"/>
  <c r="G3625" i="4"/>
  <c r="H3625" i="4" s="1"/>
  <c r="G3624" i="4"/>
  <c r="H3624" i="4" s="1"/>
  <c r="H3623" i="4"/>
  <c r="G3623" i="4"/>
  <c r="G3622" i="4"/>
  <c r="H3622" i="4" s="1"/>
  <c r="G3621" i="4"/>
  <c r="H3621" i="4" s="1"/>
  <c r="G3620" i="4"/>
  <c r="H3620" i="4" s="1"/>
  <c r="H3619" i="4"/>
  <c r="G3619" i="4"/>
  <c r="G3618" i="4"/>
  <c r="H3618" i="4" s="1"/>
  <c r="G3617" i="4"/>
  <c r="H3617" i="4" s="1"/>
  <c r="G3616" i="4"/>
  <c r="H3616" i="4" s="1"/>
  <c r="H3615" i="4"/>
  <c r="G3615" i="4"/>
  <c r="G3614" i="4"/>
  <c r="H3614" i="4" s="1"/>
  <c r="G3613" i="4"/>
  <c r="H3613" i="4" s="1"/>
  <c r="G3612" i="4"/>
  <c r="H3612" i="4" s="1"/>
  <c r="H3611" i="4"/>
  <c r="G3611" i="4"/>
  <c r="G3610" i="4"/>
  <c r="H3610" i="4" s="1"/>
  <c r="G3609" i="4"/>
  <c r="H3609" i="4" s="1"/>
  <c r="G3608" i="4"/>
  <c r="H3608" i="4" s="1"/>
  <c r="H3607" i="4"/>
  <c r="G3607" i="4"/>
  <c r="G3606" i="4"/>
  <c r="H3606" i="4" s="1"/>
  <c r="G3605" i="4"/>
  <c r="H3605" i="4" s="1"/>
  <c r="G3604" i="4"/>
  <c r="H3604" i="4" s="1"/>
  <c r="H3603" i="4"/>
  <c r="G3603" i="4"/>
  <c r="G3602" i="4"/>
  <c r="H3602" i="4" s="1"/>
  <c r="G3601" i="4"/>
  <c r="H3601" i="4" s="1"/>
  <c r="G3600" i="4"/>
  <c r="H3600" i="4" s="1"/>
  <c r="H3599" i="4"/>
  <c r="G3599" i="4"/>
  <c r="G3598" i="4"/>
  <c r="H3598" i="4" s="1"/>
  <c r="G3597" i="4"/>
  <c r="H3597" i="4" s="1"/>
  <c r="G3596" i="4"/>
  <c r="H3596" i="4" s="1"/>
  <c r="H3595" i="4"/>
  <c r="G3595" i="4"/>
  <c r="G3594" i="4"/>
  <c r="H3594" i="4" s="1"/>
  <c r="G3593" i="4"/>
  <c r="H3593" i="4" s="1"/>
  <c r="G3592" i="4"/>
  <c r="H3592" i="4" s="1"/>
  <c r="H3591" i="4"/>
  <c r="G3591" i="4"/>
  <c r="G3590" i="4"/>
  <c r="H3590" i="4" s="1"/>
  <c r="G3589" i="4"/>
  <c r="H3589" i="4" s="1"/>
  <c r="G3588" i="4"/>
  <c r="H3588" i="4" s="1"/>
  <c r="H3587" i="4"/>
  <c r="G3587" i="4"/>
  <c r="G3586" i="4"/>
  <c r="H3586" i="4" s="1"/>
  <c r="G3585" i="4"/>
  <c r="H3585" i="4" s="1"/>
  <c r="G3584" i="4"/>
  <c r="H3584" i="4" s="1"/>
  <c r="H3583" i="4"/>
  <c r="G3583" i="4"/>
  <c r="G3582" i="4"/>
  <c r="H3582" i="4" s="1"/>
  <c r="G3581" i="4"/>
  <c r="H3581" i="4" s="1"/>
  <c r="G3580" i="4"/>
  <c r="H3580" i="4" s="1"/>
  <c r="H3579" i="4"/>
  <c r="G3579" i="4"/>
  <c r="G3578" i="4"/>
  <c r="H3578" i="4" s="1"/>
  <c r="G3577" i="4"/>
  <c r="H3577" i="4" s="1"/>
  <c r="G3576" i="4"/>
  <c r="H3576" i="4" s="1"/>
  <c r="H3575" i="4"/>
  <c r="G3575" i="4"/>
  <c r="G3574" i="4"/>
  <c r="H3574" i="4" s="1"/>
  <c r="G3573" i="4"/>
  <c r="H3573" i="4" s="1"/>
  <c r="G3572" i="4"/>
  <c r="H3572" i="4" s="1"/>
  <c r="G3571" i="4"/>
  <c r="H3571" i="4" s="1"/>
  <c r="G3570" i="4"/>
  <c r="H3570" i="4" s="1"/>
  <c r="G3569" i="4"/>
  <c r="H3569" i="4" s="1"/>
  <c r="H3568" i="4"/>
  <c r="G3568" i="4"/>
  <c r="G3567" i="4"/>
  <c r="H3567" i="4" s="1"/>
  <c r="G3566" i="4"/>
  <c r="H3566" i="4" s="1"/>
  <c r="G3565" i="4"/>
  <c r="H3565" i="4" s="1"/>
  <c r="G3564" i="4"/>
  <c r="H3564" i="4" s="1"/>
  <c r="G3563" i="4"/>
  <c r="H3563" i="4" s="1"/>
  <c r="G3562" i="4"/>
  <c r="H3562" i="4" s="1"/>
  <c r="G3561" i="4"/>
  <c r="H3561" i="4" s="1"/>
  <c r="H3560" i="4"/>
  <c r="G3560" i="4"/>
  <c r="G3559" i="4"/>
  <c r="H3559" i="4" s="1"/>
  <c r="G3558" i="4"/>
  <c r="H3558" i="4" s="1"/>
  <c r="G3557" i="4"/>
  <c r="H3557" i="4" s="1"/>
  <c r="G3556" i="4"/>
  <c r="H3556" i="4" s="1"/>
  <c r="G3555" i="4"/>
  <c r="H3555" i="4" s="1"/>
  <c r="G3554" i="4"/>
  <c r="H3554" i="4" s="1"/>
  <c r="G3553" i="4"/>
  <c r="H3553" i="4" s="1"/>
  <c r="H3552" i="4"/>
  <c r="G3552" i="4"/>
  <c r="G3551" i="4"/>
  <c r="H3551" i="4" s="1"/>
  <c r="G3550" i="4"/>
  <c r="H3550" i="4" s="1"/>
  <c r="G3549" i="4"/>
  <c r="H3549" i="4" s="1"/>
  <c r="G3548" i="4"/>
  <c r="H3548" i="4" s="1"/>
  <c r="G3547" i="4"/>
  <c r="H3547" i="4" s="1"/>
  <c r="G3546" i="4"/>
  <c r="H3546" i="4" s="1"/>
  <c r="G3545" i="4"/>
  <c r="H3545" i="4" s="1"/>
  <c r="H3544" i="4"/>
  <c r="G3544" i="4"/>
  <c r="G3543" i="4"/>
  <c r="H3543" i="4" s="1"/>
  <c r="G3542" i="4"/>
  <c r="H3542" i="4" s="1"/>
  <c r="G3541" i="4"/>
  <c r="H3541" i="4" s="1"/>
  <c r="G3540" i="4"/>
  <c r="H3540" i="4" s="1"/>
  <c r="G3539" i="4"/>
  <c r="H3539" i="4" s="1"/>
  <c r="G3538" i="4"/>
  <c r="H3538" i="4" s="1"/>
  <c r="G3537" i="4"/>
  <c r="H3537" i="4" s="1"/>
  <c r="H3536" i="4"/>
  <c r="G3536" i="4"/>
  <c r="G3535" i="4"/>
  <c r="H3535" i="4" s="1"/>
  <c r="G3534" i="4"/>
  <c r="H3534" i="4" s="1"/>
  <c r="G3533" i="4"/>
  <c r="H3533" i="4" s="1"/>
  <c r="G3532" i="4"/>
  <c r="H3532" i="4" s="1"/>
  <c r="G3531" i="4"/>
  <c r="H3531" i="4" s="1"/>
  <c r="G3530" i="4"/>
  <c r="H3530" i="4" s="1"/>
  <c r="G3529" i="4"/>
  <c r="H3529" i="4" s="1"/>
  <c r="H3528" i="4"/>
  <c r="G3528" i="4"/>
  <c r="G3527" i="4"/>
  <c r="H3527" i="4" s="1"/>
  <c r="G3526" i="4"/>
  <c r="H3526" i="4" s="1"/>
  <c r="G3525" i="4"/>
  <c r="H3525" i="4" s="1"/>
  <c r="G3524" i="4"/>
  <c r="H3524" i="4" s="1"/>
  <c r="G3523" i="4"/>
  <c r="H3523" i="4" s="1"/>
  <c r="G3522" i="4"/>
  <c r="H3522" i="4" s="1"/>
  <c r="G3521" i="4"/>
  <c r="H3521" i="4" s="1"/>
  <c r="H3520" i="4"/>
  <c r="G3520" i="4"/>
  <c r="G3519" i="4"/>
  <c r="H3519" i="4" s="1"/>
  <c r="G3518" i="4"/>
  <c r="H3518" i="4" s="1"/>
  <c r="G3517" i="4"/>
  <c r="H3517" i="4" s="1"/>
  <c r="G3516" i="4"/>
  <c r="H3516" i="4" s="1"/>
  <c r="G3515" i="4"/>
  <c r="H3515" i="4" s="1"/>
  <c r="G3514" i="4"/>
  <c r="H3514" i="4" s="1"/>
  <c r="G3513" i="4"/>
  <c r="H3513" i="4" s="1"/>
  <c r="H3512" i="4"/>
  <c r="G3512" i="4"/>
  <c r="G3511" i="4"/>
  <c r="H3511" i="4" s="1"/>
  <c r="G3510" i="4"/>
  <c r="H3510" i="4" s="1"/>
  <c r="G3509" i="4"/>
  <c r="H3509" i="4" s="1"/>
  <c r="G3508" i="4"/>
  <c r="H3508" i="4" s="1"/>
  <c r="G3507" i="4"/>
  <c r="H3507" i="4" s="1"/>
  <c r="G3506" i="4"/>
  <c r="H3506" i="4" s="1"/>
  <c r="G3505" i="4"/>
  <c r="H3505" i="4" s="1"/>
  <c r="H3504" i="4"/>
  <c r="G3504" i="4"/>
  <c r="G3503" i="4"/>
  <c r="H3503" i="4" s="1"/>
  <c r="G3502" i="4"/>
  <c r="H3502" i="4" s="1"/>
  <c r="G3501" i="4"/>
  <c r="H3501" i="4" s="1"/>
  <c r="G3500" i="4"/>
  <c r="H3500" i="4" s="1"/>
  <c r="G3499" i="4"/>
  <c r="H3499" i="4" s="1"/>
  <c r="G3498" i="4"/>
  <c r="H3498" i="4" s="1"/>
  <c r="G3497" i="4"/>
  <c r="H3497" i="4" s="1"/>
  <c r="H3496" i="4"/>
  <c r="G3496" i="4"/>
  <c r="G3495" i="4"/>
  <c r="H3495" i="4" s="1"/>
  <c r="G3494" i="4"/>
  <c r="H3494" i="4" s="1"/>
  <c r="G3493" i="4"/>
  <c r="H3493" i="4" s="1"/>
  <c r="G3492" i="4"/>
  <c r="H3492" i="4" s="1"/>
  <c r="G3491" i="4"/>
  <c r="H3491" i="4" s="1"/>
  <c r="G3490" i="4"/>
  <c r="H3490" i="4" s="1"/>
  <c r="G3489" i="4"/>
  <c r="H3489" i="4" s="1"/>
  <c r="H3488" i="4"/>
  <c r="G3488" i="4"/>
  <c r="G3487" i="4"/>
  <c r="H3487" i="4" s="1"/>
  <c r="G3486" i="4"/>
  <c r="H3486" i="4" s="1"/>
  <c r="G3485" i="4"/>
  <c r="H3485" i="4" s="1"/>
  <c r="G3484" i="4"/>
  <c r="H3484" i="4" s="1"/>
  <c r="G3483" i="4"/>
  <c r="H3483" i="4" s="1"/>
  <c r="G3482" i="4"/>
  <c r="H3482" i="4" s="1"/>
  <c r="G3481" i="4"/>
  <c r="H3481" i="4" s="1"/>
  <c r="H3480" i="4"/>
  <c r="G3480" i="4"/>
  <c r="G3479" i="4"/>
  <c r="H3479" i="4" s="1"/>
  <c r="G3478" i="4"/>
  <c r="H3478" i="4" s="1"/>
  <c r="G3477" i="4"/>
  <c r="H3477" i="4" s="1"/>
  <c r="G3476" i="4"/>
  <c r="H3476" i="4" s="1"/>
  <c r="G3475" i="4"/>
  <c r="H3475" i="4" s="1"/>
  <c r="G3474" i="4"/>
  <c r="H3474" i="4" s="1"/>
  <c r="G3473" i="4"/>
  <c r="H3473" i="4" s="1"/>
  <c r="H3472" i="4"/>
  <c r="G3472" i="4"/>
  <c r="G3471" i="4"/>
  <c r="H3471" i="4" s="1"/>
  <c r="G3470" i="4"/>
  <c r="H3470" i="4" s="1"/>
  <c r="G3469" i="4"/>
  <c r="H3469" i="4" s="1"/>
  <c r="G3468" i="4"/>
  <c r="H3468" i="4" s="1"/>
  <c r="G3467" i="4"/>
  <c r="H3467" i="4" s="1"/>
  <c r="G3466" i="4"/>
  <c r="H3466" i="4" s="1"/>
  <c r="G3465" i="4"/>
  <c r="H3465" i="4" s="1"/>
  <c r="H3464" i="4"/>
  <c r="G3464" i="4"/>
  <c r="G3463" i="4"/>
  <c r="H3463" i="4" s="1"/>
  <c r="G3462" i="4"/>
  <c r="H3462" i="4" s="1"/>
  <c r="G3461" i="4"/>
  <c r="H3461" i="4" s="1"/>
  <c r="G3460" i="4"/>
  <c r="H3460" i="4" s="1"/>
  <c r="G3459" i="4"/>
  <c r="H3459" i="4" s="1"/>
  <c r="G3458" i="4"/>
  <c r="H3458" i="4" s="1"/>
  <c r="G3457" i="4"/>
  <c r="H3457" i="4" s="1"/>
  <c r="H3456" i="4"/>
  <c r="G3456" i="4"/>
  <c r="G3455" i="4"/>
  <c r="H3455" i="4" s="1"/>
  <c r="G3454" i="4"/>
  <c r="H3454" i="4" s="1"/>
  <c r="G3453" i="4"/>
  <c r="H3453" i="4" s="1"/>
  <c r="G3452" i="4"/>
  <c r="H3452" i="4" s="1"/>
  <c r="G3451" i="4"/>
  <c r="H3451" i="4" s="1"/>
  <c r="G3450" i="4"/>
  <c r="H3450" i="4" s="1"/>
  <c r="G3449" i="4"/>
  <c r="H3449" i="4" s="1"/>
  <c r="H3448" i="4"/>
  <c r="G3448" i="4"/>
  <c r="G3447" i="4"/>
  <c r="H3447" i="4" s="1"/>
  <c r="G3446" i="4"/>
  <c r="H3446" i="4" s="1"/>
  <c r="G3445" i="4"/>
  <c r="H3445" i="4" s="1"/>
  <c r="G3444" i="4"/>
  <c r="H3444" i="4" s="1"/>
  <c r="G3443" i="4"/>
  <c r="H3443" i="4" s="1"/>
  <c r="G3442" i="4"/>
  <c r="H3442" i="4" s="1"/>
  <c r="G3441" i="4"/>
  <c r="H3441" i="4" s="1"/>
  <c r="H3440" i="4"/>
  <c r="G3440" i="4"/>
  <c r="G3439" i="4"/>
  <c r="H3439" i="4" s="1"/>
  <c r="G3438" i="4"/>
  <c r="H3438" i="4" s="1"/>
  <c r="G3437" i="4"/>
  <c r="H3437" i="4" s="1"/>
  <c r="G3436" i="4"/>
  <c r="H3436" i="4" s="1"/>
  <c r="G3435" i="4"/>
  <c r="H3435" i="4" s="1"/>
  <c r="G3434" i="4"/>
  <c r="H3434" i="4" s="1"/>
  <c r="G3433" i="4"/>
  <c r="H3433" i="4" s="1"/>
  <c r="H3432" i="4"/>
  <c r="G3432" i="4"/>
  <c r="G3431" i="4"/>
  <c r="H3431" i="4" s="1"/>
  <c r="G3430" i="4"/>
  <c r="H3430" i="4" s="1"/>
  <c r="G3429" i="4"/>
  <c r="H3429" i="4" s="1"/>
  <c r="G3428" i="4"/>
  <c r="H3428" i="4" s="1"/>
  <c r="G3427" i="4"/>
  <c r="H3427" i="4" s="1"/>
  <c r="G3426" i="4"/>
  <c r="H3426" i="4" s="1"/>
  <c r="H3425" i="4"/>
  <c r="G3425" i="4"/>
  <c r="G3424" i="4"/>
  <c r="H3424" i="4" s="1"/>
  <c r="G3423" i="4"/>
  <c r="H3423" i="4" s="1"/>
  <c r="G3422" i="4"/>
  <c r="H3422" i="4" s="1"/>
  <c r="H3421" i="4"/>
  <c r="G3421" i="4"/>
  <c r="G3420" i="4"/>
  <c r="H3420" i="4" s="1"/>
  <c r="G3419" i="4"/>
  <c r="H3419" i="4" s="1"/>
  <c r="G3418" i="4"/>
  <c r="H3418" i="4" s="1"/>
  <c r="H3417" i="4"/>
  <c r="G3417" i="4"/>
  <c r="G3416" i="4"/>
  <c r="H3416" i="4" s="1"/>
  <c r="G3415" i="4"/>
  <c r="H3415" i="4" s="1"/>
  <c r="G3414" i="4"/>
  <c r="H3414" i="4" s="1"/>
  <c r="H3413" i="4"/>
  <c r="G3413" i="4"/>
  <c r="G3412" i="4"/>
  <c r="H3412" i="4" s="1"/>
  <c r="G3411" i="4"/>
  <c r="H3411" i="4" s="1"/>
  <c r="G3410" i="4"/>
  <c r="H3410" i="4" s="1"/>
  <c r="H3409" i="4"/>
  <c r="G3409" i="4"/>
  <c r="G3408" i="4"/>
  <c r="H3408" i="4" s="1"/>
  <c r="G3407" i="4"/>
  <c r="H3407" i="4" s="1"/>
  <c r="G3406" i="4"/>
  <c r="H3406" i="4" s="1"/>
  <c r="H3405" i="4"/>
  <c r="G3405" i="4"/>
  <c r="G3404" i="4"/>
  <c r="H3404" i="4" s="1"/>
  <c r="G3403" i="4"/>
  <c r="H3403" i="4" s="1"/>
  <c r="G3402" i="4"/>
  <c r="H3402" i="4" s="1"/>
  <c r="H3401" i="4"/>
  <c r="G3401" i="4"/>
  <c r="G3400" i="4"/>
  <c r="H3400" i="4" s="1"/>
  <c r="G3399" i="4"/>
  <c r="H3399" i="4" s="1"/>
  <c r="G3398" i="4"/>
  <c r="H3398" i="4" s="1"/>
  <c r="H3397" i="4"/>
  <c r="G3397" i="4"/>
  <c r="G3396" i="4"/>
  <c r="H3396" i="4" s="1"/>
  <c r="G3395" i="4"/>
  <c r="H3395" i="4" s="1"/>
  <c r="G3394" i="4"/>
  <c r="H3394" i="4" s="1"/>
  <c r="H3393" i="4"/>
  <c r="G3393" i="4"/>
  <c r="G3392" i="4"/>
  <c r="H3392" i="4" s="1"/>
  <c r="G3391" i="4"/>
  <c r="H3391" i="4" s="1"/>
  <c r="G3390" i="4"/>
  <c r="H3390" i="4" s="1"/>
  <c r="H3389" i="4"/>
  <c r="G3389" i="4"/>
  <c r="G3388" i="4"/>
  <c r="H3388" i="4" s="1"/>
  <c r="G3387" i="4"/>
  <c r="H3387" i="4" s="1"/>
  <c r="G3386" i="4"/>
  <c r="H3386" i="4" s="1"/>
  <c r="H3385" i="4"/>
  <c r="G3385" i="4"/>
  <c r="G3384" i="4"/>
  <c r="H3384" i="4" s="1"/>
  <c r="G3383" i="4"/>
  <c r="H3383" i="4" s="1"/>
  <c r="G3382" i="4"/>
  <c r="H3382" i="4" s="1"/>
  <c r="H3381" i="4"/>
  <c r="G3381" i="4"/>
  <c r="G3380" i="4"/>
  <c r="H3380" i="4" s="1"/>
  <c r="G3379" i="4"/>
  <c r="H3379" i="4" s="1"/>
  <c r="G3378" i="4"/>
  <c r="H3378" i="4" s="1"/>
  <c r="H3377" i="4"/>
  <c r="G3377" i="4"/>
  <c r="G3376" i="4"/>
  <c r="H3376" i="4" s="1"/>
  <c r="G3375" i="4"/>
  <c r="H3375" i="4" s="1"/>
  <c r="G3374" i="4"/>
  <c r="H3374" i="4" s="1"/>
  <c r="H3373" i="4"/>
  <c r="G3373" i="4"/>
  <c r="G3372" i="4"/>
  <c r="H3372" i="4" s="1"/>
  <c r="G3371" i="4"/>
  <c r="H3371" i="4" s="1"/>
  <c r="G3370" i="4"/>
  <c r="H3370" i="4" s="1"/>
  <c r="H3369" i="4"/>
  <c r="G3369" i="4"/>
  <c r="G3368" i="4"/>
  <c r="H3368" i="4" s="1"/>
  <c r="G3367" i="4"/>
  <c r="H3367" i="4" s="1"/>
  <c r="G3366" i="4"/>
  <c r="H3366" i="4" s="1"/>
  <c r="H3365" i="4"/>
  <c r="G3365" i="4"/>
  <c r="G3364" i="4"/>
  <c r="H3364" i="4" s="1"/>
  <c r="G3363" i="4"/>
  <c r="H3363" i="4" s="1"/>
  <c r="G3362" i="4"/>
  <c r="H3362" i="4" s="1"/>
  <c r="H3361" i="4"/>
  <c r="G3361" i="4"/>
  <c r="G3360" i="4"/>
  <c r="H3360" i="4" s="1"/>
  <c r="G3359" i="4"/>
  <c r="H3359" i="4" s="1"/>
  <c r="G3358" i="4"/>
  <c r="H3358" i="4" s="1"/>
  <c r="H3357" i="4"/>
  <c r="G3357" i="4"/>
  <c r="G3356" i="4"/>
  <c r="H3356" i="4" s="1"/>
  <c r="G3355" i="4"/>
  <c r="H3355" i="4" s="1"/>
  <c r="G3354" i="4"/>
  <c r="H3354" i="4" s="1"/>
  <c r="H3353" i="4"/>
  <c r="G3353" i="4"/>
  <c r="G3352" i="4"/>
  <c r="H3352" i="4" s="1"/>
  <c r="G3351" i="4"/>
  <c r="H3351" i="4" s="1"/>
  <c r="G3350" i="4"/>
  <c r="H3350" i="4" s="1"/>
  <c r="H3349" i="4"/>
  <c r="G3349" i="4"/>
  <c r="G3348" i="4"/>
  <c r="H3348" i="4" s="1"/>
  <c r="G3347" i="4"/>
  <c r="H3347" i="4" s="1"/>
  <c r="G3346" i="4"/>
  <c r="H3346" i="4" s="1"/>
  <c r="H3345" i="4"/>
  <c r="G3345" i="4"/>
  <c r="G3344" i="4"/>
  <c r="H3344" i="4" s="1"/>
  <c r="G3343" i="4"/>
  <c r="H3343" i="4" s="1"/>
  <c r="G3342" i="4"/>
  <c r="H3342" i="4" s="1"/>
  <c r="H3341" i="4"/>
  <c r="G3341" i="4"/>
  <c r="G3340" i="4"/>
  <c r="H3340" i="4" s="1"/>
  <c r="G3339" i="4"/>
  <c r="H3339" i="4" s="1"/>
  <c r="G3338" i="4"/>
  <c r="H3338" i="4" s="1"/>
  <c r="H3337" i="4"/>
  <c r="G3337" i="4"/>
  <c r="G3336" i="4"/>
  <c r="H3336" i="4" s="1"/>
  <c r="G3335" i="4"/>
  <c r="H3335" i="4" s="1"/>
  <c r="G3334" i="4"/>
  <c r="H3334" i="4" s="1"/>
  <c r="H3333" i="4"/>
  <c r="G3333" i="4"/>
  <c r="G3332" i="4"/>
  <c r="H3332" i="4" s="1"/>
  <c r="G3331" i="4"/>
  <c r="H3331" i="4" s="1"/>
  <c r="G3330" i="4"/>
  <c r="H3330" i="4" s="1"/>
  <c r="H3329" i="4"/>
  <c r="G3329" i="4"/>
  <c r="G3328" i="4"/>
  <c r="H3328" i="4" s="1"/>
  <c r="G3327" i="4"/>
  <c r="H3327" i="4" s="1"/>
  <c r="G3326" i="4"/>
  <c r="H3326" i="4" s="1"/>
  <c r="H3325" i="4"/>
  <c r="G3325" i="4"/>
  <c r="G3324" i="4"/>
  <c r="H3324" i="4" s="1"/>
  <c r="G3323" i="4"/>
  <c r="H3323" i="4" s="1"/>
  <c r="G3322" i="4"/>
  <c r="H3322" i="4" s="1"/>
  <c r="H3321" i="4"/>
  <c r="G3321" i="4"/>
  <c r="G3320" i="4"/>
  <c r="H3320" i="4" s="1"/>
  <c r="G3319" i="4"/>
  <c r="H3319" i="4" s="1"/>
  <c r="G3318" i="4"/>
  <c r="H3318" i="4" s="1"/>
  <c r="H3317" i="4"/>
  <c r="G3317" i="4"/>
  <c r="G3316" i="4"/>
  <c r="H3316" i="4" s="1"/>
  <c r="G3315" i="4"/>
  <c r="H3315" i="4" s="1"/>
  <c r="G3314" i="4"/>
  <c r="H3314" i="4" s="1"/>
  <c r="H3313" i="4"/>
  <c r="G3313" i="4"/>
  <c r="G3312" i="4"/>
  <c r="H3312" i="4" s="1"/>
  <c r="G3311" i="4"/>
  <c r="H3311" i="4" s="1"/>
  <c r="G3310" i="4"/>
  <c r="H3310" i="4" s="1"/>
  <c r="H3309" i="4"/>
  <c r="G3309" i="4"/>
  <c r="G3308" i="4"/>
  <c r="H3308" i="4" s="1"/>
  <c r="G3307" i="4"/>
  <c r="H3307" i="4" s="1"/>
  <c r="G3306" i="4"/>
  <c r="H3306" i="4" s="1"/>
  <c r="H3305" i="4"/>
  <c r="G3305" i="4"/>
  <c r="G3304" i="4"/>
  <c r="H3304" i="4" s="1"/>
  <c r="G3303" i="4"/>
  <c r="H3303" i="4" s="1"/>
  <c r="G3302" i="4"/>
  <c r="H3302" i="4" s="1"/>
  <c r="H3301" i="4"/>
  <c r="G3301" i="4"/>
  <c r="G3300" i="4"/>
  <c r="H3300" i="4" s="1"/>
  <c r="G3299" i="4"/>
  <c r="H3299" i="4" s="1"/>
  <c r="G3298" i="4"/>
  <c r="H3298" i="4" s="1"/>
  <c r="H3297" i="4"/>
  <c r="G3297" i="4"/>
  <c r="G3296" i="4"/>
  <c r="H3296" i="4" s="1"/>
  <c r="G3295" i="4"/>
  <c r="H3295" i="4" s="1"/>
  <c r="G3294" i="4"/>
  <c r="H3294" i="4" s="1"/>
  <c r="H3293" i="4"/>
  <c r="G3293" i="4"/>
  <c r="G3292" i="4"/>
  <c r="H3292" i="4" s="1"/>
  <c r="G3291" i="4"/>
  <c r="H3291" i="4" s="1"/>
  <c r="G3290" i="4"/>
  <c r="H3290" i="4" s="1"/>
  <c r="H3289" i="4"/>
  <c r="G3289" i="4"/>
  <c r="G3288" i="4"/>
  <c r="H3288" i="4" s="1"/>
  <c r="G3287" i="4"/>
  <c r="H3287" i="4" s="1"/>
  <c r="G3286" i="4"/>
  <c r="H3286" i="4" s="1"/>
  <c r="H3285" i="4"/>
  <c r="G3285" i="4"/>
  <c r="G3284" i="4"/>
  <c r="H3284" i="4" s="1"/>
  <c r="G3283" i="4"/>
  <c r="H3283" i="4" s="1"/>
  <c r="G3282" i="4"/>
  <c r="H3282" i="4" s="1"/>
  <c r="H3281" i="4"/>
  <c r="G3281" i="4"/>
  <c r="G3280" i="4"/>
  <c r="H3280" i="4" s="1"/>
  <c r="G3279" i="4"/>
  <c r="H3279" i="4" s="1"/>
  <c r="G3278" i="4"/>
  <c r="H3278" i="4" s="1"/>
  <c r="H3277" i="4"/>
  <c r="G3277" i="4"/>
  <c r="G3276" i="4"/>
  <c r="H3276" i="4" s="1"/>
  <c r="G3275" i="4"/>
  <c r="H3275" i="4" s="1"/>
  <c r="G3274" i="4"/>
  <c r="H3274" i="4" s="1"/>
  <c r="H3273" i="4"/>
  <c r="G3273" i="4"/>
  <c r="G3272" i="4"/>
  <c r="H3272" i="4" s="1"/>
  <c r="G3271" i="4"/>
  <c r="H3271" i="4" s="1"/>
  <c r="G3270" i="4"/>
  <c r="H3270" i="4" s="1"/>
  <c r="H3269" i="4"/>
  <c r="G3269" i="4"/>
  <c r="G3268" i="4"/>
  <c r="H3268" i="4" s="1"/>
  <c r="G3267" i="4"/>
  <c r="H3267" i="4" s="1"/>
  <c r="G3266" i="4"/>
  <c r="H3266" i="4" s="1"/>
  <c r="H3265" i="4"/>
  <c r="G3265" i="4"/>
  <c r="G3264" i="4"/>
  <c r="H3264" i="4" s="1"/>
  <c r="G3263" i="4"/>
  <c r="H3263" i="4" s="1"/>
  <c r="G3262" i="4"/>
  <c r="H3262" i="4" s="1"/>
  <c r="H3261" i="4"/>
  <c r="G3261" i="4"/>
  <c r="G3260" i="4"/>
  <c r="H3260" i="4" s="1"/>
  <c r="G3259" i="4"/>
  <c r="H3259" i="4" s="1"/>
  <c r="G3258" i="4"/>
  <c r="H3258" i="4" s="1"/>
  <c r="H3257" i="4"/>
  <c r="G3257" i="4"/>
  <c r="G3256" i="4"/>
  <c r="H3256" i="4" s="1"/>
  <c r="G3255" i="4"/>
  <c r="H3255" i="4" s="1"/>
  <c r="G3254" i="4"/>
  <c r="H3254" i="4" s="1"/>
  <c r="H3253" i="4"/>
  <c r="G3253" i="4"/>
  <c r="G3252" i="4"/>
  <c r="H3252" i="4" s="1"/>
  <c r="G3251" i="4"/>
  <c r="H3251" i="4" s="1"/>
  <c r="G3250" i="4"/>
  <c r="H3250" i="4" s="1"/>
  <c r="H3249" i="4"/>
  <c r="G3249" i="4"/>
  <c r="G3248" i="4"/>
  <c r="H3248" i="4" s="1"/>
  <c r="G3247" i="4"/>
  <c r="H3247" i="4" s="1"/>
  <c r="G3246" i="4"/>
  <c r="H3246" i="4" s="1"/>
  <c r="H3245" i="4"/>
  <c r="G3245" i="4"/>
  <c r="G3244" i="4"/>
  <c r="H3244" i="4" s="1"/>
  <c r="G3243" i="4"/>
  <c r="H3243" i="4" s="1"/>
  <c r="G3242" i="4"/>
  <c r="H3242" i="4" s="1"/>
  <c r="H3241" i="4"/>
  <c r="G3241" i="4"/>
  <c r="G3240" i="4"/>
  <c r="H3240" i="4" s="1"/>
  <c r="G3239" i="4"/>
  <c r="H3239" i="4" s="1"/>
  <c r="G3238" i="4"/>
  <c r="H3238" i="4" s="1"/>
  <c r="H3237" i="4"/>
  <c r="G3237" i="4"/>
  <c r="G3236" i="4"/>
  <c r="H3236" i="4" s="1"/>
  <c r="G3235" i="4"/>
  <c r="H3235" i="4" s="1"/>
  <c r="G3234" i="4"/>
  <c r="H3234" i="4" s="1"/>
  <c r="H3233" i="4"/>
  <c r="G3233" i="4"/>
  <c r="G3232" i="4"/>
  <c r="H3232" i="4" s="1"/>
  <c r="G3231" i="4"/>
  <c r="H3231" i="4" s="1"/>
  <c r="G3230" i="4"/>
  <c r="H3230" i="4" s="1"/>
  <c r="H3229" i="4"/>
  <c r="G3229" i="4"/>
  <c r="G3228" i="4"/>
  <c r="H3228" i="4" s="1"/>
  <c r="G3227" i="4"/>
  <c r="H3227" i="4" s="1"/>
  <c r="G3226" i="4"/>
  <c r="H3226" i="4" s="1"/>
  <c r="H3225" i="4"/>
  <c r="G3225" i="4"/>
  <c r="G3224" i="4"/>
  <c r="H3224" i="4" s="1"/>
  <c r="G3223" i="4"/>
  <c r="H3223" i="4" s="1"/>
  <c r="G3222" i="4"/>
  <c r="H3222" i="4" s="1"/>
  <c r="H3221" i="4"/>
  <c r="G3221" i="4"/>
  <c r="G3220" i="4"/>
  <c r="H3220" i="4" s="1"/>
  <c r="G3219" i="4"/>
  <c r="H3219" i="4" s="1"/>
  <c r="G3218" i="4"/>
  <c r="H3218" i="4" s="1"/>
  <c r="H3217" i="4"/>
  <c r="G3217" i="4"/>
  <c r="G3216" i="4"/>
  <c r="H3216" i="4" s="1"/>
  <c r="G3215" i="4"/>
  <c r="H3215" i="4" s="1"/>
  <c r="G3214" i="4"/>
  <c r="H3214" i="4" s="1"/>
  <c r="H3213" i="4"/>
  <c r="G3213" i="4"/>
  <c r="G3212" i="4"/>
  <c r="H3212" i="4" s="1"/>
  <c r="G3211" i="4"/>
  <c r="H3211" i="4" s="1"/>
  <c r="G3210" i="4"/>
  <c r="H3210" i="4" s="1"/>
  <c r="H3209" i="4"/>
  <c r="G3209" i="4"/>
  <c r="G3208" i="4"/>
  <c r="H3208" i="4" s="1"/>
  <c r="G3207" i="4"/>
  <c r="H3207" i="4" s="1"/>
  <c r="G3206" i="4"/>
  <c r="H3206" i="4" s="1"/>
  <c r="H3205" i="4"/>
  <c r="G3205" i="4"/>
  <c r="G3204" i="4"/>
  <c r="H3204" i="4" s="1"/>
  <c r="G3203" i="4"/>
  <c r="H3203" i="4" s="1"/>
  <c r="G3202" i="4"/>
  <c r="H3202" i="4" s="1"/>
  <c r="H3201" i="4"/>
  <c r="G3201" i="4"/>
  <c r="G3200" i="4"/>
  <c r="H3200" i="4" s="1"/>
  <c r="G3199" i="4"/>
  <c r="H3199" i="4" s="1"/>
  <c r="G3198" i="4"/>
  <c r="H3198" i="4" s="1"/>
  <c r="H3197" i="4"/>
  <c r="G3197" i="4"/>
  <c r="G3196" i="4"/>
  <c r="H3196" i="4" s="1"/>
  <c r="G3195" i="4"/>
  <c r="H3195" i="4" s="1"/>
  <c r="G3194" i="4"/>
  <c r="H3194" i="4" s="1"/>
  <c r="H3193" i="4"/>
  <c r="G3193" i="4"/>
  <c r="G3192" i="4"/>
  <c r="H3192" i="4" s="1"/>
  <c r="G3191" i="4"/>
  <c r="H3191" i="4" s="1"/>
  <c r="G3190" i="4"/>
  <c r="H3190" i="4" s="1"/>
  <c r="H3189" i="4"/>
  <c r="G3189" i="4"/>
  <c r="G3188" i="4"/>
  <c r="H3188" i="4" s="1"/>
  <c r="G3187" i="4"/>
  <c r="H3187" i="4" s="1"/>
  <c r="G3186" i="4"/>
  <c r="H3186" i="4" s="1"/>
  <c r="H3185" i="4"/>
  <c r="G3185" i="4"/>
  <c r="G3184" i="4"/>
  <c r="H3184" i="4" s="1"/>
  <c r="G3183" i="4"/>
  <c r="H3183" i="4" s="1"/>
  <c r="G3182" i="4"/>
  <c r="H3182" i="4" s="1"/>
  <c r="H3181" i="4"/>
  <c r="G3181" i="4"/>
  <c r="G3180" i="4"/>
  <c r="H3180" i="4" s="1"/>
  <c r="G3179" i="4"/>
  <c r="H3179" i="4" s="1"/>
  <c r="G3178" i="4"/>
  <c r="H3178" i="4" s="1"/>
  <c r="H3177" i="4"/>
  <c r="G3177" i="4"/>
  <c r="G3176" i="4"/>
  <c r="H3176" i="4" s="1"/>
  <c r="G3175" i="4"/>
  <c r="H3175" i="4" s="1"/>
  <c r="G3174" i="4"/>
  <c r="H3174" i="4" s="1"/>
  <c r="H3173" i="4"/>
  <c r="G3173" i="4"/>
  <c r="G3172" i="4"/>
  <c r="H3172" i="4" s="1"/>
  <c r="G3171" i="4"/>
  <c r="H3171" i="4" s="1"/>
  <c r="G3170" i="4"/>
  <c r="H3170" i="4" s="1"/>
  <c r="H3169" i="4"/>
  <c r="G3169" i="4"/>
  <c r="G3168" i="4"/>
  <c r="H3168" i="4" s="1"/>
  <c r="G3167" i="4"/>
  <c r="H3167" i="4" s="1"/>
  <c r="G3166" i="4"/>
  <c r="H3166" i="4" s="1"/>
  <c r="H3165" i="4"/>
  <c r="G3165" i="4"/>
  <c r="G3164" i="4"/>
  <c r="H3164" i="4" s="1"/>
  <c r="G3163" i="4"/>
  <c r="H3163" i="4" s="1"/>
  <c r="G3162" i="4"/>
  <c r="H3162" i="4" s="1"/>
  <c r="H3161" i="4"/>
  <c r="G3161" i="4"/>
  <c r="G3160" i="4"/>
  <c r="H3160" i="4" s="1"/>
  <c r="G3159" i="4"/>
  <c r="H3159" i="4" s="1"/>
  <c r="G3158" i="4"/>
  <c r="H3158" i="4" s="1"/>
  <c r="H3157" i="4"/>
  <c r="G3157" i="4"/>
  <c r="G3156" i="4"/>
  <c r="H3156" i="4" s="1"/>
  <c r="G3155" i="4"/>
  <c r="H3155" i="4" s="1"/>
  <c r="G3154" i="4"/>
  <c r="H3154" i="4" s="1"/>
  <c r="H3153" i="4"/>
  <c r="G3153" i="4"/>
  <c r="G3152" i="4"/>
  <c r="H3152" i="4" s="1"/>
  <c r="G3151" i="4"/>
  <c r="H3151" i="4" s="1"/>
  <c r="G3150" i="4"/>
  <c r="H3150" i="4" s="1"/>
  <c r="H3149" i="4"/>
  <c r="G3149" i="4"/>
  <c r="G3148" i="4"/>
  <c r="H3148" i="4" s="1"/>
  <c r="G3147" i="4"/>
  <c r="H3147" i="4" s="1"/>
  <c r="G3146" i="4"/>
  <c r="H3146" i="4" s="1"/>
  <c r="H3145" i="4"/>
  <c r="G3145" i="4"/>
  <c r="G3144" i="4"/>
  <c r="H3144" i="4" s="1"/>
  <c r="G3143" i="4"/>
  <c r="H3143" i="4" s="1"/>
  <c r="G3142" i="4"/>
  <c r="H3142" i="4" s="1"/>
  <c r="H3141" i="4"/>
  <c r="G3141" i="4"/>
  <c r="G3140" i="4"/>
  <c r="H3140" i="4" s="1"/>
  <c r="G3139" i="4"/>
  <c r="H3139" i="4" s="1"/>
  <c r="G3138" i="4"/>
  <c r="H3138" i="4" s="1"/>
  <c r="H3137" i="4"/>
  <c r="G3137" i="4"/>
  <c r="G3136" i="4"/>
  <c r="H3136" i="4" s="1"/>
  <c r="G3135" i="4"/>
  <c r="H3135" i="4" s="1"/>
  <c r="G3134" i="4"/>
  <c r="H3134" i="4" s="1"/>
  <c r="H3133" i="4"/>
  <c r="G3133" i="4"/>
  <c r="G3132" i="4"/>
  <c r="H3132" i="4" s="1"/>
  <c r="G3131" i="4"/>
  <c r="H3131" i="4" s="1"/>
  <c r="G3130" i="4"/>
  <c r="H3130" i="4" s="1"/>
  <c r="H3129" i="4"/>
  <c r="G3129" i="4"/>
  <c r="G3128" i="4"/>
  <c r="H3128" i="4" s="1"/>
  <c r="G3127" i="4"/>
  <c r="H3127" i="4" s="1"/>
  <c r="G3126" i="4"/>
  <c r="H3126" i="4" s="1"/>
  <c r="H3125" i="4"/>
  <c r="G3125" i="4"/>
  <c r="G3124" i="4"/>
  <c r="H3124" i="4" s="1"/>
  <c r="G3123" i="4"/>
  <c r="H3123" i="4" s="1"/>
  <c r="G3122" i="4"/>
  <c r="H3122" i="4" s="1"/>
  <c r="H3121" i="4"/>
  <c r="G3121" i="4"/>
  <c r="G3120" i="4"/>
  <c r="H3120" i="4" s="1"/>
  <c r="G3119" i="4"/>
  <c r="H3119" i="4" s="1"/>
  <c r="G3118" i="4"/>
  <c r="H3118" i="4" s="1"/>
  <c r="H3117" i="4"/>
  <c r="G3117" i="4"/>
  <c r="G3116" i="4"/>
  <c r="H3116" i="4" s="1"/>
  <c r="G3115" i="4"/>
  <c r="H3115" i="4" s="1"/>
  <c r="G3114" i="4"/>
  <c r="H3114" i="4" s="1"/>
  <c r="H3113" i="4"/>
  <c r="G3113" i="4"/>
  <c r="G3112" i="4"/>
  <c r="H3112" i="4" s="1"/>
  <c r="G3111" i="4"/>
  <c r="H3111" i="4" s="1"/>
  <c r="G3110" i="4"/>
  <c r="H3110" i="4" s="1"/>
  <c r="H3109" i="4"/>
  <c r="G3109" i="4"/>
  <c r="G3108" i="4"/>
  <c r="H3108" i="4" s="1"/>
  <c r="G3107" i="4"/>
  <c r="H3107" i="4" s="1"/>
  <c r="G3106" i="4"/>
  <c r="H3106" i="4" s="1"/>
  <c r="H3105" i="4"/>
  <c r="G3105" i="4"/>
  <c r="G3104" i="4"/>
  <c r="H3104" i="4" s="1"/>
  <c r="G3103" i="4"/>
  <c r="H3103" i="4" s="1"/>
  <c r="G3102" i="4"/>
  <c r="H3102" i="4" s="1"/>
  <c r="H3101" i="4"/>
  <c r="G3101" i="4"/>
  <c r="G3100" i="4"/>
  <c r="H3100" i="4" s="1"/>
  <c r="G3099" i="4"/>
  <c r="H3099" i="4" s="1"/>
  <c r="G3098" i="4"/>
  <c r="H3098" i="4" s="1"/>
  <c r="H3097" i="4"/>
  <c r="G3097" i="4"/>
  <c r="G3096" i="4"/>
  <c r="H3096" i="4" s="1"/>
  <c r="G3095" i="4"/>
  <c r="H3095" i="4" s="1"/>
  <c r="G3094" i="4"/>
  <c r="H3094" i="4" s="1"/>
  <c r="H3093" i="4"/>
  <c r="G3093" i="4"/>
  <c r="G3092" i="4"/>
  <c r="H3092" i="4" s="1"/>
  <c r="G3091" i="4"/>
  <c r="H3091" i="4" s="1"/>
  <c r="G3090" i="4"/>
  <c r="H3090" i="4" s="1"/>
  <c r="H3089" i="4"/>
  <c r="G3089" i="4"/>
  <c r="G3088" i="4"/>
  <c r="H3088" i="4" s="1"/>
  <c r="G3087" i="4"/>
  <c r="H3087" i="4" s="1"/>
  <c r="G3086" i="4"/>
  <c r="H3086" i="4" s="1"/>
  <c r="H3085" i="4"/>
  <c r="G3085" i="4"/>
  <c r="G3084" i="4"/>
  <c r="H3084" i="4" s="1"/>
  <c r="G3083" i="4"/>
  <c r="H3083" i="4" s="1"/>
  <c r="G3082" i="4"/>
  <c r="H3082" i="4" s="1"/>
  <c r="H3081" i="4"/>
  <c r="G3081" i="4"/>
  <c r="G3080" i="4"/>
  <c r="H3080" i="4" s="1"/>
  <c r="G3079" i="4"/>
  <c r="H3079" i="4" s="1"/>
  <c r="G3078" i="4"/>
  <c r="H3078" i="4" s="1"/>
  <c r="H3077" i="4"/>
  <c r="G3077" i="4"/>
  <c r="G3076" i="4"/>
  <c r="H3076" i="4" s="1"/>
  <c r="G3075" i="4"/>
  <c r="H3075" i="4" s="1"/>
  <c r="G3074" i="4"/>
  <c r="H3074" i="4" s="1"/>
  <c r="H3073" i="4"/>
  <c r="G3073" i="4"/>
  <c r="G3072" i="4"/>
  <c r="H3072" i="4" s="1"/>
  <c r="G3071" i="4"/>
  <c r="H3071" i="4" s="1"/>
  <c r="G3070" i="4"/>
  <c r="H3070" i="4" s="1"/>
  <c r="H3069" i="4"/>
  <c r="G3069" i="4"/>
  <c r="G3068" i="4"/>
  <c r="H3068" i="4" s="1"/>
  <c r="G3067" i="4"/>
  <c r="H3067" i="4" s="1"/>
  <c r="G3066" i="4"/>
  <c r="H3066" i="4" s="1"/>
  <c r="H3065" i="4"/>
  <c r="G3065" i="4"/>
  <c r="G3064" i="4"/>
  <c r="H3064" i="4" s="1"/>
  <c r="G3063" i="4"/>
  <c r="H3063" i="4" s="1"/>
  <c r="G3062" i="4"/>
  <c r="H3062" i="4" s="1"/>
  <c r="H3061" i="4"/>
  <c r="G3061" i="4"/>
  <c r="G3060" i="4"/>
  <c r="H3060" i="4" s="1"/>
  <c r="G3059" i="4"/>
  <c r="H3059" i="4" s="1"/>
  <c r="G3058" i="4"/>
  <c r="H3058" i="4" s="1"/>
  <c r="H3057" i="4"/>
  <c r="G3057" i="4"/>
  <c r="G3056" i="4"/>
  <c r="H3056" i="4" s="1"/>
  <c r="G3055" i="4"/>
  <c r="H3055" i="4" s="1"/>
  <c r="G3054" i="4"/>
  <c r="H3054" i="4" s="1"/>
  <c r="H3053" i="4"/>
  <c r="G3053" i="4"/>
  <c r="G3052" i="4"/>
  <c r="H3052" i="4" s="1"/>
  <c r="G3051" i="4"/>
  <c r="H3051" i="4" s="1"/>
  <c r="G3050" i="4"/>
  <c r="H3050" i="4" s="1"/>
  <c r="H3049" i="4"/>
  <c r="G3049" i="4"/>
  <c r="G3048" i="4"/>
  <c r="H3048" i="4" s="1"/>
  <c r="G3047" i="4"/>
  <c r="H3047" i="4" s="1"/>
  <c r="G3046" i="4"/>
  <c r="H3046" i="4" s="1"/>
  <c r="H3045" i="4"/>
  <c r="G3045" i="4"/>
  <c r="G3044" i="4"/>
  <c r="H3044" i="4" s="1"/>
  <c r="G3043" i="4"/>
  <c r="H3043" i="4" s="1"/>
  <c r="G3042" i="4"/>
  <c r="H3042" i="4" s="1"/>
  <c r="H3041" i="4"/>
  <c r="G3041" i="4"/>
  <c r="G3040" i="4"/>
  <c r="H3040" i="4" s="1"/>
  <c r="G3039" i="4"/>
  <c r="H3039" i="4" s="1"/>
  <c r="G3038" i="4"/>
  <c r="H3038" i="4" s="1"/>
  <c r="H3037" i="4"/>
  <c r="G3037" i="4"/>
  <c r="G3036" i="4"/>
  <c r="H3036" i="4" s="1"/>
  <c r="G3035" i="4"/>
  <c r="H3035" i="4" s="1"/>
  <c r="G3034" i="4"/>
  <c r="H3034" i="4" s="1"/>
  <c r="H3033" i="4"/>
  <c r="G3033" i="4"/>
  <c r="G3032" i="4"/>
  <c r="H3032" i="4" s="1"/>
  <c r="G3031" i="4"/>
  <c r="H3031" i="4" s="1"/>
  <c r="G3030" i="4"/>
  <c r="H3030" i="4" s="1"/>
  <c r="H3029" i="4"/>
  <c r="G3029" i="4"/>
  <c r="G3028" i="4"/>
  <c r="H3028" i="4" s="1"/>
  <c r="G3027" i="4"/>
  <c r="H3027" i="4" s="1"/>
  <c r="G3026" i="4"/>
  <c r="H3026" i="4" s="1"/>
  <c r="H3025" i="4"/>
  <c r="G3025" i="4"/>
  <c r="G3024" i="4"/>
  <c r="H3024" i="4" s="1"/>
  <c r="G3023" i="4"/>
  <c r="H3023" i="4" s="1"/>
  <c r="G3022" i="4"/>
  <c r="H3022" i="4" s="1"/>
  <c r="H3021" i="4"/>
  <c r="G3021" i="4"/>
  <c r="G3020" i="4"/>
  <c r="H3020" i="4" s="1"/>
  <c r="G3019" i="4"/>
  <c r="H3019" i="4" s="1"/>
  <c r="G3018" i="4"/>
  <c r="H3018" i="4" s="1"/>
  <c r="H3017" i="4"/>
  <c r="G3017" i="4"/>
  <c r="G3016" i="4"/>
  <c r="H3016" i="4" s="1"/>
  <c r="G3015" i="4"/>
  <c r="H3015" i="4" s="1"/>
  <c r="G3014" i="4"/>
  <c r="H3014" i="4" s="1"/>
  <c r="H3013" i="4"/>
  <c r="G3013" i="4"/>
  <c r="G3012" i="4"/>
  <c r="H3012" i="4" s="1"/>
  <c r="G3011" i="4"/>
  <c r="H3011" i="4" s="1"/>
  <c r="G3010" i="4"/>
  <c r="H3010" i="4" s="1"/>
  <c r="H3009" i="4"/>
  <c r="G3009" i="4"/>
  <c r="G3008" i="4"/>
  <c r="H3008" i="4" s="1"/>
  <c r="G3007" i="4"/>
  <c r="H3007" i="4" s="1"/>
  <c r="G3006" i="4"/>
  <c r="H3006" i="4" s="1"/>
  <c r="H3005" i="4"/>
  <c r="G3005" i="4"/>
  <c r="G3004" i="4"/>
  <c r="H3004" i="4" s="1"/>
  <c r="G3003" i="4"/>
  <c r="H3003" i="4" s="1"/>
  <c r="G3002" i="4"/>
  <c r="H3002" i="4" s="1"/>
  <c r="H3001" i="4"/>
  <c r="G3001" i="4"/>
  <c r="G3000" i="4"/>
  <c r="H3000" i="4" s="1"/>
  <c r="G2999" i="4"/>
  <c r="H2999" i="4" s="1"/>
  <c r="G2998" i="4"/>
  <c r="H2998" i="4" s="1"/>
  <c r="H2997" i="4"/>
  <c r="G2997" i="4"/>
  <c r="G2996" i="4"/>
  <c r="H2996" i="4" s="1"/>
  <c r="G2995" i="4"/>
  <c r="H2995" i="4" s="1"/>
  <c r="G2994" i="4"/>
  <c r="H2994" i="4" s="1"/>
  <c r="H2993" i="4"/>
  <c r="G2993" i="4"/>
  <c r="G2992" i="4"/>
  <c r="H2992" i="4" s="1"/>
  <c r="G2991" i="4"/>
  <c r="H2991" i="4" s="1"/>
  <c r="G2990" i="4"/>
  <c r="H2990" i="4" s="1"/>
  <c r="H2989" i="4"/>
  <c r="G2989" i="4"/>
  <c r="G2988" i="4"/>
  <c r="H2988" i="4" s="1"/>
  <c r="G2987" i="4"/>
  <c r="H2987" i="4" s="1"/>
  <c r="G2986" i="4"/>
  <c r="H2986" i="4" s="1"/>
  <c r="H2985" i="4"/>
  <c r="G2985" i="4"/>
  <c r="G2984" i="4"/>
  <c r="H2984" i="4" s="1"/>
  <c r="G2983" i="4"/>
  <c r="H2983" i="4" s="1"/>
  <c r="G2982" i="4"/>
  <c r="H2982" i="4" s="1"/>
  <c r="H2981" i="4"/>
  <c r="G2981" i="4"/>
  <c r="G2980" i="4"/>
  <c r="H2980" i="4" s="1"/>
  <c r="G2979" i="4"/>
  <c r="H2979" i="4" s="1"/>
  <c r="G2978" i="4"/>
  <c r="H2978" i="4" s="1"/>
  <c r="H2977" i="4"/>
  <c r="G2977" i="4"/>
  <c r="G2976" i="4"/>
  <c r="H2976" i="4" s="1"/>
  <c r="G2975" i="4"/>
  <c r="H2975" i="4" s="1"/>
  <c r="G2974" i="4"/>
  <c r="H2974" i="4" s="1"/>
  <c r="H2973" i="4"/>
  <c r="G2973" i="4"/>
  <c r="G2972" i="4"/>
  <c r="H2972" i="4" s="1"/>
  <c r="G2971" i="4"/>
  <c r="H2971" i="4" s="1"/>
  <c r="G2970" i="4"/>
  <c r="H2970" i="4" s="1"/>
  <c r="H2969" i="4"/>
  <c r="G2969" i="4"/>
  <c r="G2968" i="4"/>
  <c r="H2968" i="4" s="1"/>
  <c r="G2967" i="4"/>
  <c r="H2967" i="4" s="1"/>
  <c r="G2966" i="4"/>
  <c r="H2966" i="4" s="1"/>
  <c r="H2965" i="4"/>
  <c r="G2965" i="4"/>
  <c r="G2964" i="4"/>
  <c r="H2964" i="4" s="1"/>
  <c r="G2963" i="4"/>
  <c r="H2963" i="4" s="1"/>
  <c r="G2962" i="4"/>
  <c r="H2962" i="4" s="1"/>
  <c r="H2961" i="4"/>
  <c r="G2961" i="4"/>
  <c r="G2960" i="4"/>
  <c r="H2960" i="4" s="1"/>
  <c r="G2959" i="4"/>
  <c r="H2959" i="4" s="1"/>
  <c r="G2958" i="4"/>
  <c r="H2958" i="4" s="1"/>
  <c r="H2957" i="4"/>
  <c r="G2957" i="4"/>
  <c r="G2956" i="4"/>
  <c r="H2956" i="4" s="1"/>
  <c r="G2955" i="4"/>
  <c r="H2955" i="4" s="1"/>
  <c r="G2954" i="4"/>
  <c r="H2954" i="4" s="1"/>
  <c r="H2953" i="4"/>
  <c r="G2953" i="4"/>
  <c r="G2952" i="4"/>
  <c r="H2952" i="4" s="1"/>
  <c r="G2951" i="4"/>
  <c r="H2951" i="4" s="1"/>
  <c r="G2950" i="4"/>
  <c r="H2950" i="4" s="1"/>
  <c r="H2949" i="4"/>
  <c r="G2949" i="4"/>
  <c r="G2948" i="4"/>
  <c r="H2948" i="4" s="1"/>
  <c r="G2947" i="4"/>
  <c r="H2947" i="4" s="1"/>
  <c r="G2946" i="4"/>
  <c r="H2946" i="4" s="1"/>
  <c r="H2945" i="4"/>
  <c r="G2945" i="4"/>
  <c r="G2944" i="4"/>
  <c r="H2944" i="4" s="1"/>
  <c r="G2943" i="4"/>
  <c r="H2943" i="4" s="1"/>
  <c r="G2942" i="4"/>
  <c r="H2942" i="4" s="1"/>
  <c r="H2941" i="4"/>
  <c r="G2941" i="4"/>
  <c r="G2940" i="4"/>
  <c r="H2940" i="4" s="1"/>
  <c r="G2939" i="4"/>
  <c r="H2939" i="4" s="1"/>
  <c r="G2938" i="4"/>
  <c r="H2938" i="4" s="1"/>
  <c r="H2937" i="4"/>
  <c r="G2937" i="4"/>
  <c r="G2936" i="4"/>
  <c r="H2936" i="4" s="1"/>
  <c r="G2935" i="4"/>
  <c r="H2935" i="4" s="1"/>
  <c r="G2934" i="4"/>
  <c r="H2934" i="4" s="1"/>
  <c r="H2933" i="4"/>
  <c r="G2933" i="4"/>
  <c r="G2932" i="4"/>
  <c r="H2932" i="4" s="1"/>
  <c r="G2931" i="4"/>
  <c r="H2931" i="4" s="1"/>
  <c r="G2930" i="4"/>
  <c r="H2930" i="4" s="1"/>
  <c r="H2929" i="4"/>
  <c r="G2929" i="4"/>
  <c r="G2928" i="4"/>
  <c r="H2928" i="4" s="1"/>
  <c r="G2927" i="4"/>
  <c r="H2927" i="4" s="1"/>
  <c r="G2926" i="4"/>
  <c r="H2926" i="4" s="1"/>
  <c r="H2925" i="4"/>
  <c r="G2925" i="4"/>
  <c r="G2924" i="4"/>
  <c r="H2924" i="4" s="1"/>
  <c r="G2923" i="4"/>
  <c r="H2923" i="4" s="1"/>
  <c r="G2922" i="4"/>
  <c r="H2922" i="4" s="1"/>
  <c r="H2921" i="4"/>
  <c r="G2921" i="4"/>
  <c r="G2920" i="4"/>
  <c r="H2920" i="4" s="1"/>
  <c r="G2919" i="4"/>
  <c r="H2919" i="4" s="1"/>
  <c r="G2918" i="4"/>
  <c r="H2918" i="4" s="1"/>
  <c r="H2917" i="4"/>
  <c r="G2917" i="4"/>
  <c r="G2916" i="4"/>
  <c r="H2916" i="4" s="1"/>
  <c r="G2915" i="4"/>
  <c r="H2915" i="4" s="1"/>
  <c r="G2914" i="4"/>
  <c r="H2914" i="4" s="1"/>
  <c r="H2913" i="4"/>
  <c r="G2913" i="4"/>
  <c r="G2912" i="4"/>
  <c r="H2912" i="4" s="1"/>
  <c r="G2911" i="4"/>
  <c r="H2911" i="4" s="1"/>
  <c r="G2910" i="4"/>
  <c r="H2910" i="4" s="1"/>
  <c r="H2909" i="4"/>
  <c r="G2909" i="4"/>
  <c r="G2908" i="4"/>
  <c r="H2908" i="4" s="1"/>
  <c r="G2907" i="4"/>
  <c r="H2907" i="4" s="1"/>
  <c r="G2906" i="4"/>
  <c r="H2906" i="4" s="1"/>
  <c r="H2905" i="4"/>
  <c r="G2905" i="4"/>
  <c r="G2904" i="4"/>
  <c r="H2904" i="4" s="1"/>
  <c r="G2903" i="4"/>
  <c r="H2903" i="4" s="1"/>
  <c r="G2902" i="4"/>
  <c r="H2902" i="4" s="1"/>
  <c r="H2901" i="4"/>
  <c r="G2901" i="4"/>
  <c r="G2900" i="4"/>
  <c r="H2900" i="4" s="1"/>
  <c r="G2899" i="4"/>
  <c r="H2899" i="4" s="1"/>
  <c r="G2898" i="4"/>
  <c r="H2898" i="4" s="1"/>
  <c r="H2897" i="4"/>
  <c r="G2897" i="4"/>
  <c r="G2896" i="4"/>
  <c r="H2896" i="4" s="1"/>
  <c r="G2895" i="4"/>
  <c r="H2895" i="4" s="1"/>
  <c r="G2894" i="4"/>
  <c r="H2894" i="4" s="1"/>
  <c r="H2893" i="4"/>
  <c r="G2893" i="4"/>
  <c r="G2892" i="4"/>
  <c r="H2892" i="4" s="1"/>
  <c r="G2891" i="4"/>
  <c r="H2891" i="4" s="1"/>
  <c r="G2890" i="4"/>
  <c r="H2890" i="4" s="1"/>
  <c r="H2889" i="4"/>
  <c r="G2889" i="4"/>
  <c r="G2888" i="4"/>
  <c r="H2888" i="4" s="1"/>
  <c r="G2887" i="4"/>
  <c r="H2887" i="4" s="1"/>
  <c r="G2886" i="4"/>
  <c r="H2886" i="4" s="1"/>
  <c r="H2885" i="4"/>
  <c r="G2885" i="4"/>
  <c r="G2884" i="4"/>
  <c r="H2884" i="4" s="1"/>
  <c r="G2883" i="4"/>
  <c r="H2883" i="4" s="1"/>
  <c r="G2882" i="4"/>
  <c r="H2882" i="4" s="1"/>
  <c r="H2881" i="4"/>
  <c r="G2881" i="4"/>
  <c r="G2880" i="4"/>
  <c r="H2880" i="4" s="1"/>
  <c r="G2879" i="4"/>
  <c r="H2879" i="4" s="1"/>
  <c r="G2878" i="4"/>
  <c r="H2878" i="4" s="1"/>
  <c r="H2877" i="4"/>
  <c r="G2877" i="4"/>
  <c r="G2876" i="4"/>
  <c r="H2876" i="4" s="1"/>
  <c r="G2875" i="4"/>
  <c r="H2875" i="4" s="1"/>
  <c r="G2874" i="4"/>
  <c r="H2874" i="4" s="1"/>
  <c r="H2873" i="4"/>
  <c r="G2873" i="4"/>
  <c r="G2872" i="4"/>
  <c r="H2872" i="4" s="1"/>
  <c r="G2871" i="4"/>
  <c r="H2871" i="4" s="1"/>
  <c r="G2870" i="4"/>
  <c r="H2870" i="4" s="1"/>
  <c r="H2869" i="4"/>
  <c r="G2869" i="4"/>
  <c r="G2868" i="4"/>
  <c r="H2868" i="4" s="1"/>
  <c r="G2867" i="4"/>
  <c r="H2867" i="4" s="1"/>
  <c r="G2866" i="4"/>
  <c r="H2866" i="4" s="1"/>
  <c r="H2865" i="4"/>
  <c r="G2865" i="4"/>
  <c r="G2864" i="4"/>
  <c r="H2864" i="4" s="1"/>
  <c r="G2863" i="4"/>
  <c r="H2863" i="4" s="1"/>
  <c r="G2862" i="4"/>
  <c r="H2862" i="4" s="1"/>
  <c r="H2861" i="4"/>
  <c r="G2861" i="4"/>
  <c r="G2860" i="4"/>
  <c r="H2860" i="4" s="1"/>
  <c r="G2859" i="4"/>
  <c r="H2859" i="4" s="1"/>
  <c r="G2858" i="4"/>
  <c r="H2858" i="4" s="1"/>
  <c r="H2857" i="4"/>
  <c r="G2857" i="4"/>
  <c r="G2856" i="4"/>
  <c r="H2856" i="4" s="1"/>
  <c r="G2855" i="4"/>
  <c r="H2855" i="4" s="1"/>
  <c r="G2854" i="4"/>
  <c r="H2854" i="4" s="1"/>
  <c r="H2853" i="4"/>
  <c r="G2853" i="4"/>
  <c r="G2852" i="4"/>
  <c r="H2852" i="4" s="1"/>
  <c r="G2851" i="4"/>
  <c r="H2851" i="4" s="1"/>
  <c r="G2850" i="4"/>
  <c r="H2850" i="4" s="1"/>
  <c r="H2849" i="4"/>
  <c r="G2849" i="4"/>
  <c r="G2848" i="4"/>
  <c r="H2848" i="4" s="1"/>
  <c r="G2847" i="4"/>
  <c r="H2847" i="4" s="1"/>
  <c r="G2846" i="4"/>
  <c r="H2846" i="4" s="1"/>
  <c r="H2845" i="4"/>
  <c r="G2845" i="4"/>
  <c r="G2844" i="4"/>
  <c r="H2844" i="4" s="1"/>
  <c r="G2843" i="4"/>
  <c r="H2843" i="4" s="1"/>
  <c r="G2842" i="4"/>
  <c r="H2842" i="4" s="1"/>
  <c r="H2841" i="4"/>
  <c r="G2841" i="4"/>
  <c r="G2840" i="4"/>
  <c r="H2840" i="4" s="1"/>
  <c r="G2839" i="4"/>
  <c r="H2839" i="4" s="1"/>
  <c r="G2838" i="4"/>
  <c r="H2838" i="4" s="1"/>
  <c r="H2837" i="4"/>
  <c r="G2837" i="4"/>
  <c r="G2836" i="4"/>
  <c r="H2836" i="4" s="1"/>
  <c r="G2835" i="4"/>
  <c r="H2835" i="4" s="1"/>
  <c r="G2834" i="4"/>
  <c r="H2834" i="4" s="1"/>
  <c r="H2833" i="4"/>
  <c r="G2833" i="4"/>
  <c r="G2832" i="4"/>
  <c r="H2832" i="4" s="1"/>
  <c r="G2831" i="4"/>
  <c r="H2831" i="4" s="1"/>
  <c r="G2830" i="4"/>
  <c r="H2830" i="4" s="1"/>
  <c r="H2829" i="4"/>
  <c r="G2829" i="4"/>
  <c r="G2828" i="4"/>
  <c r="H2828" i="4" s="1"/>
  <c r="G2827" i="4"/>
  <c r="H2827" i="4" s="1"/>
  <c r="G2826" i="4"/>
  <c r="H2826" i="4" s="1"/>
  <c r="H2825" i="4"/>
  <c r="G2825" i="4"/>
  <c r="G2824" i="4"/>
  <c r="H2824" i="4" s="1"/>
  <c r="G2823" i="4"/>
  <c r="H2823" i="4" s="1"/>
  <c r="G2822" i="4"/>
  <c r="H2822" i="4" s="1"/>
  <c r="H2821" i="4"/>
  <c r="G2821" i="4"/>
  <c r="G2820" i="4"/>
  <c r="H2820" i="4" s="1"/>
  <c r="G2819" i="4"/>
  <c r="H2819" i="4" s="1"/>
  <c r="G2818" i="4"/>
  <c r="H2818" i="4" s="1"/>
  <c r="H2817" i="4"/>
  <c r="G2817" i="4"/>
  <c r="G2816" i="4"/>
  <c r="H2816" i="4" s="1"/>
  <c r="G2815" i="4"/>
  <c r="H2815" i="4" s="1"/>
  <c r="G2814" i="4"/>
  <c r="H2814" i="4" s="1"/>
  <c r="H2813" i="4"/>
  <c r="G2813" i="4"/>
  <c r="G2812" i="4"/>
  <c r="H2812" i="4" s="1"/>
  <c r="G2811" i="4"/>
  <c r="H2811" i="4" s="1"/>
  <c r="G2810" i="4"/>
  <c r="H2810" i="4" s="1"/>
  <c r="H2809" i="4"/>
  <c r="G2809" i="4"/>
  <c r="G2808" i="4"/>
  <c r="H2808" i="4" s="1"/>
  <c r="G2807" i="4"/>
  <c r="H2807" i="4" s="1"/>
  <c r="G2806" i="4"/>
  <c r="H2806" i="4" s="1"/>
  <c r="H2805" i="4"/>
  <c r="G2805" i="4"/>
  <c r="G2804" i="4"/>
  <c r="H2804" i="4" s="1"/>
  <c r="G2803" i="4"/>
  <c r="H2803" i="4" s="1"/>
  <c r="G2802" i="4"/>
  <c r="H2802" i="4" s="1"/>
  <c r="H2801" i="4"/>
  <c r="G2801" i="4"/>
  <c r="G2800" i="4"/>
  <c r="H2800" i="4" s="1"/>
  <c r="G2799" i="4"/>
  <c r="H2799" i="4" s="1"/>
  <c r="G2798" i="4"/>
  <c r="H2798" i="4" s="1"/>
  <c r="H2797" i="4"/>
  <c r="G2797" i="4"/>
  <c r="G2796" i="4"/>
  <c r="H2796" i="4" s="1"/>
  <c r="G2795" i="4"/>
  <c r="H2795" i="4" s="1"/>
  <c r="G2794" i="4"/>
  <c r="H2794" i="4" s="1"/>
  <c r="H2793" i="4"/>
  <c r="G2793" i="4"/>
  <c r="G2792" i="4"/>
  <c r="H2792" i="4" s="1"/>
  <c r="G2791" i="4"/>
  <c r="H2791" i="4" s="1"/>
  <c r="G2790" i="4"/>
  <c r="H2790" i="4" s="1"/>
  <c r="H2789" i="4"/>
  <c r="G2789" i="4"/>
  <c r="G2788" i="4"/>
  <c r="H2788" i="4" s="1"/>
  <c r="G2787" i="4"/>
  <c r="H2787" i="4" s="1"/>
  <c r="G2786" i="4"/>
  <c r="H2786" i="4" s="1"/>
  <c r="H2785" i="4"/>
  <c r="G2785" i="4"/>
  <c r="G2784" i="4"/>
  <c r="H2784" i="4" s="1"/>
  <c r="G2783" i="4"/>
  <c r="H2783" i="4" s="1"/>
  <c r="G2782" i="4"/>
  <c r="H2782" i="4" s="1"/>
  <c r="H2781" i="4"/>
  <c r="G2781" i="4"/>
  <c r="H2780" i="4"/>
  <c r="G2780" i="4"/>
  <c r="H2779" i="4"/>
  <c r="G2779" i="4"/>
  <c r="H2778" i="4"/>
  <c r="G2778" i="4"/>
  <c r="H2777" i="4"/>
  <c r="G2777" i="4"/>
  <c r="H2776" i="4"/>
  <c r="G2776" i="4"/>
  <c r="H2775" i="4"/>
  <c r="G2775" i="4"/>
  <c r="H2774" i="4"/>
  <c r="G2774" i="4"/>
  <c r="H2773" i="4"/>
  <c r="G2773" i="4"/>
  <c r="H2772" i="4"/>
  <c r="G2772" i="4"/>
  <c r="H2771" i="4"/>
  <c r="G2771" i="4"/>
  <c r="H2770" i="4"/>
  <c r="G2770" i="4"/>
  <c r="H2769" i="4"/>
  <c r="G2769" i="4"/>
  <c r="H2768" i="4"/>
  <c r="G2768" i="4"/>
  <c r="H2767" i="4"/>
  <c r="G2767" i="4"/>
  <c r="H2766" i="4"/>
  <c r="G2766" i="4"/>
  <c r="H2765" i="4"/>
  <c r="G2765" i="4"/>
  <c r="H2764" i="4"/>
  <c r="G2764" i="4"/>
  <c r="H2763" i="4"/>
  <c r="G2763" i="4"/>
  <c r="H2762" i="4"/>
  <c r="G2762" i="4"/>
  <c r="H2761" i="4"/>
  <c r="G2761" i="4"/>
  <c r="H2760" i="4"/>
  <c r="G2760" i="4"/>
  <c r="H2759" i="4"/>
  <c r="G2759" i="4"/>
  <c r="H2758" i="4"/>
  <c r="G2758" i="4"/>
  <c r="H2757" i="4"/>
  <c r="G2757" i="4"/>
  <c r="H2756" i="4"/>
  <c r="G2756" i="4"/>
  <c r="H2755" i="4"/>
  <c r="G2755" i="4"/>
  <c r="H2754" i="4"/>
  <c r="G2754" i="4"/>
  <c r="H2753" i="4"/>
  <c r="G2753" i="4"/>
  <c r="H2752" i="4"/>
  <c r="G2752" i="4"/>
  <c r="H2751" i="4"/>
  <c r="G2751" i="4"/>
  <c r="H2750" i="4"/>
  <c r="G2750" i="4"/>
  <c r="H2749" i="4"/>
  <c r="G2749" i="4"/>
  <c r="H2748" i="4"/>
  <c r="G2748" i="4"/>
  <c r="H2747" i="4"/>
  <c r="G2747" i="4"/>
  <c r="H2746" i="4"/>
  <c r="G2746" i="4"/>
  <c r="H2745" i="4"/>
  <c r="G2745" i="4"/>
  <c r="H2744" i="4"/>
  <c r="G2744" i="4"/>
  <c r="H2743" i="4"/>
  <c r="G2743" i="4"/>
  <c r="H2742" i="4"/>
  <c r="G2742" i="4"/>
  <c r="H2741" i="4"/>
  <c r="G2741" i="4"/>
  <c r="H2740" i="4"/>
  <c r="G2740" i="4"/>
  <c r="H2739" i="4"/>
  <c r="G2739" i="4"/>
  <c r="H2738" i="4"/>
  <c r="G2738" i="4"/>
  <c r="H2737" i="4"/>
  <c r="G2737" i="4"/>
  <c r="H2736" i="4"/>
  <c r="G2736" i="4"/>
  <c r="H2735" i="4"/>
  <c r="G2735" i="4"/>
  <c r="H2734" i="4"/>
  <c r="G2734" i="4"/>
  <c r="H2733" i="4"/>
  <c r="G2733" i="4"/>
  <c r="H2732" i="4"/>
  <c r="G2732" i="4"/>
  <c r="H2731" i="4"/>
  <c r="G2731" i="4"/>
  <c r="H2730" i="4"/>
  <c r="G2730" i="4"/>
  <c r="H2729" i="4"/>
  <c r="G2729" i="4"/>
  <c r="H2728" i="4"/>
  <c r="G2728" i="4"/>
  <c r="H2727" i="4"/>
  <c r="G2727" i="4"/>
  <c r="H2726" i="4"/>
  <c r="G2726" i="4"/>
  <c r="H2725" i="4"/>
  <c r="G2725" i="4"/>
  <c r="H2724" i="4"/>
  <c r="G2724" i="4"/>
  <c r="H2723" i="4"/>
  <c r="G2723" i="4"/>
  <c r="H2722" i="4"/>
  <c r="G2722" i="4"/>
  <c r="H2721" i="4"/>
  <c r="G2721" i="4"/>
  <c r="H2720" i="4"/>
  <c r="G2720" i="4"/>
  <c r="H2719" i="4"/>
  <c r="G2719" i="4"/>
  <c r="H2718" i="4"/>
  <c r="G2718" i="4"/>
  <c r="H2717" i="4"/>
  <c r="G2717" i="4"/>
  <c r="H2716" i="4"/>
  <c r="G2716" i="4"/>
  <c r="H2715" i="4"/>
  <c r="G2715" i="4"/>
  <c r="H2714" i="4"/>
  <c r="G2714" i="4"/>
  <c r="H2713" i="4"/>
  <c r="G2713" i="4"/>
  <c r="H2712" i="4"/>
  <c r="G2712" i="4"/>
  <c r="H2711" i="4"/>
  <c r="G2711" i="4"/>
  <c r="H2710" i="4"/>
  <c r="G2710" i="4"/>
  <c r="H2709" i="4"/>
  <c r="G2709" i="4"/>
  <c r="H2708" i="4"/>
  <c r="G2708" i="4"/>
  <c r="H2707" i="4"/>
  <c r="G2707" i="4"/>
  <c r="H2706" i="4"/>
  <c r="G2706" i="4"/>
  <c r="H2705" i="4"/>
  <c r="G2705" i="4"/>
  <c r="H2704" i="4"/>
  <c r="G2704" i="4"/>
  <c r="H2703" i="4"/>
  <c r="G2703" i="4"/>
  <c r="H2702" i="4"/>
  <c r="G2702" i="4"/>
  <c r="H2701" i="4"/>
  <c r="G2701" i="4"/>
  <c r="H2700" i="4"/>
  <c r="G2700" i="4"/>
  <c r="H2699" i="4"/>
  <c r="G2699" i="4"/>
  <c r="H2698" i="4"/>
  <c r="G2698" i="4"/>
  <c r="H2697" i="4"/>
  <c r="G2697" i="4"/>
  <c r="H2696" i="4"/>
  <c r="G2696" i="4"/>
  <c r="H2695" i="4"/>
  <c r="G2695" i="4"/>
  <c r="H2694" i="4"/>
  <c r="G2694" i="4"/>
  <c r="H2693" i="4"/>
  <c r="G2693" i="4"/>
  <c r="H2692" i="4"/>
  <c r="G2692" i="4"/>
  <c r="H2691" i="4"/>
  <c r="G2691" i="4"/>
  <c r="H2690" i="4"/>
  <c r="G2690" i="4"/>
  <c r="H2689" i="4"/>
  <c r="G2689" i="4"/>
  <c r="H2688" i="4"/>
  <c r="G2688" i="4"/>
  <c r="H2687" i="4"/>
  <c r="G2687" i="4"/>
  <c r="H2686" i="4"/>
  <c r="G2686" i="4"/>
  <c r="H2685" i="4"/>
  <c r="G2685" i="4"/>
  <c r="H2684" i="4"/>
  <c r="G2684" i="4"/>
  <c r="H2683" i="4"/>
  <c r="G2683" i="4"/>
  <c r="H2682" i="4"/>
  <c r="G2682" i="4"/>
  <c r="H2681" i="4"/>
  <c r="G2681" i="4"/>
  <c r="H2680" i="4"/>
  <c r="G2680" i="4"/>
  <c r="H2679" i="4"/>
  <c r="G2679" i="4"/>
  <c r="H2678" i="4"/>
  <c r="G2678" i="4"/>
  <c r="H2677" i="4"/>
  <c r="G2677" i="4"/>
  <c r="H2676" i="4"/>
  <c r="G2676" i="4"/>
  <c r="H2675" i="4"/>
  <c r="G2675" i="4"/>
  <c r="H2674" i="4"/>
  <c r="G2674" i="4"/>
  <c r="H2673" i="4"/>
  <c r="G2673" i="4"/>
  <c r="H2672" i="4"/>
  <c r="G2672" i="4"/>
  <c r="H2671" i="4"/>
  <c r="G2671" i="4"/>
  <c r="H2670" i="4"/>
  <c r="G2670" i="4"/>
  <c r="H2669" i="4"/>
  <c r="G2669" i="4"/>
  <c r="H2668" i="4"/>
  <c r="G2668" i="4"/>
  <c r="H2667" i="4"/>
  <c r="G2667" i="4"/>
  <c r="H2666" i="4"/>
  <c r="G2666" i="4"/>
  <c r="H2665" i="4"/>
  <c r="G2665" i="4"/>
  <c r="H2664" i="4"/>
  <c r="G2664" i="4"/>
  <c r="H2663" i="4"/>
  <c r="G2663" i="4"/>
  <c r="H2662" i="4"/>
  <c r="G2662" i="4"/>
  <c r="H2661" i="4"/>
  <c r="G2661" i="4"/>
  <c r="H2660" i="4"/>
  <c r="G2660" i="4"/>
  <c r="H2659" i="4"/>
  <c r="G2659" i="4"/>
  <c r="H2658" i="4"/>
  <c r="G2658" i="4"/>
  <c r="H2657" i="4"/>
  <c r="G2657" i="4"/>
  <c r="H2656" i="4"/>
  <c r="G2656" i="4"/>
  <c r="H2655" i="4"/>
  <c r="G2655" i="4"/>
  <c r="H2654" i="4"/>
  <c r="G2654" i="4"/>
  <c r="H2653" i="4"/>
  <c r="G2653" i="4"/>
  <c r="H2652" i="4"/>
  <c r="G2652" i="4"/>
  <c r="H2651" i="4"/>
  <c r="G2651" i="4"/>
  <c r="H2650" i="4"/>
  <c r="G2650" i="4"/>
  <c r="H2649" i="4"/>
  <c r="G2649" i="4"/>
  <c r="H2648" i="4"/>
  <c r="G2648" i="4"/>
  <c r="H2647" i="4"/>
  <c r="G2647" i="4"/>
  <c r="H2646" i="4"/>
  <c r="G2646" i="4"/>
  <c r="H2645" i="4"/>
  <c r="G2645" i="4"/>
  <c r="H2644" i="4"/>
  <c r="G2644" i="4"/>
  <c r="H2643" i="4"/>
  <c r="G2643" i="4"/>
  <c r="H2642" i="4"/>
  <c r="G2642" i="4"/>
  <c r="H2641" i="4"/>
  <c r="G2641" i="4"/>
  <c r="H2640" i="4"/>
  <c r="G2640" i="4"/>
  <c r="H2639" i="4"/>
  <c r="G2639" i="4"/>
  <c r="H2638" i="4"/>
  <c r="G2638" i="4"/>
  <c r="H2637" i="4"/>
  <c r="G2637" i="4"/>
  <c r="H2636" i="4"/>
  <c r="G2636" i="4"/>
  <c r="H2635" i="4"/>
  <c r="G2635" i="4"/>
  <c r="H2634" i="4"/>
  <c r="G2634" i="4"/>
  <c r="H2633" i="4"/>
  <c r="G2633" i="4"/>
  <c r="H2632" i="4"/>
  <c r="G2632" i="4"/>
  <c r="H2631" i="4"/>
  <c r="G2631" i="4"/>
  <c r="H2630" i="4"/>
  <c r="G2630" i="4"/>
  <c r="H2629" i="4"/>
  <c r="G2629" i="4"/>
  <c r="H2628" i="4"/>
  <c r="G2628" i="4"/>
  <c r="H2627" i="4"/>
  <c r="G2627" i="4"/>
  <c r="H2626" i="4"/>
  <c r="G2626" i="4"/>
  <c r="H2625" i="4"/>
  <c r="G2625" i="4"/>
  <c r="H2624" i="4"/>
  <c r="G2624" i="4"/>
  <c r="H2623" i="4"/>
  <c r="G2623" i="4"/>
  <c r="H2622" i="4"/>
  <c r="G2622" i="4"/>
  <c r="H2621" i="4"/>
  <c r="G2621" i="4"/>
  <c r="H2620" i="4"/>
  <c r="G2620" i="4"/>
  <c r="H2619" i="4"/>
  <c r="G2619" i="4"/>
  <c r="H2618" i="4"/>
  <c r="G2618" i="4"/>
  <c r="H2617" i="4"/>
  <c r="G2617" i="4"/>
  <c r="H2616" i="4"/>
  <c r="G2616" i="4"/>
  <c r="H2615" i="4"/>
  <c r="G2615" i="4"/>
  <c r="H2614" i="4"/>
  <c r="G2614" i="4"/>
  <c r="H2613" i="4"/>
  <c r="G2613" i="4"/>
  <c r="H2612" i="4"/>
  <c r="G2612" i="4"/>
  <c r="H2611" i="4"/>
  <c r="G2611" i="4"/>
  <c r="H2610" i="4"/>
  <c r="G2610" i="4"/>
  <c r="H2609" i="4"/>
  <c r="G2609" i="4"/>
  <c r="H2608" i="4"/>
  <c r="G2608" i="4"/>
  <c r="H2607" i="4"/>
  <c r="G2607" i="4"/>
  <c r="H2606" i="4"/>
  <c r="G2606" i="4"/>
  <c r="H2605" i="4"/>
  <c r="G2605" i="4"/>
  <c r="H2604" i="4"/>
  <c r="G2604" i="4"/>
  <c r="H2603" i="4"/>
  <c r="G2603" i="4"/>
  <c r="H2602" i="4"/>
  <c r="G2602" i="4"/>
  <c r="H2601" i="4"/>
  <c r="G2601" i="4"/>
  <c r="H2600" i="4"/>
  <c r="G2600" i="4"/>
  <c r="H2599" i="4"/>
  <c r="G2599" i="4"/>
  <c r="H2598" i="4"/>
  <c r="G2598" i="4"/>
  <c r="H2597" i="4"/>
  <c r="G2597" i="4"/>
  <c r="H2596" i="4"/>
  <c r="G2596" i="4"/>
  <c r="H2595" i="4"/>
  <c r="G2595" i="4"/>
  <c r="H2594" i="4"/>
  <c r="G2594" i="4"/>
  <c r="H2593" i="4"/>
  <c r="G2593" i="4"/>
  <c r="H2592" i="4"/>
  <c r="G2592" i="4"/>
  <c r="H2591" i="4"/>
  <c r="G2591" i="4"/>
  <c r="H2590" i="4"/>
  <c r="G2590" i="4"/>
  <c r="H2589" i="4"/>
  <c r="G2589" i="4"/>
  <c r="H2588" i="4"/>
  <c r="G2588" i="4"/>
  <c r="H2587" i="4"/>
  <c r="G2587" i="4"/>
  <c r="H2586" i="4"/>
  <c r="G2586" i="4"/>
  <c r="H2585" i="4"/>
  <c r="G2585" i="4"/>
  <c r="H2584" i="4"/>
  <c r="G2584" i="4"/>
  <c r="H2583" i="4"/>
  <c r="G2583" i="4"/>
  <c r="H2582" i="4"/>
  <c r="G2582" i="4"/>
  <c r="H2581" i="4"/>
  <c r="G2581" i="4"/>
  <c r="H2580" i="4"/>
  <c r="G2580" i="4"/>
  <c r="H2579" i="4"/>
  <c r="G2579" i="4"/>
  <c r="H2578" i="4"/>
  <c r="G2578" i="4"/>
  <c r="H2577" i="4"/>
  <c r="G2577" i="4"/>
  <c r="H2576" i="4"/>
  <c r="G2576" i="4"/>
  <c r="H2575" i="4"/>
  <c r="G2575" i="4"/>
  <c r="H2574" i="4"/>
  <c r="G2574" i="4"/>
  <c r="H2573" i="4"/>
  <c r="G2573" i="4"/>
  <c r="H2572" i="4"/>
  <c r="G2572" i="4"/>
  <c r="H2571" i="4"/>
  <c r="G2571" i="4"/>
  <c r="H2570" i="4"/>
  <c r="G2570" i="4"/>
  <c r="H2569" i="4"/>
  <c r="G2569" i="4"/>
  <c r="H2568" i="4"/>
  <c r="G2568" i="4"/>
  <c r="H2567" i="4"/>
  <c r="G2567" i="4"/>
  <c r="H2566" i="4"/>
  <c r="G2566" i="4"/>
  <c r="H2565" i="4"/>
  <c r="G2565" i="4"/>
  <c r="H2564" i="4"/>
  <c r="G2564" i="4"/>
  <c r="H2563" i="4"/>
  <c r="G2563" i="4"/>
  <c r="H2562" i="4"/>
  <c r="G2562" i="4"/>
  <c r="H2561" i="4"/>
  <c r="G2561" i="4"/>
  <c r="H2560" i="4"/>
  <c r="G2560" i="4"/>
  <c r="H2559" i="4"/>
  <c r="G2559" i="4"/>
  <c r="H2558" i="4"/>
  <c r="G2558" i="4"/>
  <c r="H2557" i="4"/>
  <c r="G2557" i="4"/>
  <c r="H2556" i="4"/>
  <c r="G2556" i="4"/>
  <c r="H2555" i="4"/>
  <c r="G2555" i="4"/>
  <c r="H2554" i="4"/>
  <c r="G2554" i="4"/>
  <c r="H2553" i="4"/>
  <c r="G2553" i="4"/>
  <c r="H2552" i="4"/>
  <c r="G2552" i="4"/>
  <c r="H2551" i="4"/>
  <c r="G2551" i="4"/>
  <c r="H2550" i="4"/>
  <c r="G2550" i="4"/>
  <c r="H2549" i="4"/>
  <c r="G2549" i="4"/>
  <c r="H2548" i="4"/>
  <c r="G2548" i="4"/>
  <c r="H2547" i="4"/>
  <c r="G2547" i="4"/>
  <c r="H2546" i="4"/>
  <c r="G2546" i="4"/>
  <c r="H2545" i="4"/>
  <c r="G2545" i="4"/>
  <c r="H2544" i="4"/>
  <c r="G2544" i="4"/>
  <c r="H2543" i="4"/>
  <c r="G2543" i="4"/>
  <c r="H2542" i="4"/>
  <c r="G2542" i="4"/>
  <c r="H2541" i="4"/>
  <c r="G2541" i="4"/>
  <c r="H2540" i="4"/>
  <c r="G2540" i="4"/>
  <c r="H2539" i="4"/>
  <c r="G2539" i="4"/>
  <c r="H2538" i="4"/>
  <c r="G2538" i="4"/>
  <c r="H2537" i="4"/>
  <c r="G2537" i="4"/>
  <c r="H2536" i="4"/>
  <c r="G2536" i="4"/>
  <c r="H2535" i="4"/>
  <c r="G2535" i="4"/>
  <c r="H2534" i="4"/>
  <c r="G2534" i="4"/>
  <c r="H2533" i="4"/>
  <c r="G2533" i="4"/>
  <c r="H2532" i="4"/>
  <c r="G2532" i="4"/>
  <c r="H2531" i="4"/>
  <c r="G2531" i="4"/>
  <c r="H2530" i="4"/>
  <c r="G2530" i="4"/>
  <c r="H2529" i="4"/>
  <c r="G2529" i="4"/>
  <c r="H2528" i="4"/>
  <c r="G2528" i="4"/>
  <c r="H2527" i="4"/>
  <c r="G2527" i="4"/>
  <c r="H2526" i="4"/>
  <c r="G2526" i="4"/>
  <c r="H2525" i="4"/>
  <c r="G2525" i="4"/>
  <c r="H2524" i="4"/>
  <c r="G2524" i="4"/>
  <c r="H2523" i="4"/>
  <c r="G2523" i="4"/>
  <c r="H2522" i="4"/>
  <c r="G2522" i="4"/>
  <c r="H2521" i="4"/>
  <c r="G2521" i="4"/>
  <c r="H2520" i="4"/>
  <c r="G2520" i="4"/>
  <c r="H2519" i="4"/>
  <c r="G2519" i="4"/>
  <c r="H2518" i="4"/>
  <c r="G2518" i="4"/>
  <c r="H2517" i="4"/>
  <c r="G2517" i="4"/>
  <c r="H2516" i="4"/>
  <c r="G2516" i="4"/>
  <c r="H2515" i="4"/>
  <c r="G2515" i="4"/>
  <c r="H2514" i="4"/>
  <c r="G2514" i="4"/>
  <c r="H2513" i="4"/>
  <c r="G2513" i="4"/>
  <c r="H2512" i="4"/>
  <c r="G2512" i="4"/>
  <c r="H2511" i="4"/>
  <c r="G2511" i="4"/>
  <c r="H2510" i="4"/>
  <c r="G2510" i="4"/>
  <c r="H2509" i="4"/>
  <c r="G2509" i="4"/>
  <c r="H2508" i="4"/>
  <c r="G2508" i="4"/>
  <c r="H2507" i="4"/>
  <c r="G2507" i="4"/>
  <c r="H2506" i="4"/>
  <c r="G2506" i="4"/>
  <c r="H2505" i="4"/>
  <c r="G2505" i="4"/>
  <c r="H2504" i="4"/>
  <c r="G2504" i="4"/>
  <c r="H2503" i="4"/>
  <c r="G2503" i="4"/>
  <c r="H2502" i="4"/>
  <c r="G2502" i="4"/>
  <c r="H2501" i="4"/>
  <c r="G2501" i="4"/>
  <c r="H2500" i="4"/>
  <c r="G2500" i="4"/>
  <c r="H2499" i="4"/>
  <c r="G2499" i="4"/>
  <c r="H2498" i="4"/>
  <c r="G2498" i="4"/>
  <c r="H2497" i="4"/>
  <c r="G2497" i="4"/>
  <c r="H2496" i="4"/>
  <c r="G2496" i="4"/>
  <c r="H2495" i="4"/>
  <c r="G2495" i="4"/>
  <c r="H2494" i="4"/>
  <c r="G2494" i="4"/>
  <c r="H2493" i="4"/>
  <c r="G2493" i="4"/>
  <c r="H2492" i="4"/>
  <c r="G2492" i="4"/>
  <c r="H2491" i="4"/>
  <c r="G2491" i="4"/>
  <c r="H2490" i="4"/>
  <c r="G2490" i="4"/>
  <c r="H2489" i="4"/>
  <c r="G2489" i="4"/>
  <c r="H2488" i="4"/>
  <c r="G2488" i="4"/>
  <c r="H2487" i="4"/>
  <c r="G2487" i="4"/>
  <c r="H2486" i="4"/>
  <c r="G2486" i="4"/>
  <c r="H2485" i="4"/>
  <c r="G2485" i="4"/>
  <c r="H2484" i="4"/>
  <c r="G2484" i="4"/>
  <c r="H2483" i="4"/>
  <c r="G2483" i="4"/>
  <c r="H2482" i="4"/>
  <c r="G2482" i="4"/>
  <c r="H2481" i="4"/>
  <c r="G2481" i="4"/>
  <c r="H2480" i="4"/>
  <c r="G2480" i="4"/>
  <c r="H2479" i="4"/>
  <c r="G2479" i="4"/>
  <c r="H2478" i="4"/>
  <c r="G2478" i="4"/>
  <c r="H2477" i="4"/>
  <c r="G2477" i="4"/>
  <c r="H2476" i="4"/>
  <c r="G2476" i="4"/>
  <c r="H2475" i="4"/>
  <c r="G2475" i="4"/>
  <c r="H2474" i="4"/>
  <c r="G2474" i="4"/>
  <c r="H2473" i="4"/>
  <c r="G2473" i="4"/>
  <c r="H2472" i="4"/>
  <c r="G2472" i="4"/>
  <c r="H2471" i="4"/>
  <c r="G2471" i="4"/>
  <c r="H2470" i="4"/>
  <c r="G2470" i="4"/>
  <c r="H2469" i="4"/>
  <c r="G2469" i="4"/>
  <c r="H2468" i="4"/>
  <c r="G2468" i="4"/>
  <c r="H2467" i="4"/>
  <c r="G2467" i="4"/>
  <c r="H2466" i="4"/>
  <c r="G2466" i="4"/>
  <c r="H2465" i="4"/>
  <c r="G2465" i="4"/>
  <c r="H2464" i="4"/>
  <c r="G2464" i="4"/>
  <c r="H2463" i="4"/>
  <c r="G2463" i="4"/>
  <c r="H2462" i="4"/>
  <c r="G2462" i="4"/>
  <c r="H2461" i="4"/>
  <c r="G2461" i="4"/>
  <c r="H2460" i="4"/>
  <c r="G2460" i="4"/>
  <c r="H2459" i="4"/>
  <c r="G2459" i="4"/>
  <c r="H2458" i="4"/>
  <c r="G2458" i="4"/>
  <c r="H2457" i="4"/>
  <c r="G2457" i="4"/>
  <c r="H2456" i="4"/>
  <c r="G2456" i="4"/>
  <c r="H2455" i="4"/>
  <c r="G2455" i="4"/>
  <c r="H2454" i="4"/>
  <c r="G2454" i="4"/>
  <c r="H2453" i="4"/>
  <c r="G2453" i="4"/>
  <c r="H2452" i="4"/>
  <c r="G2452" i="4"/>
  <c r="H2451" i="4"/>
  <c r="G2451" i="4"/>
  <c r="H2450" i="4"/>
  <c r="G2450" i="4"/>
  <c r="H2449" i="4"/>
  <c r="G2449" i="4"/>
  <c r="H2448" i="4"/>
  <c r="G2448" i="4"/>
  <c r="H2447" i="4"/>
  <c r="G2447" i="4"/>
  <c r="H2446" i="4"/>
  <c r="G2446" i="4"/>
  <c r="H2445" i="4"/>
  <c r="G2445" i="4"/>
  <c r="H2444" i="4"/>
  <c r="G2444" i="4"/>
  <c r="H2443" i="4"/>
  <c r="G2443" i="4"/>
  <c r="H2442" i="4"/>
  <c r="G2442" i="4"/>
  <c r="H2441" i="4"/>
  <c r="G2441" i="4"/>
  <c r="H2440" i="4"/>
  <c r="G2440" i="4"/>
  <c r="H2439" i="4"/>
  <c r="G2439" i="4"/>
  <c r="H2438" i="4"/>
  <c r="G2438" i="4"/>
  <c r="H2437" i="4"/>
  <c r="G2437" i="4"/>
  <c r="H2436" i="4"/>
  <c r="G2436" i="4"/>
  <c r="H2435" i="4"/>
  <c r="G2435" i="4"/>
  <c r="H2434" i="4"/>
  <c r="G2434" i="4"/>
  <c r="H2433" i="4"/>
  <c r="G2433" i="4"/>
  <c r="H2432" i="4"/>
  <c r="G2432" i="4"/>
  <c r="H2431" i="4"/>
  <c r="G2431" i="4"/>
  <c r="H2430" i="4"/>
  <c r="G2430" i="4"/>
  <c r="H2429" i="4"/>
  <c r="G2429" i="4"/>
  <c r="H2428" i="4"/>
  <c r="G2428" i="4"/>
  <c r="H2427" i="4"/>
  <c r="G2427" i="4"/>
  <c r="H2426" i="4"/>
  <c r="G2426" i="4"/>
  <c r="H2425" i="4"/>
  <c r="G2425" i="4"/>
  <c r="H2424" i="4"/>
  <c r="G2424" i="4"/>
  <c r="H2423" i="4"/>
  <c r="G2423" i="4"/>
  <c r="H2422" i="4"/>
  <c r="G2422" i="4"/>
  <c r="H2421" i="4"/>
  <c r="G2421" i="4"/>
  <c r="H2420" i="4"/>
  <c r="G2420" i="4"/>
  <c r="H2419" i="4"/>
  <c r="G2419" i="4"/>
  <c r="H2418" i="4"/>
  <c r="G2418" i="4"/>
  <c r="H2417" i="4"/>
  <c r="G2417" i="4"/>
  <c r="H2416" i="4"/>
  <c r="G2416" i="4"/>
  <c r="H2415" i="4"/>
  <c r="G2415" i="4"/>
  <c r="H2414" i="4"/>
  <c r="G2414" i="4"/>
  <c r="H2413" i="4"/>
  <c r="G2413" i="4"/>
  <c r="H2412" i="4"/>
  <c r="G2412" i="4"/>
  <c r="H2411" i="4"/>
  <c r="G2411" i="4"/>
  <c r="H2410" i="4"/>
  <c r="G2410" i="4"/>
  <c r="H2409" i="4"/>
  <c r="G2409" i="4"/>
  <c r="H2408" i="4"/>
  <c r="G2408" i="4"/>
  <c r="H2407" i="4"/>
  <c r="G2407" i="4"/>
  <c r="H2406" i="4"/>
  <c r="G2406" i="4"/>
  <c r="H2405" i="4"/>
  <c r="G2405" i="4"/>
  <c r="H2404" i="4"/>
  <c r="G2404" i="4"/>
  <c r="H2403" i="4"/>
  <c r="G2403" i="4"/>
  <c r="H2402" i="4"/>
  <c r="G2402" i="4"/>
  <c r="H2401" i="4"/>
  <c r="G2401" i="4"/>
  <c r="H2400" i="4"/>
  <c r="G2400" i="4"/>
  <c r="H2399" i="4"/>
  <c r="G2399" i="4"/>
  <c r="H2398" i="4"/>
  <c r="G2398" i="4"/>
  <c r="H2397" i="4"/>
  <c r="G2397" i="4"/>
  <c r="H2396" i="4"/>
  <c r="G2396" i="4"/>
  <c r="H2395" i="4"/>
  <c r="G2395" i="4"/>
  <c r="H2394" i="4"/>
  <c r="G2394" i="4"/>
  <c r="H2393" i="4"/>
  <c r="G2393" i="4"/>
  <c r="H2392" i="4"/>
  <c r="G2392" i="4"/>
  <c r="H2391" i="4"/>
  <c r="G2391" i="4"/>
  <c r="H2390" i="4"/>
  <c r="G2390" i="4"/>
  <c r="H2389" i="4"/>
  <c r="G2389" i="4"/>
  <c r="H2388" i="4"/>
  <c r="G2388" i="4"/>
  <c r="H2387" i="4"/>
  <c r="G2387" i="4"/>
  <c r="H2386" i="4"/>
  <c r="G2386" i="4"/>
  <c r="H2385" i="4"/>
  <c r="G2385" i="4"/>
  <c r="H2384" i="4"/>
  <c r="G2384" i="4"/>
  <c r="H2383" i="4"/>
  <c r="G2383" i="4"/>
  <c r="H2382" i="4"/>
  <c r="G2382" i="4"/>
  <c r="H2381" i="4"/>
  <c r="G2381" i="4"/>
  <c r="H2380" i="4"/>
  <c r="G2380" i="4"/>
  <c r="H2379" i="4"/>
  <c r="G2379" i="4"/>
  <c r="H2378" i="4"/>
  <c r="G2378" i="4"/>
  <c r="H2377" i="4"/>
  <c r="G2377" i="4"/>
  <c r="H2376" i="4"/>
  <c r="G2376" i="4"/>
  <c r="H2375" i="4"/>
  <c r="G2375" i="4"/>
  <c r="H2374" i="4"/>
  <c r="G2374" i="4"/>
  <c r="H2373" i="4"/>
  <c r="G2373" i="4"/>
  <c r="H2372" i="4"/>
  <c r="G2372" i="4"/>
  <c r="H2371" i="4"/>
  <c r="G2371" i="4"/>
  <c r="H2370" i="4"/>
  <c r="G2370" i="4"/>
  <c r="H2369" i="4"/>
  <c r="G2369" i="4"/>
  <c r="H2368" i="4"/>
  <c r="G2368" i="4"/>
  <c r="H2367" i="4"/>
  <c r="G2367" i="4"/>
  <c r="H2366" i="4"/>
  <c r="G2366" i="4"/>
  <c r="H2365" i="4"/>
  <c r="G2365" i="4"/>
  <c r="H2364" i="4"/>
  <c r="G2364" i="4"/>
  <c r="H2363" i="4"/>
  <c r="G2363" i="4"/>
  <c r="H2362" i="4"/>
  <c r="G2362" i="4"/>
  <c r="H2361" i="4"/>
  <c r="G2361" i="4"/>
  <c r="H2360" i="4"/>
  <c r="G2360" i="4"/>
  <c r="H2359" i="4"/>
  <c r="G2359" i="4"/>
  <c r="H2358" i="4"/>
  <c r="G2358" i="4"/>
  <c r="H2357" i="4"/>
  <c r="G2357" i="4"/>
  <c r="H2356" i="4"/>
  <c r="G2356" i="4"/>
  <c r="H2355" i="4"/>
  <c r="G2355" i="4"/>
  <c r="H2354" i="4"/>
  <c r="G2354" i="4"/>
  <c r="H2353" i="4"/>
  <c r="G2353" i="4"/>
  <c r="H2352" i="4"/>
  <c r="G2352" i="4"/>
  <c r="H2351" i="4"/>
  <c r="G2351" i="4"/>
  <c r="H2350" i="4"/>
  <c r="G2350" i="4"/>
  <c r="H2349" i="4"/>
  <c r="G2349" i="4"/>
  <c r="H2348" i="4"/>
  <c r="G2348" i="4"/>
  <c r="H2347" i="4"/>
  <c r="G2347" i="4"/>
  <c r="H2346" i="4"/>
  <c r="G2346" i="4"/>
  <c r="H2345" i="4"/>
  <c r="G2345" i="4"/>
  <c r="H2344" i="4"/>
  <c r="G2344" i="4"/>
  <c r="H2343" i="4"/>
  <c r="G2343" i="4"/>
  <c r="H2342" i="4"/>
  <c r="G2342" i="4"/>
  <c r="H2341" i="4"/>
  <c r="G2341" i="4"/>
  <c r="H2340" i="4"/>
  <c r="G2340" i="4"/>
  <c r="H2339" i="4"/>
  <c r="G2339" i="4"/>
  <c r="H2338" i="4"/>
  <c r="G2338" i="4"/>
  <c r="H2337" i="4"/>
  <c r="G2337" i="4"/>
  <c r="H2336" i="4"/>
  <c r="G2336" i="4"/>
  <c r="H2335" i="4"/>
  <c r="G2335" i="4"/>
  <c r="H2334" i="4"/>
  <c r="G2334" i="4"/>
  <c r="H2333" i="4"/>
  <c r="G2333" i="4"/>
  <c r="H2332" i="4"/>
  <c r="G2332" i="4"/>
  <c r="H2331" i="4"/>
  <c r="G2331" i="4"/>
  <c r="H2330" i="4"/>
  <c r="G2330" i="4"/>
  <c r="H2329" i="4"/>
  <c r="G2329" i="4"/>
  <c r="H2328" i="4"/>
  <c r="G2328" i="4"/>
  <c r="H2327" i="4"/>
  <c r="G2327" i="4"/>
  <c r="H2326" i="4"/>
  <c r="G2326" i="4"/>
  <c r="H2325" i="4"/>
  <c r="G2325" i="4"/>
  <c r="H2324" i="4"/>
  <c r="G2324" i="4"/>
  <c r="H2323" i="4"/>
  <c r="G2323" i="4"/>
  <c r="H2322" i="4"/>
  <c r="G2322" i="4"/>
  <c r="H2321" i="4"/>
  <c r="G2321" i="4"/>
  <c r="H2320" i="4"/>
  <c r="G2320" i="4"/>
  <c r="H2319" i="4"/>
  <c r="G2319" i="4"/>
  <c r="H2318" i="4"/>
  <c r="G2318" i="4"/>
  <c r="H2317" i="4"/>
  <c r="G2317" i="4"/>
  <c r="H2316" i="4"/>
  <c r="G2316" i="4"/>
  <c r="H2315" i="4"/>
  <c r="G2315" i="4"/>
  <c r="H2314" i="4"/>
  <c r="G2314" i="4"/>
  <c r="H2313" i="4"/>
  <c r="G2313" i="4"/>
  <c r="H2312" i="4"/>
  <c r="G2312" i="4"/>
  <c r="H2311" i="4"/>
  <c r="G2311" i="4"/>
  <c r="H2310" i="4"/>
  <c r="G2310" i="4"/>
  <c r="H2309" i="4"/>
  <c r="G2309" i="4"/>
  <c r="H2308" i="4"/>
  <c r="G2308" i="4"/>
  <c r="H2307" i="4"/>
  <c r="G2307" i="4"/>
  <c r="H2306" i="4"/>
  <c r="G2306" i="4"/>
  <c r="H2305" i="4"/>
  <c r="G2305" i="4"/>
  <c r="H2304" i="4"/>
  <c r="G2304" i="4"/>
  <c r="H2303" i="4"/>
  <c r="G2303" i="4"/>
  <c r="H2302" i="4"/>
  <c r="G2302" i="4"/>
  <c r="H2301" i="4"/>
  <c r="G2301" i="4"/>
  <c r="H2300" i="4"/>
  <c r="G2300" i="4"/>
  <c r="H2299" i="4"/>
  <c r="G2299" i="4"/>
  <c r="H2298" i="4"/>
  <c r="G2298" i="4"/>
  <c r="H2297" i="4"/>
  <c r="G2297" i="4"/>
  <c r="H2296" i="4"/>
  <c r="G2296" i="4"/>
  <c r="H2295" i="4"/>
  <c r="G2295" i="4"/>
  <c r="H2294" i="4"/>
  <c r="G2294" i="4"/>
  <c r="H2293" i="4"/>
  <c r="G2293" i="4"/>
  <c r="H2292" i="4"/>
  <c r="G2292" i="4"/>
  <c r="H2291" i="4"/>
  <c r="G2291" i="4"/>
  <c r="H2290" i="4"/>
  <c r="G2290" i="4"/>
  <c r="H2289" i="4"/>
  <c r="G2289" i="4"/>
  <c r="H2288" i="4"/>
  <c r="G2288" i="4"/>
  <c r="H2287" i="4"/>
  <c r="G2287" i="4"/>
  <c r="H2286" i="4"/>
  <c r="G2286" i="4"/>
  <c r="H2285" i="4"/>
  <c r="G2285" i="4"/>
  <c r="H2284" i="4"/>
  <c r="G2284" i="4"/>
  <c r="H2283" i="4"/>
  <c r="G2283" i="4"/>
  <c r="H2282" i="4"/>
  <c r="G2282" i="4"/>
  <c r="H2281" i="4"/>
  <c r="G2281" i="4"/>
  <c r="H2280" i="4"/>
  <c r="G2280" i="4"/>
  <c r="H2279" i="4"/>
  <c r="G2279" i="4"/>
  <c r="H2278" i="4"/>
  <c r="G2278" i="4"/>
  <c r="H2277" i="4"/>
  <c r="G2277" i="4"/>
  <c r="H2276" i="4"/>
  <c r="G2276" i="4"/>
  <c r="H2275" i="4"/>
  <c r="G2275" i="4"/>
  <c r="H2274" i="4"/>
  <c r="G2274" i="4"/>
  <c r="H2273" i="4"/>
  <c r="G2273" i="4"/>
  <c r="H2272" i="4"/>
  <c r="G2272" i="4"/>
  <c r="H2271" i="4"/>
  <c r="G2271" i="4"/>
  <c r="H2270" i="4"/>
  <c r="G2270" i="4"/>
  <c r="H2269" i="4"/>
  <c r="G2269" i="4"/>
  <c r="H2268" i="4"/>
  <c r="G2268" i="4"/>
  <c r="H2267" i="4"/>
  <c r="G2267" i="4"/>
  <c r="H2266" i="4"/>
  <c r="G2266" i="4"/>
  <c r="H2265" i="4"/>
  <c r="G2265" i="4"/>
  <c r="H2264" i="4"/>
  <c r="G2264" i="4"/>
  <c r="H2263" i="4"/>
  <c r="G2263" i="4"/>
  <c r="H2262" i="4"/>
  <c r="G2262" i="4"/>
  <c r="H2261" i="4"/>
  <c r="G2261" i="4"/>
  <c r="H2260" i="4"/>
  <c r="G2260" i="4"/>
  <c r="H2259" i="4"/>
  <c r="G2259" i="4"/>
  <c r="H2258" i="4"/>
  <c r="G2258" i="4"/>
  <c r="H2257" i="4"/>
  <c r="G2257" i="4"/>
  <c r="H2256" i="4"/>
  <c r="G2256" i="4"/>
  <c r="H2255" i="4"/>
  <c r="G2255" i="4"/>
  <c r="H2254" i="4"/>
  <c r="G2254" i="4"/>
  <c r="H2253" i="4"/>
  <c r="G2253" i="4"/>
  <c r="H2252" i="4"/>
  <c r="G2252" i="4"/>
  <c r="H2251" i="4"/>
  <c r="G2251" i="4"/>
  <c r="H2250" i="4"/>
  <c r="G2250" i="4"/>
  <c r="H2249" i="4"/>
  <c r="G2249" i="4"/>
  <c r="H2248" i="4"/>
  <c r="G2248" i="4"/>
  <c r="H2247" i="4"/>
  <c r="G2247" i="4"/>
  <c r="H2246" i="4"/>
  <c r="G2246" i="4"/>
  <c r="H2245" i="4"/>
  <c r="G2245" i="4"/>
  <c r="H2244" i="4"/>
  <c r="G2244" i="4"/>
  <c r="H2243" i="4"/>
  <c r="G2243" i="4"/>
  <c r="H2242" i="4"/>
  <c r="G2242" i="4"/>
  <c r="H2241" i="4"/>
  <c r="G2241" i="4"/>
  <c r="H2240" i="4"/>
  <c r="G2240" i="4"/>
  <c r="H2239" i="4"/>
  <c r="G2239" i="4"/>
  <c r="H2238" i="4"/>
  <c r="G2238" i="4"/>
  <c r="H2237" i="4"/>
  <c r="G2237" i="4"/>
  <c r="H2236" i="4"/>
  <c r="G2236" i="4"/>
  <c r="H2235" i="4"/>
  <c r="G2235" i="4"/>
  <c r="H2234" i="4"/>
  <c r="G2234" i="4"/>
  <c r="H2233" i="4"/>
  <c r="G2233" i="4"/>
  <c r="H2232" i="4"/>
  <c r="G2232" i="4"/>
  <c r="H2231" i="4"/>
  <c r="G2231" i="4"/>
  <c r="H2230" i="4"/>
  <c r="G2230" i="4"/>
  <c r="H2229" i="4"/>
  <c r="G2229" i="4"/>
  <c r="H2228" i="4"/>
  <c r="G2228" i="4"/>
  <c r="H2227" i="4"/>
  <c r="G2227" i="4"/>
  <c r="H2226" i="4"/>
  <c r="G2226" i="4"/>
  <c r="H2225" i="4"/>
  <c r="G2225" i="4"/>
  <c r="H2224" i="4"/>
  <c r="G2224" i="4"/>
  <c r="H2223" i="4"/>
  <c r="G2223" i="4"/>
  <c r="H2222" i="4"/>
  <c r="G2222" i="4"/>
  <c r="H2221" i="4"/>
  <c r="G2221" i="4"/>
  <c r="H2220" i="4"/>
  <c r="G2220" i="4"/>
  <c r="H2219" i="4"/>
  <c r="G2219" i="4"/>
  <c r="H2218" i="4"/>
  <c r="G2218" i="4"/>
  <c r="H2217" i="4"/>
  <c r="G2217" i="4"/>
  <c r="H2216" i="4"/>
  <c r="G2216" i="4"/>
  <c r="H2215" i="4"/>
  <c r="G2215" i="4"/>
  <c r="H2214" i="4"/>
  <c r="G2214" i="4"/>
  <c r="H2213" i="4"/>
  <c r="G2213" i="4"/>
  <c r="H2212" i="4"/>
  <c r="G2212" i="4"/>
  <c r="H2211" i="4"/>
  <c r="G2211" i="4"/>
  <c r="H2210" i="4"/>
  <c r="G2210" i="4"/>
  <c r="H2209" i="4"/>
  <c r="G2209" i="4"/>
  <c r="H2208" i="4"/>
  <c r="G2208" i="4"/>
  <c r="H2207" i="4"/>
  <c r="G2207" i="4"/>
  <c r="H2206" i="4"/>
  <c r="G2206" i="4"/>
  <c r="H2205" i="4"/>
  <c r="G2205" i="4"/>
  <c r="H2204" i="4"/>
  <c r="G2204" i="4"/>
  <c r="H2203" i="4"/>
  <c r="G2203" i="4"/>
  <c r="H2202" i="4"/>
  <c r="G2202" i="4"/>
  <c r="H2201" i="4"/>
  <c r="G2201" i="4"/>
  <c r="H2200" i="4"/>
  <c r="G2200" i="4"/>
  <c r="H2199" i="4"/>
  <c r="G2199" i="4"/>
  <c r="H2198" i="4"/>
  <c r="G2198" i="4"/>
  <c r="H2197" i="4"/>
  <c r="G2197" i="4"/>
  <c r="H2196" i="4"/>
  <c r="G2196" i="4"/>
  <c r="H2195" i="4"/>
  <c r="G2195" i="4"/>
  <c r="H2194" i="4"/>
  <c r="G2194" i="4"/>
  <c r="H2193" i="4"/>
  <c r="G2193" i="4"/>
  <c r="H2192" i="4"/>
  <c r="G2192" i="4"/>
  <c r="H2191" i="4"/>
  <c r="G2191" i="4"/>
  <c r="H2190" i="4"/>
  <c r="G2190" i="4"/>
  <c r="H2189" i="4"/>
  <c r="G2189" i="4"/>
  <c r="H2188" i="4"/>
  <c r="G2188" i="4"/>
  <c r="H2187" i="4"/>
  <c r="G2187" i="4"/>
  <c r="H2186" i="4"/>
  <c r="G2186" i="4"/>
  <c r="H2185" i="4"/>
  <c r="G2185" i="4"/>
  <c r="H2184" i="4"/>
  <c r="G2184" i="4"/>
  <c r="H2183" i="4"/>
  <c r="G2183" i="4"/>
  <c r="H2182" i="4"/>
  <c r="G2182" i="4"/>
  <c r="H2181" i="4"/>
  <c r="G2181" i="4"/>
  <c r="H2180" i="4"/>
  <c r="G2180" i="4"/>
  <c r="H2179" i="4"/>
  <c r="G2179" i="4"/>
  <c r="H2178" i="4"/>
  <c r="G2178" i="4"/>
  <c r="H2177" i="4"/>
  <c r="G2177" i="4"/>
  <c r="H2176" i="4"/>
  <c r="G2176" i="4"/>
  <c r="H2175" i="4"/>
  <c r="G2175" i="4"/>
  <c r="H2174" i="4"/>
  <c r="G2174" i="4"/>
  <c r="H2173" i="4"/>
  <c r="G2173" i="4"/>
  <c r="H2172" i="4"/>
  <c r="G2172" i="4"/>
  <c r="H2171" i="4"/>
  <c r="G2171" i="4"/>
  <c r="H2170" i="4"/>
  <c r="G2170" i="4"/>
  <c r="H2169" i="4"/>
  <c r="G2169" i="4"/>
  <c r="H2168" i="4"/>
  <c r="G2168" i="4"/>
  <c r="H2167" i="4"/>
  <c r="G2167" i="4"/>
  <c r="H2166" i="4"/>
  <c r="G2166" i="4"/>
  <c r="H2165" i="4"/>
  <c r="G2165" i="4"/>
  <c r="H2164" i="4"/>
  <c r="G2164" i="4"/>
  <c r="H2163" i="4"/>
  <c r="G2163" i="4"/>
  <c r="H2162" i="4"/>
  <c r="G2162" i="4"/>
  <c r="H2161" i="4"/>
  <c r="G2161" i="4"/>
  <c r="H2160" i="4"/>
  <c r="G2160" i="4"/>
  <c r="H2159" i="4"/>
  <c r="G2159" i="4"/>
  <c r="H2158" i="4"/>
  <c r="G2158" i="4"/>
  <c r="H2157" i="4"/>
  <c r="G2157" i="4"/>
  <c r="H2156" i="4"/>
  <c r="G2156" i="4"/>
  <c r="H2155" i="4"/>
  <c r="G2155" i="4"/>
  <c r="H2154" i="4"/>
  <c r="G2154" i="4"/>
  <c r="H2153" i="4"/>
  <c r="G2153" i="4"/>
  <c r="H2152" i="4"/>
  <c r="G2152" i="4"/>
  <c r="H2151" i="4"/>
  <c r="G2151" i="4"/>
  <c r="H2150" i="4"/>
  <c r="G2150" i="4"/>
  <c r="H2149" i="4"/>
  <c r="G2149" i="4"/>
  <c r="H2148" i="4"/>
  <c r="G2148" i="4"/>
  <c r="H2147" i="4"/>
  <c r="G2147" i="4"/>
  <c r="H2146" i="4"/>
  <c r="G2146" i="4"/>
  <c r="H2145" i="4"/>
  <c r="G2145" i="4"/>
  <c r="H2144" i="4"/>
  <c r="G2144" i="4"/>
  <c r="H2143" i="4"/>
  <c r="G2143" i="4"/>
  <c r="H2142" i="4"/>
  <c r="G2142" i="4"/>
  <c r="H2141" i="4"/>
  <c r="G2141" i="4"/>
  <c r="H2140" i="4"/>
  <c r="G2140" i="4"/>
  <c r="H2139" i="4"/>
  <c r="G2139" i="4"/>
  <c r="H2138" i="4"/>
  <c r="G2138" i="4"/>
  <c r="H2137" i="4"/>
  <c r="G2137" i="4"/>
  <c r="H2136" i="4"/>
  <c r="G2136" i="4"/>
  <c r="H2135" i="4"/>
  <c r="G2135" i="4"/>
  <c r="H2134" i="4"/>
  <c r="G2134" i="4"/>
  <c r="H2133" i="4"/>
  <c r="G2133" i="4"/>
  <c r="H2132" i="4"/>
  <c r="G2132" i="4"/>
  <c r="H2131" i="4"/>
  <c r="G2131" i="4"/>
  <c r="H2130" i="4"/>
  <c r="G2130" i="4"/>
  <c r="H2129" i="4"/>
  <c r="G2129" i="4"/>
  <c r="H2128" i="4"/>
  <c r="G2128" i="4"/>
  <c r="H2127" i="4"/>
  <c r="G2127" i="4"/>
  <c r="H2126" i="4"/>
  <c r="G2126" i="4"/>
  <c r="H2125" i="4"/>
  <c r="G2125" i="4"/>
  <c r="H2124" i="4"/>
  <c r="G2124" i="4"/>
  <c r="H2123" i="4"/>
  <c r="G2123" i="4"/>
  <c r="H2122" i="4"/>
  <c r="G2122" i="4"/>
  <c r="H2121" i="4"/>
  <c r="G2121" i="4"/>
  <c r="H2120" i="4"/>
  <c r="G2120" i="4"/>
  <c r="H2119" i="4"/>
  <c r="G2119" i="4"/>
  <c r="H2118" i="4"/>
  <c r="G2118" i="4"/>
  <c r="H2117" i="4"/>
  <c r="G2117" i="4"/>
  <c r="H2116" i="4"/>
  <c r="G2116" i="4"/>
  <c r="H2115" i="4"/>
  <c r="G2115" i="4"/>
  <c r="H2114" i="4"/>
  <c r="G2114" i="4"/>
  <c r="H2113" i="4"/>
  <c r="G2113" i="4"/>
  <c r="H2112" i="4"/>
  <c r="G2112" i="4"/>
  <c r="H2111" i="4"/>
  <c r="G2111" i="4"/>
  <c r="H2110" i="4"/>
  <c r="G2110" i="4"/>
  <c r="H2109" i="4"/>
  <c r="G2109" i="4"/>
  <c r="H2108" i="4"/>
  <c r="G2108" i="4"/>
  <c r="H2107" i="4"/>
  <c r="G2107" i="4"/>
  <c r="H2106" i="4"/>
  <c r="G2106" i="4"/>
  <c r="H2105" i="4"/>
  <c r="G2105" i="4"/>
  <c r="H2104" i="4"/>
  <c r="G2104" i="4"/>
  <c r="H2103" i="4"/>
  <c r="G2103" i="4"/>
  <c r="H2102" i="4"/>
  <c r="G2102" i="4"/>
  <c r="H2101" i="4"/>
  <c r="G2101" i="4"/>
  <c r="H2100" i="4"/>
  <c r="G2100" i="4"/>
  <c r="H2099" i="4"/>
  <c r="G2099" i="4"/>
  <c r="H2098" i="4"/>
  <c r="G2098" i="4"/>
  <c r="H2097" i="4"/>
  <c r="G2097" i="4"/>
  <c r="H2096" i="4"/>
  <c r="G2096" i="4"/>
  <c r="H2095" i="4"/>
  <c r="G2095" i="4"/>
  <c r="H2094" i="4"/>
  <c r="G2094" i="4"/>
  <c r="H2093" i="4"/>
  <c r="G2093" i="4"/>
  <c r="H2092" i="4"/>
  <c r="G2092" i="4"/>
  <c r="H2091" i="4"/>
  <c r="G2091" i="4"/>
  <c r="H2090" i="4"/>
  <c r="G2090" i="4"/>
  <c r="H2089" i="4"/>
  <c r="G2089" i="4"/>
  <c r="H2088" i="4"/>
  <c r="G2088" i="4"/>
  <c r="H2087" i="4"/>
  <c r="G2087" i="4"/>
  <c r="H2086" i="4"/>
  <c r="G2086" i="4"/>
  <c r="H2085" i="4"/>
  <c r="G2085" i="4"/>
  <c r="H2084" i="4"/>
  <c r="G2084" i="4"/>
  <c r="H2083" i="4"/>
  <c r="G2083" i="4"/>
  <c r="H2082" i="4"/>
  <c r="G2082" i="4"/>
  <c r="H2081" i="4"/>
  <c r="G2081" i="4"/>
  <c r="H2080" i="4"/>
  <c r="G2080" i="4"/>
  <c r="H2079" i="4"/>
  <c r="G2079" i="4"/>
  <c r="H2078" i="4"/>
  <c r="G2078" i="4"/>
  <c r="H2077" i="4"/>
  <c r="G2077" i="4"/>
  <c r="H2076" i="4"/>
  <c r="G2076" i="4"/>
  <c r="H2075" i="4"/>
  <c r="G2075" i="4"/>
  <c r="H2074" i="4"/>
  <c r="G2074" i="4"/>
  <c r="H2073" i="4"/>
  <c r="G2073" i="4"/>
  <c r="H2072" i="4"/>
  <c r="G2072" i="4"/>
  <c r="H2071" i="4"/>
  <c r="G2071" i="4"/>
  <c r="H2070" i="4"/>
  <c r="G2070" i="4"/>
  <c r="H2069" i="4"/>
  <c r="G2069" i="4"/>
  <c r="H2068" i="4"/>
  <c r="G2068" i="4"/>
  <c r="H2067" i="4"/>
  <c r="G2067" i="4"/>
  <c r="H2066" i="4"/>
  <c r="G2066" i="4"/>
  <c r="H2065" i="4"/>
  <c r="G2065" i="4"/>
  <c r="H2064" i="4"/>
  <c r="G2064" i="4"/>
  <c r="H2063" i="4"/>
  <c r="G2063" i="4"/>
  <c r="H2062" i="4"/>
  <c r="G2062" i="4"/>
  <c r="H2061" i="4"/>
  <c r="G2061" i="4"/>
  <c r="H2060" i="4"/>
  <c r="G2060" i="4"/>
  <c r="H2059" i="4"/>
  <c r="G2059" i="4"/>
  <c r="H2058" i="4"/>
  <c r="G2058" i="4"/>
  <c r="H2057" i="4"/>
  <c r="G2057" i="4"/>
  <c r="H2056" i="4"/>
  <c r="G2056" i="4"/>
  <c r="H2055" i="4"/>
  <c r="G2055" i="4"/>
  <c r="H2054" i="4"/>
  <c r="G2054" i="4"/>
  <c r="H2053" i="4"/>
  <c r="G2053" i="4"/>
  <c r="H2052" i="4"/>
  <c r="G2052" i="4"/>
  <c r="H2051" i="4"/>
  <c r="G2051" i="4"/>
  <c r="H2050" i="4"/>
  <c r="G2050" i="4"/>
  <c r="H2049" i="4"/>
  <c r="G2049" i="4"/>
  <c r="H2048" i="4"/>
  <c r="G2048" i="4"/>
  <c r="H2047" i="4"/>
  <c r="G2047" i="4"/>
  <c r="H2046" i="4"/>
  <c r="G2046" i="4"/>
  <c r="H2045" i="4"/>
  <c r="G2045" i="4"/>
  <c r="H2044" i="4"/>
  <c r="G2044" i="4"/>
  <c r="H2043" i="4"/>
  <c r="G2043" i="4"/>
  <c r="H2042" i="4"/>
  <c r="G2042" i="4"/>
  <c r="H2041" i="4"/>
  <c r="G2041" i="4"/>
  <c r="H2040" i="4"/>
  <c r="G2040" i="4"/>
  <c r="H2039" i="4"/>
  <c r="G2039" i="4"/>
  <c r="H2038" i="4"/>
  <c r="G2038" i="4"/>
  <c r="H2037" i="4"/>
  <c r="G2037" i="4"/>
  <c r="H2036" i="4"/>
  <c r="G2036" i="4"/>
  <c r="H2035" i="4"/>
  <c r="G2035" i="4"/>
  <c r="H2034" i="4"/>
  <c r="G2034" i="4"/>
  <c r="H2033" i="4"/>
  <c r="G2033" i="4"/>
  <c r="H2032" i="4"/>
  <c r="G2032" i="4"/>
  <c r="H2031" i="4"/>
  <c r="G2031" i="4"/>
  <c r="H2030" i="4"/>
  <c r="G2030" i="4"/>
  <c r="H2029" i="4"/>
  <c r="G2029" i="4"/>
  <c r="H2028" i="4"/>
  <c r="G2028" i="4"/>
  <c r="H2027" i="4"/>
  <c r="G2027" i="4"/>
  <c r="H2026" i="4"/>
  <c r="G2026" i="4"/>
  <c r="H2025" i="4"/>
  <c r="G2025" i="4"/>
  <c r="H2024" i="4"/>
  <c r="G2024" i="4"/>
  <c r="H2023" i="4"/>
  <c r="G2023" i="4"/>
  <c r="H2022" i="4"/>
  <c r="G2022" i="4"/>
  <c r="H2021" i="4"/>
  <c r="G2021" i="4"/>
  <c r="H2020" i="4"/>
  <c r="G2020" i="4"/>
  <c r="H2019" i="4"/>
  <c r="G2019" i="4"/>
  <c r="H2018" i="4"/>
  <c r="G2018" i="4"/>
  <c r="H2017" i="4"/>
  <c r="G2017" i="4"/>
  <c r="H2016" i="4"/>
  <c r="G2016" i="4"/>
  <c r="H2015" i="4"/>
  <c r="G2015" i="4"/>
  <c r="H2014" i="4"/>
  <c r="G2014" i="4"/>
  <c r="H2013" i="4"/>
  <c r="G2013" i="4"/>
  <c r="H2012" i="4"/>
  <c r="G2012" i="4"/>
  <c r="H2011" i="4"/>
  <c r="G2011" i="4"/>
  <c r="H2010" i="4"/>
  <c r="G2010" i="4"/>
  <c r="H2009" i="4"/>
  <c r="G2009" i="4"/>
  <c r="H2008" i="4"/>
  <c r="G2008" i="4"/>
  <c r="H2007" i="4"/>
  <c r="G2007" i="4"/>
  <c r="H2006" i="4"/>
  <c r="G2006" i="4"/>
  <c r="H2005" i="4"/>
  <c r="G2005" i="4"/>
  <c r="H2004" i="4"/>
  <c r="G2004" i="4"/>
  <c r="H2003" i="4"/>
  <c r="G2003" i="4"/>
  <c r="H2002" i="4"/>
  <c r="G2002" i="4"/>
  <c r="H2001" i="4"/>
  <c r="G2001" i="4"/>
  <c r="H2000" i="4"/>
  <c r="G2000" i="4"/>
  <c r="H1999" i="4"/>
  <c r="G1999" i="4"/>
  <c r="H1998" i="4"/>
  <c r="G1998" i="4"/>
  <c r="H1997" i="4"/>
  <c r="G1997" i="4"/>
  <c r="H1996" i="4"/>
  <c r="G1996" i="4"/>
  <c r="H1995" i="4"/>
  <c r="G1995" i="4"/>
  <c r="H1994" i="4"/>
  <c r="G1994" i="4"/>
  <c r="H1993" i="4"/>
  <c r="G1993" i="4"/>
  <c r="H1992" i="4"/>
  <c r="G1992" i="4"/>
  <c r="H1991" i="4"/>
  <c r="G1991" i="4"/>
  <c r="H1990" i="4"/>
  <c r="G1990" i="4"/>
  <c r="H1989" i="4"/>
  <c r="G1989" i="4"/>
  <c r="H1988" i="4"/>
  <c r="G1988" i="4"/>
  <c r="H1987" i="4"/>
  <c r="G1987" i="4"/>
  <c r="H1986" i="4"/>
  <c r="G1986" i="4"/>
  <c r="H1985" i="4"/>
  <c r="G1985" i="4"/>
  <c r="H1984" i="4"/>
  <c r="G1984" i="4"/>
  <c r="H1983" i="4"/>
  <c r="G1983" i="4"/>
  <c r="H1982" i="4"/>
  <c r="G1982" i="4"/>
  <c r="H1981" i="4"/>
  <c r="G1981" i="4"/>
  <c r="H1980" i="4"/>
  <c r="G1980" i="4"/>
  <c r="H1979" i="4"/>
  <c r="G1979" i="4"/>
  <c r="H1978" i="4"/>
  <c r="G1978" i="4"/>
  <c r="H1977" i="4"/>
  <c r="G1977" i="4"/>
  <c r="H1976" i="4"/>
  <c r="G1976" i="4"/>
  <c r="H1975" i="4"/>
  <c r="G1975" i="4"/>
  <c r="H1974" i="4"/>
  <c r="G1974" i="4"/>
  <c r="H1973" i="4"/>
  <c r="G1973" i="4"/>
  <c r="H1972" i="4"/>
  <c r="G1972" i="4"/>
  <c r="H1971" i="4"/>
  <c r="G1971" i="4"/>
  <c r="H1970" i="4"/>
  <c r="G1970" i="4"/>
  <c r="H1969" i="4"/>
  <c r="G1969" i="4"/>
  <c r="H1968" i="4"/>
  <c r="G1968" i="4"/>
  <c r="H1967" i="4"/>
  <c r="G1967" i="4"/>
  <c r="H1966" i="4"/>
  <c r="G1966" i="4"/>
  <c r="H1965" i="4"/>
  <c r="G1965" i="4"/>
  <c r="H1964" i="4"/>
  <c r="G1964" i="4"/>
  <c r="H1963" i="4"/>
  <c r="G1963" i="4"/>
  <c r="H1962" i="4"/>
  <c r="G1962" i="4"/>
  <c r="H1961" i="4"/>
  <c r="G1961" i="4"/>
  <c r="H1960" i="4"/>
  <c r="G1960" i="4"/>
  <c r="H1959" i="4"/>
  <c r="G1959" i="4"/>
  <c r="H1958" i="4"/>
  <c r="G1958" i="4"/>
  <c r="H1957" i="4"/>
  <c r="G1957" i="4"/>
  <c r="H1956" i="4"/>
  <c r="G1956" i="4"/>
  <c r="H1955" i="4"/>
  <c r="G1955" i="4"/>
  <c r="H1954" i="4"/>
  <c r="G1954" i="4"/>
  <c r="H1953" i="4"/>
  <c r="G1953" i="4"/>
  <c r="H1952" i="4"/>
  <c r="G1952" i="4"/>
  <c r="H1951" i="4"/>
  <c r="G1951" i="4"/>
  <c r="H1950" i="4"/>
  <c r="G1950" i="4"/>
  <c r="H1949" i="4"/>
  <c r="G1949" i="4"/>
  <c r="H1948" i="4"/>
  <c r="G1948" i="4"/>
  <c r="H1947" i="4"/>
  <c r="G1947" i="4"/>
  <c r="H1946" i="4"/>
  <c r="G1946" i="4"/>
  <c r="H1945" i="4"/>
  <c r="G1945" i="4"/>
  <c r="H1944" i="4"/>
  <c r="G1944" i="4"/>
  <c r="H1943" i="4"/>
  <c r="G1943" i="4"/>
  <c r="H1942" i="4"/>
  <c r="G1942" i="4"/>
  <c r="H1941" i="4"/>
  <c r="G1941" i="4"/>
  <c r="H1940" i="4"/>
  <c r="G1940" i="4"/>
  <c r="H1939" i="4"/>
  <c r="G1939" i="4"/>
  <c r="H1938" i="4"/>
  <c r="G1938" i="4"/>
  <c r="H1937" i="4"/>
  <c r="G1937" i="4"/>
  <c r="H1936" i="4"/>
  <c r="G1936" i="4"/>
  <c r="H1935" i="4"/>
  <c r="G1935" i="4"/>
  <c r="H1934" i="4"/>
  <c r="G1934" i="4"/>
  <c r="H1933" i="4"/>
  <c r="G1933" i="4"/>
  <c r="H1932" i="4"/>
  <c r="G1932" i="4"/>
  <c r="H1931" i="4"/>
  <c r="G1931" i="4"/>
  <c r="H1930" i="4"/>
  <c r="G1930" i="4"/>
  <c r="H1929" i="4"/>
  <c r="G1929" i="4"/>
  <c r="H1928" i="4"/>
  <c r="G1928" i="4"/>
  <c r="H1927" i="4"/>
  <c r="G1927" i="4"/>
  <c r="H1926" i="4"/>
  <c r="G1926" i="4"/>
  <c r="H1925" i="4"/>
  <c r="G1925" i="4"/>
  <c r="H1924" i="4"/>
  <c r="G1924" i="4"/>
  <c r="H1923" i="4"/>
  <c r="G1923" i="4"/>
  <c r="H1922" i="4"/>
  <c r="G1922" i="4"/>
  <c r="H1921" i="4"/>
  <c r="G1921" i="4"/>
  <c r="H1920" i="4"/>
  <c r="G1920" i="4"/>
  <c r="H1919" i="4"/>
  <c r="G1919" i="4"/>
  <c r="H1918" i="4"/>
  <c r="G1918" i="4"/>
  <c r="H1917" i="4"/>
  <c r="G1917" i="4"/>
  <c r="H1916" i="4"/>
  <c r="G1916" i="4"/>
  <c r="H1915" i="4"/>
  <c r="G1915" i="4"/>
  <c r="H1914" i="4"/>
  <c r="G1914" i="4"/>
  <c r="H1913" i="4"/>
  <c r="G1913" i="4"/>
  <c r="H1912" i="4"/>
  <c r="G1912" i="4"/>
  <c r="H1911" i="4"/>
  <c r="G1911" i="4"/>
  <c r="H1910" i="4"/>
  <c r="G1910" i="4"/>
  <c r="H1909" i="4"/>
  <c r="G1909" i="4"/>
  <c r="H1908" i="4"/>
  <c r="G1908" i="4"/>
  <c r="H1907" i="4"/>
  <c r="G1907" i="4"/>
  <c r="H1906" i="4"/>
  <c r="G1906" i="4"/>
  <c r="H1905" i="4"/>
  <c r="G1905" i="4"/>
  <c r="H1904" i="4"/>
  <c r="G1904" i="4"/>
  <c r="H1903" i="4"/>
  <c r="G1903" i="4"/>
  <c r="H1902" i="4"/>
  <c r="G1902" i="4"/>
  <c r="H1901" i="4"/>
  <c r="G1901" i="4"/>
  <c r="H1900" i="4"/>
  <c r="G1900" i="4"/>
  <c r="H1899" i="4"/>
  <c r="G1899" i="4"/>
  <c r="H1898" i="4"/>
  <c r="G1898" i="4"/>
  <c r="H1897" i="4"/>
  <c r="G1897" i="4"/>
  <c r="H1896" i="4"/>
  <c r="G1896" i="4"/>
  <c r="H1895" i="4"/>
  <c r="G1895" i="4"/>
  <c r="H1894" i="4"/>
  <c r="G1894" i="4"/>
  <c r="H1893" i="4"/>
  <c r="G1893" i="4"/>
  <c r="H1892" i="4"/>
  <c r="G1892" i="4"/>
  <c r="H1891" i="4"/>
  <c r="G1891" i="4"/>
  <c r="H1890" i="4"/>
  <c r="G1890" i="4"/>
  <c r="H1889" i="4"/>
  <c r="G1889" i="4"/>
  <c r="H1888" i="4"/>
  <c r="G1888" i="4"/>
  <c r="H1887" i="4"/>
  <c r="G1887" i="4"/>
  <c r="H1886" i="4"/>
  <c r="G1886" i="4"/>
  <c r="H1885" i="4"/>
  <c r="G1885" i="4"/>
  <c r="H1884" i="4"/>
  <c r="G1884" i="4"/>
  <c r="H1883" i="4"/>
  <c r="G1883" i="4"/>
  <c r="H1882" i="4"/>
  <c r="G1882" i="4"/>
  <c r="H1881" i="4"/>
  <c r="G1881" i="4"/>
  <c r="H1880" i="4"/>
  <c r="G1880" i="4"/>
  <c r="H1879" i="4"/>
  <c r="G1879" i="4"/>
  <c r="H1878" i="4"/>
  <c r="G1878" i="4"/>
  <c r="H1877" i="4"/>
  <c r="G1877" i="4"/>
  <c r="H1876" i="4"/>
  <c r="G1876" i="4"/>
  <c r="H1875" i="4"/>
  <c r="G1875" i="4"/>
  <c r="H1874" i="4"/>
  <c r="G1874" i="4"/>
  <c r="H1873" i="4"/>
  <c r="G1873" i="4"/>
  <c r="H1872" i="4"/>
  <c r="G1872" i="4"/>
  <c r="H1871" i="4"/>
  <c r="G1871" i="4"/>
  <c r="H1870" i="4"/>
  <c r="G1870" i="4"/>
  <c r="H1869" i="4"/>
  <c r="G1869" i="4"/>
  <c r="H1868" i="4"/>
  <c r="G1868" i="4"/>
  <c r="H1867" i="4"/>
  <c r="G1867" i="4"/>
  <c r="H1866" i="4"/>
  <c r="G1866" i="4"/>
  <c r="H1865" i="4"/>
  <c r="G1865" i="4"/>
  <c r="H1864" i="4"/>
  <c r="G1864" i="4"/>
  <c r="H1863" i="4"/>
  <c r="G1863" i="4"/>
  <c r="H1862" i="4"/>
  <c r="G1862" i="4"/>
  <c r="H1861" i="4"/>
  <c r="G1861" i="4"/>
  <c r="H1860" i="4"/>
  <c r="G1860" i="4"/>
  <c r="H1859" i="4"/>
  <c r="G1859" i="4"/>
  <c r="H1858" i="4"/>
  <c r="G1858" i="4"/>
  <c r="H1857" i="4"/>
  <c r="G1857" i="4"/>
  <c r="H1856" i="4"/>
  <c r="G1856" i="4"/>
  <c r="H1855" i="4"/>
  <c r="G1855" i="4"/>
  <c r="H1854" i="4"/>
  <c r="G1854" i="4"/>
  <c r="H1853" i="4"/>
  <c r="G1853" i="4"/>
  <c r="H1852" i="4"/>
  <c r="G1852" i="4"/>
  <c r="H1851" i="4"/>
  <c r="G1851" i="4"/>
  <c r="H1850" i="4"/>
  <c r="G1850" i="4"/>
  <c r="H1849" i="4"/>
  <c r="G1849" i="4"/>
  <c r="H1848" i="4"/>
  <c r="G1848" i="4"/>
  <c r="H1847" i="4"/>
  <c r="G1847" i="4"/>
  <c r="H1846" i="4"/>
  <c r="G1846" i="4"/>
  <c r="H1845" i="4"/>
  <c r="G1845" i="4"/>
  <c r="H1844" i="4"/>
  <c r="G1844" i="4"/>
  <c r="H1843" i="4"/>
  <c r="G1843" i="4"/>
  <c r="H1842" i="4"/>
  <c r="G1842" i="4"/>
  <c r="H1841" i="4"/>
  <c r="G1841" i="4"/>
  <c r="H1840" i="4"/>
  <c r="G1840" i="4"/>
  <c r="H1839" i="4"/>
  <c r="G1839" i="4"/>
  <c r="H1838" i="4"/>
  <c r="G1838" i="4"/>
  <c r="H1837" i="4"/>
  <c r="G1837" i="4"/>
  <c r="H1836" i="4"/>
  <c r="G1836" i="4"/>
  <c r="H1835" i="4"/>
  <c r="G1835" i="4"/>
  <c r="H1834" i="4"/>
  <c r="G1834" i="4"/>
  <c r="H1833" i="4"/>
  <c r="G1833" i="4"/>
  <c r="H1832" i="4"/>
  <c r="G1832" i="4"/>
  <c r="H1831" i="4"/>
  <c r="G1831" i="4"/>
  <c r="H1830" i="4"/>
  <c r="G1830" i="4"/>
  <c r="H1829" i="4"/>
  <c r="G1829" i="4"/>
  <c r="H1828" i="4"/>
  <c r="G1828" i="4"/>
  <c r="H1827" i="4"/>
  <c r="G1827" i="4"/>
  <c r="H1826" i="4"/>
  <c r="G1826" i="4"/>
  <c r="H1825" i="4"/>
  <c r="G1825" i="4"/>
  <c r="H1824" i="4"/>
  <c r="G1824" i="4"/>
  <c r="H1823" i="4"/>
  <c r="G1823" i="4"/>
  <c r="H1822" i="4"/>
  <c r="G1822" i="4"/>
  <c r="H1821" i="4"/>
  <c r="G1821" i="4"/>
  <c r="H1820" i="4"/>
  <c r="G1820" i="4"/>
  <c r="H1819" i="4"/>
  <c r="G1819" i="4"/>
  <c r="H1818" i="4"/>
  <c r="G1818" i="4"/>
  <c r="H1817" i="4"/>
  <c r="G1817" i="4"/>
  <c r="H1816" i="4"/>
  <c r="G1816" i="4"/>
  <c r="H1815" i="4"/>
  <c r="G1815" i="4"/>
  <c r="H1814" i="4"/>
  <c r="G1814" i="4"/>
  <c r="H1813" i="4"/>
  <c r="G1813" i="4"/>
  <c r="H1812" i="4"/>
  <c r="G1812" i="4"/>
  <c r="H1811" i="4"/>
  <c r="G1811" i="4"/>
  <c r="H1810" i="4"/>
  <c r="G1810" i="4"/>
  <c r="H1809" i="4"/>
  <c r="G1809" i="4"/>
  <c r="H1808" i="4"/>
  <c r="G1808" i="4"/>
  <c r="H1807" i="4"/>
  <c r="G1807" i="4"/>
  <c r="H1806" i="4"/>
  <c r="G1806" i="4"/>
  <c r="H1805" i="4"/>
  <c r="G1805" i="4"/>
  <c r="H1804" i="4"/>
  <c r="G1804" i="4"/>
  <c r="H1803" i="4"/>
  <c r="G1803" i="4"/>
  <c r="H1802" i="4"/>
  <c r="G1802" i="4"/>
  <c r="H1801" i="4"/>
  <c r="G1801" i="4"/>
  <c r="H1800" i="4"/>
  <c r="G1800" i="4"/>
  <c r="H1799" i="4"/>
  <c r="G1799" i="4"/>
  <c r="H1798" i="4"/>
  <c r="G1798" i="4"/>
  <c r="H1797" i="4"/>
  <c r="G1797" i="4"/>
  <c r="H1796" i="4"/>
  <c r="G1796" i="4"/>
  <c r="H1795" i="4"/>
  <c r="G1795" i="4"/>
  <c r="H1794" i="4"/>
  <c r="G1794" i="4"/>
  <c r="H1793" i="4"/>
  <c r="G1793" i="4"/>
  <c r="H1792" i="4"/>
  <c r="G1792" i="4"/>
  <c r="H1791" i="4"/>
  <c r="G1791" i="4"/>
  <c r="H1790" i="4"/>
  <c r="G1790" i="4"/>
  <c r="H1789" i="4"/>
  <c r="G1789" i="4"/>
  <c r="H1788" i="4"/>
  <c r="G1788" i="4"/>
  <c r="H1787" i="4"/>
  <c r="G1787" i="4"/>
  <c r="H1786" i="4"/>
  <c r="G1786" i="4"/>
  <c r="H1785" i="4"/>
  <c r="G1785" i="4"/>
  <c r="H1784" i="4"/>
  <c r="G1784" i="4"/>
  <c r="H1783" i="4"/>
  <c r="G1783" i="4"/>
  <c r="H1782" i="4"/>
  <c r="G1782" i="4"/>
  <c r="H1781" i="4"/>
  <c r="G1781" i="4"/>
  <c r="H1780" i="4"/>
  <c r="G1780" i="4"/>
  <c r="H1779" i="4"/>
  <c r="G1779" i="4"/>
  <c r="H1778" i="4"/>
  <c r="G1778" i="4"/>
  <c r="H1777" i="4"/>
  <c r="G1777" i="4"/>
  <c r="H1776" i="4"/>
  <c r="G1776" i="4"/>
  <c r="H1775" i="4"/>
  <c r="G1775" i="4"/>
  <c r="H1774" i="4"/>
  <c r="G1774" i="4"/>
  <c r="H1773" i="4"/>
  <c r="G1773" i="4"/>
  <c r="H1772" i="4"/>
  <c r="G1772" i="4"/>
  <c r="H1771" i="4"/>
  <c r="G1771" i="4"/>
  <c r="H1770" i="4"/>
  <c r="G1770" i="4"/>
  <c r="H1769" i="4"/>
  <c r="G1769" i="4"/>
  <c r="H1768" i="4"/>
  <c r="G1768" i="4"/>
  <c r="H1767" i="4"/>
  <c r="G1767" i="4"/>
  <c r="H1766" i="4"/>
  <c r="G1766" i="4"/>
  <c r="H1765" i="4"/>
  <c r="G1765" i="4"/>
  <c r="H1764" i="4"/>
  <c r="G1764" i="4"/>
  <c r="H1763" i="4"/>
  <c r="G1763" i="4"/>
  <c r="H1762" i="4"/>
  <c r="G1762" i="4"/>
  <c r="H1761" i="4"/>
  <c r="G1761" i="4"/>
  <c r="H1760" i="4"/>
  <c r="G1760" i="4"/>
  <c r="H1759" i="4"/>
  <c r="G1759" i="4"/>
  <c r="H1758" i="4"/>
  <c r="G1758" i="4"/>
  <c r="H1757" i="4"/>
  <c r="G1757" i="4"/>
  <c r="H1756" i="4"/>
  <c r="G1756" i="4"/>
  <c r="H1755" i="4"/>
  <c r="G1755" i="4"/>
  <c r="H1754" i="4"/>
  <c r="G1754" i="4"/>
  <c r="H1753" i="4"/>
  <c r="G1753" i="4"/>
  <c r="H1752" i="4"/>
  <c r="G1752" i="4"/>
  <c r="H1751" i="4"/>
  <c r="G1751" i="4"/>
  <c r="H1750" i="4"/>
  <c r="G1750" i="4"/>
  <c r="H1749" i="4"/>
  <c r="G1749" i="4"/>
  <c r="H1748" i="4"/>
  <c r="G1748" i="4"/>
  <c r="H1747" i="4"/>
  <c r="G1747" i="4"/>
  <c r="H1746" i="4"/>
  <c r="G1746" i="4"/>
  <c r="H1745" i="4"/>
  <c r="G1745" i="4"/>
  <c r="H1744" i="4"/>
  <c r="G1744" i="4"/>
  <c r="H1743" i="4"/>
  <c r="G1743" i="4"/>
  <c r="H1742" i="4"/>
  <c r="G1742" i="4"/>
  <c r="H1741" i="4"/>
  <c r="G1741" i="4"/>
  <c r="H1740" i="4"/>
  <c r="G1740" i="4"/>
  <c r="H1739" i="4"/>
  <c r="G1739" i="4"/>
  <c r="H1738" i="4"/>
  <c r="G1738" i="4"/>
  <c r="H1737" i="4"/>
  <c r="G1737" i="4"/>
  <c r="H1736" i="4"/>
  <c r="G1736" i="4"/>
  <c r="H1735" i="4"/>
  <c r="G1735" i="4"/>
  <c r="H1734" i="4"/>
  <c r="G1734" i="4"/>
  <c r="H1733" i="4"/>
  <c r="G1733" i="4"/>
  <c r="H1732" i="4"/>
  <c r="G1732" i="4"/>
  <c r="H1731" i="4"/>
  <c r="G1731" i="4"/>
  <c r="H1730" i="4"/>
  <c r="G1730" i="4"/>
  <c r="H1729" i="4"/>
  <c r="G1729" i="4"/>
  <c r="H1728" i="4"/>
  <c r="G1728" i="4"/>
  <c r="H1727" i="4"/>
  <c r="G1727" i="4"/>
  <c r="H1726" i="4"/>
  <c r="G1726" i="4"/>
  <c r="H1725" i="4"/>
  <c r="G1725" i="4"/>
  <c r="H1724" i="4"/>
  <c r="G1724" i="4"/>
  <c r="H1723" i="4"/>
  <c r="G1723" i="4"/>
  <c r="H1722" i="4"/>
  <c r="G1722" i="4"/>
  <c r="H1721" i="4"/>
  <c r="G1721" i="4"/>
  <c r="H1720" i="4"/>
  <c r="G1720" i="4"/>
  <c r="H1719" i="4"/>
  <c r="G1719" i="4"/>
  <c r="H1718" i="4"/>
  <c r="G1718" i="4"/>
  <c r="H1717" i="4"/>
  <c r="G1717" i="4"/>
  <c r="H1716" i="4"/>
  <c r="G1716" i="4"/>
  <c r="H1715" i="4"/>
  <c r="G1715" i="4"/>
  <c r="H1714" i="4"/>
  <c r="G1714" i="4"/>
  <c r="H1713" i="4"/>
  <c r="G1713" i="4"/>
  <c r="H1712" i="4"/>
  <c r="G1712" i="4"/>
  <c r="H1711" i="4"/>
  <c r="G1711" i="4"/>
  <c r="H1710" i="4"/>
  <c r="G1710" i="4"/>
  <c r="H1709" i="4"/>
  <c r="G1709" i="4"/>
  <c r="H1708" i="4"/>
  <c r="G1708" i="4"/>
  <c r="H1707" i="4"/>
  <c r="G1707" i="4"/>
  <c r="H1706" i="4"/>
  <c r="G1706" i="4"/>
  <c r="H1705" i="4"/>
  <c r="G1705" i="4"/>
  <c r="H1704" i="4"/>
  <c r="G1704" i="4"/>
  <c r="H1703" i="4"/>
  <c r="G1703" i="4"/>
  <c r="H1702" i="4"/>
  <c r="G1702" i="4"/>
  <c r="H1701" i="4"/>
  <c r="G1701" i="4"/>
  <c r="H1700" i="4"/>
  <c r="G1700" i="4"/>
  <c r="H1699" i="4"/>
  <c r="G1699" i="4"/>
  <c r="H1698" i="4"/>
  <c r="G1698" i="4"/>
  <c r="H1697" i="4"/>
  <c r="G1697" i="4"/>
  <c r="H1696" i="4"/>
  <c r="G1696" i="4"/>
  <c r="H1695" i="4"/>
  <c r="G1695" i="4"/>
  <c r="H1694" i="4"/>
  <c r="G1694" i="4"/>
  <c r="H1693" i="4"/>
  <c r="G1693" i="4"/>
  <c r="H1692" i="4"/>
  <c r="G1692" i="4"/>
  <c r="H1691" i="4"/>
  <c r="G1691" i="4"/>
  <c r="H1690" i="4"/>
  <c r="G1690" i="4"/>
  <c r="H1689" i="4"/>
  <c r="G1689" i="4"/>
  <c r="H1688" i="4"/>
  <c r="G1688" i="4"/>
  <c r="H1687" i="4"/>
  <c r="G1687" i="4"/>
  <c r="H1686" i="4"/>
  <c r="G1686" i="4"/>
  <c r="H1685" i="4"/>
  <c r="G1685" i="4"/>
  <c r="H1684" i="4"/>
  <c r="G1684" i="4"/>
  <c r="H1683" i="4"/>
  <c r="G1683" i="4"/>
  <c r="H1682" i="4"/>
  <c r="G1682" i="4"/>
  <c r="H1681" i="4"/>
  <c r="G1681" i="4"/>
  <c r="H1680" i="4"/>
  <c r="G1680" i="4"/>
  <c r="H1679" i="4"/>
  <c r="G1679" i="4"/>
  <c r="H1678" i="4"/>
  <c r="G1678" i="4"/>
  <c r="H1677" i="4"/>
  <c r="G1677" i="4"/>
  <c r="H1676" i="4"/>
  <c r="G1676" i="4"/>
  <c r="H1675" i="4"/>
  <c r="G1675" i="4"/>
  <c r="H1674" i="4"/>
  <c r="G1674" i="4"/>
  <c r="H1673" i="4"/>
  <c r="G1673" i="4"/>
  <c r="H1672" i="4"/>
  <c r="G1672" i="4"/>
  <c r="H1671" i="4"/>
  <c r="G1671" i="4"/>
  <c r="H1670" i="4"/>
  <c r="G1670" i="4"/>
  <c r="H1669" i="4"/>
  <c r="G1669" i="4"/>
  <c r="H1668" i="4"/>
  <c r="G1668" i="4"/>
  <c r="H1667" i="4"/>
  <c r="G1667" i="4"/>
  <c r="H1666" i="4"/>
  <c r="G1666" i="4"/>
  <c r="H1665" i="4"/>
  <c r="G1665" i="4"/>
  <c r="H1664" i="4"/>
  <c r="G1664" i="4"/>
  <c r="H1663" i="4"/>
  <c r="G1663" i="4"/>
  <c r="H1662" i="4"/>
  <c r="G1662" i="4"/>
  <c r="H1661" i="4"/>
  <c r="G1661" i="4"/>
  <c r="H1660" i="4"/>
  <c r="G1660" i="4"/>
  <c r="H1659" i="4"/>
  <c r="G1659" i="4"/>
  <c r="H1658" i="4"/>
  <c r="G1658" i="4"/>
  <c r="H1657" i="4"/>
  <c r="G1657" i="4"/>
  <c r="H1656" i="4"/>
  <c r="G1656" i="4"/>
  <c r="H1655" i="4"/>
  <c r="G1655" i="4"/>
  <c r="H1654" i="4"/>
  <c r="G1654" i="4"/>
  <c r="H1653" i="4"/>
  <c r="G1653" i="4"/>
  <c r="H1652" i="4"/>
  <c r="G1652" i="4"/>
  <c r="H1651" i="4"/>
  <c r="G1651" i="4"/>
  <c r="H1650" i="4"/>
  <c r="G1650" i="4"/>
  <c r="H1649" i="4"/>
  <c r="G1649" i="4"/>
  <c r="H1648" i="4"/>
  <c r="G1648" i="4"/>
  <c r="H1647" i="4"/>
  <c r="G1647" i="4"/>
  <c r="H1646" i="4"/>
  <c r="G1646" i="4"/>
  <c r="H1645" i="4"/>
  <c r="G1645" i="4"/>
  <c r="H1644" i="4"/>
  <c r="G1644" i="4"/>
  <c r="H1643" i="4"/>
  <c r="G1643" i="4"/>
  <c r="H1642" i="4"/>
  <c r="G1642" i="4"/>
  <c r="H1641" i="4"/>
  <c r="G1641" i="4"/>
  <c r="H1640" i="4"/>
  <c r="G1640" i="4"/>
  <c r="H1639" i="4"/>
  <c r="G1639" i="4"/>
  <c r="H1638" i="4"/>
  <c r="G1638" i="4"/>
  <c r="H1637" i="4"/>
  <c r="G1637" i="4"/>
  <c r="H1636" i="4"/>
  <c r="G1636" i="4"/>
  <c r="H1635" i="4"/>
  <c r="G1635" i="4"/>
  <c r="H1634" i="4"/>
  <c r="G1634" i="4"/>
  <c r="H1633" i="4"/>
  <c r="G1633" i="4"/>
  <c r="H1632" i="4"/>
  <c r="G1632" i="4"/>
  <c r="H1631" i="4"/>
  <c r="G1631" i="4"/>
  <c r="H1630" i="4"/>
  <c r="G1630" i="4"/>
  <c r="H1629" i="4"/>
  <c r="G1629" i="4"/>
  <c r="H1628" i="4"/>
  <c r="G1628" i="4"/>
  <c r="H1627" i="4"/>
  <c r="G1627" i="4"/>
  <c r="H1626" i="4"/>
  <c r="G1626" i="4"/>
  <c r="H1625" i="4"/>
  <c r="G1625" i="4"/>
  <c r="H1624" i="4"/>
  <c r="G1624" i="4"/>
  <c r="H1623" i="4"/>
  <c r="G1623" i="4"/>
  <c r="H1622" i="4"/>
  <c r="G1622" i="4"/>
  <c r="H1621" i="4"/>
  <c r="G1621" i="4"/>
  <c r="H1620" i="4"/>
  <c r="G1620" i="4"/>
  <c r="H1619" i="4"/>
  <c r="G1619" i="4"/>
  <c r="H1618" i="4"/>
  <c r="G1618" i="4"/>
  <c r="H1617" i="4"/>
  <c r="G1617" i="4"/>
  <c r="H1616" i="4"/>
  <c r="G1616" i="4"/>
  <c r="H1615" i="4"/>
  <c r="G1615" i="4"/>
  <c r="H1614" i="4"/>
  <c r="G1614" i="4"/>
  <c r="H1613" i="4"/>
  <c r="G1613" i="4"/>
  <c r="H1612" i="4"/>
  <c r="G1612" i="4"/>
  <c r="H1611" i="4"/>
  <c r="G1611" i="4"/>
  <c r="H1610" i="4"/>
  <c r="G1610" i="4"/>
  <c r="H1609" i="4"/>
  <c r="G1609" i="4"/>
  <c r="H1608" i="4"/>
  <c r="G1608" i="4"/>
  <c r="H1607" i="4"/>
  <c r="G1607" i="4"/>
  <c r="H1606" i="4"/>
  <c r="G1606" i="4"/>
  <c r="H1605" i="4"/>
  <c r="G1605" i="4"/>
  <c r="H1604" i="4"/>
  <c r="G1604" i="4"/>
  <c r="H1603" i="4"/>
  <c r="G1603" i="4"/>
  <c r="H1602" i="4"/>
  <c r="G1602" i="4"/>
  <c r="H1601" i="4"/>
  <c r="G1601" i="4"/>
  <c r="H1600" i="4"/>
  <c r="G1600" i="4"/>
  <c r="H1599" i="4"/>
  <c r="G1599" i="4"/>
  <c r="H1598" i="4"/>
  <c r="G1598" i="4"/>
  <c r="H1597" i="4"/>
  <c r="G1597" i="4"/>
  <c r="H1596" i="4"/>
  <c r="G1596" i="4"/>
  <c r="H1595" i="4"/>
  <c r="G1595" i="4"/>
  <c r="H1594" i="4"/>
  <c r="G1594" i="4"/>
  <c r="H1593" i="4"/>
  <c r="G1593" i="4"/>
  <c r="H1592" i="4"/>
  <c r="G1592" i="4"/>
  <c r="H1591" i="4"/>
  <c r="G1591" i="4"/>
  <c r="H1590" i="4"/>
  <c r="G1590" i="4"/>
  <c r="H1589" i="4"/>
  <c r="G1589" i="4"/>
  <c r="H1588" i="4"/>
  <c r="G1588" i="4"/>
  <c r="H1587" i="4"/>
  <c r="G1587" i="4"/>
  <c r="H1586" i="4"/>
  <c r="G1586" i="4"/>
  <c r="H1585" i="4"/>
  <c r="G1585" i="4"/>
  <c r="H1584" i="4"/>
  <c r="G1584" i="4"/>
  <c r="H1583" i="4"/>
  <c r="G1583" i="4"/>
  <c r="H1582" i="4"/>
  <c r="G1582" i="4"/>
  <c r="H1581" i="4"/>
  <c r="G1581" i="4"/>
  <c r="H1580" i="4"/>
  <c r="G1580" i="4"/>
  <c r="H1579" i="4"/>
  <c r="G1579" i="4"/>
  <c r="H1578" i="4"/>
  <c r="G1578" i="4"/>
  <c r="H1577" i="4"/>
  <c r="G1577" i="4"/>
  <c r="H1576" i="4"/>
  <c r="G1576" i="4"/>
  <c r="H1575" i="4"/>
  <c r="G1575" i="4"/>
  <c r="H1574" i="4"/>
  <c r="G1574" i="4"/>
  <c r="H1573" i="4"/>
  <c r="G1573" i="4"/>
  <c r="H1572" i="4"/>
  <c r="G1572" i="4"/>
  <c r="H1571" i="4"/>
  <c r="G1571" i="4"/>
  <c r="H1570" i="4"/>
  <c r="G1570" i="4"/>
  <c r="H1569" i="4"/>
  <c r="G1569" i="4"/>
  <c r="H1568" i="4"/>
  <c r="G1568" i="4"/>
  <c r="H1567" i="4"/>
  <c r="G1567" i="4"/>
  <c r="H1566" i="4"/>
  <c r="G1566" i="4"/>
  <c r="H1565" i="4"/>
  <c r="G1565" i="4"/>
  <c r="H1564" i="4"/>
  <c r="G1564" i="4"/>
  <c r="H1563" i="4"/>
  <c r="G1563" i="4"/>
  <c r="H1562" i="4"/>
  <c r="G1562" i="4"/>
  <c r="H1561" i="4"/>
  <c r="G1561" i="4"/>
  <c r="H1560" i="4"/>
  <c r="G1560" i="4"/>
  <c r="H1559" i="4"/>
  <c r="G1559" i="4"/>
  <c r="H1558" i="4"/>
  <c r="G1558" i="4"/>
  <c r="H1557" i="4"/>
  <c r="G1557" i="4"/>
  <c r="H1556" i="4"/>
  <c r="G1556" i="4"/>
  <c r="H1555" i="4"/>
  <c r="G1555" i="4"/>
  <c r="H1554" i="4"/>
  <c r="G1554" i="4"/>
  <c r="H1553" i="4"/>
  <c r="G1553" i="4"/>
  <c r="H1552" i="4"/>
  <c r="G1552" i="4"/>
  <c r="H1551" i="4"/>
  <c r="G1551" i="4"/>
  <c r="H1550" i="4"/>
  <c r="G1550" i="4"/>
  <c r="H1549" i="4"/>
  <c r="G1549" i="4"/>
  <c r="H1548" i="4"/>
  <c r="G1548" i="4"/>
  <c r="H1547" i="4"/>
  <c r="G1547" i="4"/>
  <c r="H1546" i="4"/>
  <c r="G1546" i="4"/>
  <c r="H1545" i="4"/>
  <c r="G1545" i="4"/>
  <c r="H1544" i="4"/>
  <c r="G1544" i="4"/>
  <c r="H1543" i="4"/>
  <c r="G1543" i="4"/>
  <c r="H1542" i="4"/>
  <c r="G1542" i="4"/>
  <c r="H1541" i="4"/>
  <c r="G1541" i="4"/>
  <c r="H1540" i="4"/>
  <c r="G1540" i="4"/>
  <c r="H1539" i="4"/>
  <c r="G1539" i="4"/>
  <c r="H1538" i="4"/>
  <c r="G1538" i="4"/>
  <c r="H1537" i="4"/>
  <c r="G1537" i="4"/>
  <c r="H1536" i="4"/>
  <c r="G1536" i="4"/>
  <c r="H1535" i="4"/>
  <c r="G1535" i="4"/>
  <c r="H1534" i="4"/>
  <c r="G1534" i="4"/>
  <c r="H1533" i="4"/>
  <c r="G1533" i="4"/>
  <c r="H1532" i="4"/>
  <c r="G1532" i="4"/>
  <c r="H1531" i="4"/>
  <c r="G1531" i="4"/>
  <c r="H1530" i="4"/>
  <c r="G1530" i="4"/>
  <c r="H1529" i="4"/>
  <c r="G1529" i="4"/>
  <c r="H1528" i="4"/>
  <c r="G1528" i="4"/>
  <c r="H1527" i="4"/>
  <c r="G1527" i="4"/>
  <c r="H1526" i="4"/>
  <c r="G1526" i="4"/>
  <c r="H1525" i="4"/>
  <c r="G1525" i="4"/>
  <c r="H1524" i="4"/>
  <c r="G1524" i="4"/>
  <c r="H1523" i="4"/>
  <c r="G1523" i="4"/>
  <c r="H1522" i="4"/>
  <c r="G1522" i="4"/>
  <c r="H1521" i="4"/>
  <c r="G1521" i="4"/>
  <c r="H1520" i="4"/>
  <c r="G1520" i="4"/>
  <c r="H1519" i="4"/>
  <c r="G1519" i="4"/>
  <c r="H1518" i="4"/>
  <c r="G1518" i="4"/>
  <c r="H1517" i="4"/>
  <c r="G1517" i="4"/>
  <c r="H1516" i="4"/>
  <c r="G1516" i="4"/>
  <c r="H1515" i="4"/>
  <c r="G1515" i="4"/>
  <c r="H1514" i="4"/>
  <c r="G1514" i="4"/>
  <c r="H1513" i="4"/>
  <c r="G1513" i="4"/>
  <c r="H1512" i="4"/>
  <c r="G1512" i="4"/>
  <c r="H1511" i="4"/>
  <c r="G1511" i="4"/>
  <c r="H1510" i="4"/>
  <c r="G1510" i="4"/>
  <c r="H1509" i="4"/>
  <c r="G1509" i="4"/>
  <c r="H1508" i="4"/>
  <c r="G1508" i="4"/>
  <c r="H1507" i="4"/>
  <c r="G1507" i="4"/>
  <c r="H1506" i="4"/>
  <c r="G1506" i="4"/>
  <c r="H1505" i="4"/>
  <c r="G1505" i="4"/>
  <c r="H1504" i="4"/>
  <c r="G1504" i="4"/>
  <c r="H1503" i="4"/>
  <c r="G1503" i="4"/>
  <c r="H1502" i="4"/>
  <c r="G1502" i="4"/>
  <c r="H1501" i="4"/>
  <c r="G1501" i="4"/>
  <c r="H1500" i="4"/>
  <c r="G1500" i="4"/>
  <c r="H1499" i="4"/>
  <c r="G1499" i="4"/>
  <c r="H1498" i="4"/>
  <c r="G1498" i="4"/>
  <c r="H1497" i="4"/>
  <c r="G1497" i="4"/>
  <c r="H1496" i="4"/>
  <c r="G1496" i="4"/>
  <c r="H1495" i="4"/>
  <c r="G1495" i="4"/>
  <c r="H1494" i="4"/>
  <c r="G1494" i="4"/>
  <c r="H1493" i="4"/>
  <c r="G1493" i="4"/>
  <c r="H1492" i="4"/>
  <c r="G1492" i="4"/>
  <c r="H1491" i="4"/>
  <c r="G1491" i="4"/>
  <c r="H1490" i="4"/>
  <c r="G1490" i="4"/>
  <c r="H1489" i="4"/>
  <c r="G1489" i="4"/>
  <c r="H1488" i="4"/>
  <c r="G1488" i="4"/>
  <c r="H1487" i="4"/>
  <c r="G1487" i="4"/>
  <c r="H1486" i="4"/>
  <c r="G1486" i="4"/>
  <c r="H1485" i="4"/>
  <c r="G1485" i="4"/>
  <c r="H1484" i="4"/>
  <c r="G1484" i="4"/>
  <c r="H1483" i="4"/>
  <c r="G1483" i="4"/>
  <c r="H1482" i="4"/>
  <c r="G1482" i="4"/>
  <c r="H1481" i="4"/>
  <c r="G1481" i="4"/>
  <c r="H1480" i="4"/>
  <c r="G1480" i="4"/>
  <c r="H1479" i="4"/>
  <c r="G1479" i="4"/>
  <c r="H1478" i="4"/>
  <c r="G1478" i="4"/>
  <c r="H1477" i="4"/>
  <c r="G1477" i="4"/>
  <c r="H1476" i="4"/>
  <c r="G1476" i="4"/>
  <c r="H1475" i="4"/>
  <c r="G1475" i="4"/>
  <c r="H1474" i="4"/>
  <c r="G1474" i="4"/>
  <c r="H1473" i="4"/>
  <c r="G1473" i="4"/>
  <c r="H1472" i="4"/>
  <c r="G1472" i="4"/>
  <c r="H1471" i="4"/>
  <c r="G1471" i="4"/>
  <c r="H1470" i="4"/>
  <c r="G1470" i="4"/>
  <c r="H1469" i="4"/>
  <c r="G1469" i="4"/>
  <c r="H1468" i="4"/>
  <c r="G1468" i="4"/>
  <c r="H1467" i="4"/>
  <c r="G1467" i="4"/>
  <c r="H1466" i="4"/>
  <c r="G1466" i="4"/>
  <c r="H1465" i="4"/>
  <c r="G1465" i="4"/>
  <c r="H1464" i="4"/>
  <c r="G1464" i="4"/>
  <c r="H1463" i="4"/>
  <c r="G1463" i="4"/>
  <c r="H1462" i="4"/>
  <c r="G1462" i="4"/>
  <c r="H1461" i="4"/>
  <c r="G1461" i="4"/>
  <c r="H1460" i="4"/>
  <c r="G1460" i="4"/>
  <c r="H1459" i="4"/>
  <c r="G1459" i="4"/>
  <c r="H1458" i="4"/>
  <c r="G1458" i="4"/>
  <c r="H1457" i="4"/>
  <c r="G1457" i="4"/>
  <c r="H1456" i="4"/>
  <c r="G1456" i="4"/>
  <c r="H1455" i="4"/>
  <c r="G1455" i="4"/>
  <c r="H1454" i="4"/>
  <c r="G1454" i="4"/>
  <c r="H1453" i="4"/>
  <c r="G1453" i="4"/>
  <c r="H1452" i="4"/>
  <c r="G1452" i="4"/>
  <c r="H1451" i="4"/>
  <c r="G1451" i="4"/>
  <c r="H1450" i="4"/>
  <c r="G1450" i="4"/>
  <c r="H1449" i="4"/>
  <c r="G1449" i="4"/>
  <c r="H1448" i="4"/>
  <c r="G1448" i="4"/>
  <c r="H1447" i="4"/>
  <c r="G1447" i="4"/>
  <c r="H1446" i="4"/>
  <c r="G1446" i="4"/>
  <c r="H1445" i="4"/>
  <c r="G1445" i="4"/>
  <c r="H1444" i="4"/>
  <c r="G1444" i="4"/>
  <c r="H1443" i="4"/>
  <c r="G1443" i="4"/>
  <c r="H1442" i="4"/>
  <c r="G1442" i="4"/>
  <c r="H1441" i="4"/>
  <c r="G1441" i="4"/>
  <c r="H1440" i="4"/>
  <c r="G1440" i="4"/>
  <c r="H1439" i="4"/>
  <c r="G1439" i="4"/>
  <c r="H1438" i="4"/>
  <c r="G1438" i="4"/>
  <c r="H1437" i="4"/>
  <c r="G1437" i="4"/>
  <c r="H1436" i="4"/>
  <c r="G1436" i="4"/>
  <c r="H1435" i="4"/>
  <c r="G1435" i="4"/>
  <c r="H1434" i="4"/>
  <c r="G1434" i="4"/>
  <c r="H1433" i="4"/>
  <c r="G1433" i="4"/>
  <c r="H1432" i="4"/>
  <c r="G1432" i="4"/>
  <c r="H1431" i="4"/>
  <c r="G1431" i="4"/>
  <c r="H1430" i="4"/>
  <c r="G1430" i="4"/>
  <c r="H1429" i="4"/>
  <c r="G1429" i="4"/>
  <c r="H1428" i="4"/>
  <c r="G1428" i="4"/>
  <c r="H1427" i="4"/>
  <c r="G1427" i="4"/>
  <c r="H1426" i="4"/>
  <c r="G1426" i="4"/>
  <c r="H1425" i="4"/>
  <c r="G1425" i="4"/>
  <c r="H1424" i="4"/>
  <c r="G1424" i="4"/>
  <c r="H1423" i="4"/>
  <c r="G1423" i="4"/>
  <c r="H1422" i="4"/>
  <c r="G1422" i="4"/>
  <c r="H1421" i="4"/>
  <c r="G1421" i="4"/>
  <c r="H1420" i="4"/>
  <c r="G1420" i="4"/>
  <c r="H1419" i="4"/>
  <c r="G1419" i="4"/>
  <c r="H1418" i="4"/>
  <c r="G1418" i="4"/>
  <c r="H1417" i="4"/>
  <c r="G1417" i="4"/>
  <c r="H1416" i="4"/>
  <c r="G1416" i="4"/>
  <c r="H1415" i="4"/>
  <c r="G1415" i="4"/>
  <c r="H1414" i="4"/>
  <c r="G1414" i="4"/>
  <c r="H1413" i="4"/>
  <c r="G1413" i="4"/>
  <c r="H1412" i="4"/>
  <c r="G1412" i="4"/>
  <c r="H1411" i="4"/>
  <c r="G1411" i="4"/>
  <c r="H1410" i="4"/>
  <c r="G1410" i="4"/>
  <c r="H1409" i="4"/>
  <c r="G1409" i="4"/>
  <c r="H1408" i="4"/>
  <c r="G1408" i="4"/>
  <c r="H1407" i="4"/>
  <c r="G1407" i="4"/>
  <c r="H1406" i="4"/>
  <c r="G1406" i="4"/>
  <c r="H1405" i="4"/>
  <c r="G1405" i="4"/>
  <c r="H1404" i="4"/>
  <c r="G1404" i="4"/>
  <c r="H1403" i="4"/>
  <c r="G1403" i="4"/>
  <c r="H1402" i="4"/>
  <c r="G1402" i="4"/>
  <c r="H1401" i="4"/>
  <c r="G1401" i="4"/>
  <c r="H1400" i="4"/>
  <c r="G1400" i="4"/>
  <c r="H1399" i="4"/>
  <c r="G1399" i="4"/>
  <c r="H1398" i="4"/>
  <c r="G1398" i="4"/>
  <c r="H1397" i="4"/>
  <c r="G1397" i="4"/>
  <c r="H1396" i="4"/>
  <c r="G1396" i="4"/>
  <c r="H1395" i="4"/>
  <c r="G1395" i="4"/>
  <c r="H1394" i="4"/>
  <c r="G1394" i="4"/>
  <c r="H1393" i="4"/>
  <c r="G1393" i="4"/>
  <c r="H1392" i="4"/>
  <c r="G1392" i="4"/>
  <c r="H1391" i="4"/>
  <c r="G1391" i="4"/>
  <c r="H1390" i="4"/>
  <c r="G1390" i="4"/>
  <c r="H1389" i="4"/>
  <c r="G1389" i="4"/>
  <c r="H1388" i="4"/>
  <c r="G1388" i="4"/>
  <c r="H1387" i="4"/>
  <c r="G1387" i="4"/>
  <c r="H1386" i="4"/>
  <c r="G1386" i="4"/>
  <c r="H1385" i="4"/>
  <c r="G1385" i="4"/>
  <c r="H1384" i="4"/>
  <c r="G1384" i="4"/>
  <c r="H1383" i="4"/>
  <c r="G1383" i="4"/>
  <c r="H1382" i="4"/>
  <c r="G1382" i="4"/>
  <c r="H1381" i="4"/>
  <c r="G1381" i="4"/>
  <c r="H1380" i="4"/>
  <c r="G1380" i="4"/>
  <c r="H1379" i="4"/>
  <c r="G1379" i="4"/>
  <c r="H1378" i="4"/>
  <c r="G1378" i="4"/>
  <c r="H1377" i="4"/>
  <c r="G1377" i="4"/>
  <c r="H1376" i="4"/>
  <c r="G1376" i="4"/>
  <c r="H1375" i="4"/>
  <c r="G1375" i="4"/>
  <c r="H1374" i="4"/>
  <c r="G1374" i="4"/>
  <c r="H1373" i="4"/>
  <c r="G1373" i="4"/>
  <c r="H1372" i="4"/>
  <c r="G1372" i="4"/>
  <c r="H1371" i="4"/>
  <c r="G1371" i="4"/>
  <c r="H1370" i="4"/>
  <c r="G1370" i="4"/>
  <c r="H1369" i="4"/>
  <c r="G1369" i="4"/>
  <c r="H1368" i="4"/>
  <c r="G1368" i="4"/>
  <c r="H1367" i="4"/>
  <c r="G1367" i="4"/>
  <c r="H1366" i="4"/>
  <c r="G1366" i="4"/>
  <c r="H1365" i="4"/>
  <c r="G1365" i="4"/>
  <c r="H1364" i="4"/>
  <c r="G1364" i="4"/>
  <c r="H1363" i="4"/>
  <c r="G1363" i="4"/>
  <c r="H1362" i="4"/>
  <c r="G1362" i="4"/>
  <c r="H1361" i="4"/>
  <c r="G1361" i="4"/>
  <c r="H1360" i="4"/>
  <c r="G1360" i="4"/>
  <c r="H1359" i="4"/>
  <c r="G1359" i="4"/>
  <c r="H1358" i="4"/>
  <c r="G1358" i="4"/>
  <c r="H1357" i="4"/>
  <c r="G1357" i="4"/>
  <c r="H1356" i="4"/>
  <c r="G1356" i="4"/>
  <c r="H1355" i="4"/>
  <c r="G1355" i="4"/>
  <c r="H1354" i="4"/>
  <c r="G1354" i="4"/>
  <c r="H1353" i="4"/>
  <c r="G1353" i="4"/>
  <c r="H1352" i="4"/>
  <c r="G1352" i="4"/>
  <c r="H1351" i="4"/>
  <c r="G1351" i="4"/>
  <c r="H1350" i="4"/>
  <c r="G1350" i="4"/>
  <c r="H1349" i="4"/>
  <c r="G1349" i="4"/>
  <c r="H1348" i="4"/>
  <c r="G1348" i="4"/>
  <c r="H1347" i="4"/>
  <c r="G1347" i="4"/>
  <c r="H1346" i="4"/>
  <c r="G1346" i="4"/>
  <c r="H1345" i="4"/>
  <c r="G1345" i="4"/>
  <c r="H1344" i="4"/>
  <c r="G1344" i="4"/>
  <c r="H1343" i="4"/>
  <c r="G1343" i="4"/>
  <c r="H1342" i="4"/>
  <c r="G1342" i="4"/>
  <c r="H1341" i="4"/>
  <c r="G1341" i="4"/>
  <c r="H1340" i="4"/>
  <c r="G1340" i="4"/>
  <c r="H1339" i="4"/>
  <c r="G1339" i="4"/>
  <c r="H1338" i="4"/>
  <c r="G1338" i="4"/>
  <c r="H1337" i="4"/>
  <c r="G1337" i="4"/>
  <c r="H1336" i="4"/>
  <c r="G1336" i="4"/>
  <c r="H1335" i="4"/>
  <c r="G1335" i="4"/>
  <c r="H1334" i="4"/>
  <c r="G1334" i="4"/>
  <c r="H1333" i="4"/>
  <c r="G1333" i="4"/>
  <c r="H1332" i="4"/>
  <c r="G1332" i="4"/>
  <c r="H1331" i="4"/>
  <c r="G1331" i="4"/>
  <c r="H1330" i="4"/>
  <c r="G1330" i="4"/>
  <c r="H1329" i="4"/>
  <c r="G1329" i="4"/>
  <c r="H1328" i="4"/>
  <c r="G1328" i="4"/>
  <c r="H1327" i="4"/>
  <c r="G1327" i="4"/>
  <c r="H1326" i="4"/>
  <c r="G1326" i="4"/>
  <c r="H1325" i="4"/>
  <c r="G1325" i="4"/>
  <c r="H1324" i="4"/>
  <c r="G1324" i="4"/>
  <c r="H1323" i="4"/>
  <c r="G1323" i="4"/>
  <c r="H1322" i="4"/>
  <c r="G1322" i="4"/>
  <c r="H1321" i="4"/>
  <c r="G1321" i="4"/>
  <c r="H1320" i="4"/>
  <c r="G1320" i="4"/>
  <c r="H1319" i="4"/>
  <c r="G1319" i="4"/>
  <c r="H1318" i="4"/>
  <c r="G1318" i="4"/>
  <c r="H1317" i="4"/>
  <c r="G1317" i="4"/>
  <c r="H1316" i="4"/>
  <c r="G1316" i="4"/>
  <c r="H1315" i="4"/>
  <c r="G1315" i="4"/>
  <c r="H1314" i="4"/>
  <c r="G1314" i="4"/>
  <c r="H1313" i="4"/>
  <c r="G1313" i="4"/>
  <c r="H1312" i="4"/>
  <c r="G1312" i="4"/>
  <c r="H1311" i="4"/>
  <c r="G1311" i="4"/>
  <c r="H1310" i="4"/>
  <c r="G1310" i="4"/>
  <c r="H1309" i="4"/>
  <c r="G1309" i="4"/>
  <c r="H1308" i="4"/>
  <c r="G1308" i="4"/>
  <c r="H1307" i="4"/>
  <c r="G1307" i="4"/>
  <c r="H1306" i="4"/>
  <c r="G1306" i="4"/>
  <c r="H1305" i="4"/>
  <c r="G1305" i="4"/>
  <c r="H1304" i="4"/>
  <c r="G1304" i="4"/>
  <c r="H1303" i="4"/>
  <c r="G1303" i="4"/>
  <c r="H1302" i="4"/>
  <c r="G1302" i="4"/>
  <c r="H1301" i="4"/>
  <c r="G1301" i="4"/>
  <c r="H1300" i="4"/>
  <c r="G1300" i="4"/>
  <c r="H1299" i="4"/>
  <c r="G1299" i="4"/>
  <c r="H1298" i="4"/>
  <c r="G1298" i="4"/>
  <c r="H1297" i="4"/>
  <c r="G1297" i="4"/>
  <c r="H1296" i="4"/>
  <c r="G1296" i="4"/>
  <c r="H1295" i="4"/>
  <c r="G1295" i="4"/>
  <c r="H1294" i="4"/>
  <c r="G1294" i="4"/>
  <c r="H1293" i="4"/>
  <c r="G1293" i="4"/>
  <c r="H1292" i="4"/>
  <c r="G1292" i="4"/>
  <c r="H1291" i="4"/>
  <c r="G1291" i="4"/>
  <c r="H1290" i="4"/>
  <c r="G1290" i="4"/>
  <c r="H1289" i="4"/>
  <c r="G1289" i="4"/>
  <c r="H1288" i="4"/>
  <c r="G1288" i="4"/>
  <c r="H1287" i="4"/>
  <c r="G1287" i="4"/>
  <c r="H1286" i="4"/>
  <c r="G1286" i="4"/>
  <c r="H1285" i="4"/>
  <c r="G1285" i="4"/>
  <c r="H1284" i="4"/>
  <c r="G1284" i="4"/>
  <c r="H1283" i="4"/>
  <c r="G1283" i="4"/>
  <c r="H1282" i="4"/>
  <c r="G1282" i="4"/>
  <c r="H1281" i="4"/>
  <c r="G1281" i="4"/>
  <c r="H1280" i="4"/>
  <c r="G1280" i="4"/>
  <c r="H1279" i="4"/>
  <c r="G1279" i="4"/>
  <c r="H1278" i="4"/>
  <c r="G1278" i="4"/>
  <c r="H1277" i="4"/>
  <c r="G1277" i="4"/>
  <c r="H1276" i="4"/>
  <c r="G1276" i="4"/>
  <c r="H1275" i="4"/>
  <c r="G1275" i="4"/>
  <c r="H1274" i="4"/>
  <c r="G1274" i="4"/>
  <c r="H1273" i="4"/>
  <c r="G1273" i="4"/>
  <c r="H1272" i="4"/>
  <c r="G1272" i="4"/>
  <c r="H1271" i="4"/>
  <c r="G1271" i="4"/>
  <c r="H1270" i="4"/>
  <c r="G1270" i="4"/>
  <c r="H1269" i="4"/>
  <c r="G1269" i="4"/>
  <c r="H1268" i="4"/>
  <c r="G1268" i="4"/>
  <c r="H1267" i="4"/>
  <c r="G1267" i="4"/>
  <c r="H1266" i="4"/>
  <c r="G1266" i="4"/>
  <c r="H1265" i="4"/>
  <c r="G1265" i="4"/>
  <c r="H1264" i="4"/>
  <c r="G1264" i="4"/>
  <c r="H1263" i="4"/>
  <c r="G1263" i="4"/>
  <c r="H1262" i="4"/>
  <c r="G1262" i="4"/>
  <c r="H1261" i="4"/>
  <c r="G1261" i="4"/>
  <c r="H1260" i="4"/>
  <c r="G1260" i="4"/>
  <c r="H1259" i="4"/>
  <c r="G1259" i="4"/>
  <c r="H1258" i="4"/>
  <c r="G1258" i="4"/>
  <c r="H1257" i="4"/>
  <c r="G1257" i="4"/>
  <c r="H1256" i="4"/>
  <c r="G1256" i="4"/>
  <c r="H1255" i="4"/>
  <c r="G1255" i="4"/>
  <c r="H1254" i="4"/>
  <c r="G1254" i="4"/>
  <c r="H1253" i="4"/>
  <c r="G1253" i="4"/>
  <c r="H1252" i="4"/>
  <c r="G1252" i="4"/>
  <c r="H1251" i="4"/>
  <c r="G1251" i="4"/>
  <c r="H1250" i="4"/>
  <c r="G1250" i="4"/>
  <c r="H1249" i="4"/>
  <c r="G1249" i="4"/>
  <c r="H1248" i="4"/>
  <c r="G1248" i="4"/>
  <c r="H1247" i="4"/>
  <c r="G1247" i="4"/>
  <c r="H1246" i="4"/>
  <c r="G1246" i="4"/>
  <c r="H1245" i="4"/>
  <c r="G1245" i="4"/>
  <c r="H1244" i="4"/>
  <c r="G1244" i="4"/>
  <c r="H1243" i="4"/>
  <c r="G1243" i="4"/>
  <c r="H1242" i="4"/>
  <c r="G1242" i="4"/>
  <c r="H1241" i="4"/>
  <c r="G1241" i="4"/>
  <c r="H1240" i="4"/>
  <c r="G1240" i="4"/>
  <c r="H1239" i="4"/>
  <c r="G1239" i="4"/>
  <c r="H1238" i="4"/>
  <c r="G1238" i="4"/>
  <c r="H1237" i="4"/>
  <c r="G1237" i="4"/>
  <c r="H1236" i="4"/>
  <c r="G1236" i="4"/>
  <c r="H1235" i="4"/>
  <c r="G1235" i="4"/>
  <c r="H1234" i="4"/>
  <c r="G1234" i="4"/>
  <c r="H1233" i="4"/>
  <c r="G1233" i="4"/>
  <c r="H1232" i="4"/>
  <c r="G1232" i="4"/>
  <c r="H1231" i="4"/>
  <c r="G1231" i="4"/>
  <c r="H1230" i="4"/>
  <c r="G1230" i="4"/>
  <c r="H1229" i="4"/>
  <c r="G1229" i="4"/>
  <c r="H1228" i="4"/>
  <c r="G1228" i="4"/>
  <c r="H1227" i="4"/>
  <c r="G1227" i="4"/>
  <c r="H1226" i="4"/>
  <c r="G1226" i="4"/>
  <c r="H1225" i="4"/>
  <c r="G1225" i="4"/>
  <c r="H1224" i="4"/>
  <c r="G1224" i="4"/>
  <c r="H1223" i="4"/>
  <c r="G1223" i="4"/>
  <c r="H1222" i="4"/>
  <c r="G1222" i="4"/>
  <c r="H1221" i="4"/>
  <c r="G1221" i="4"/>
  <c r="H1220" i="4"/>
  <c r="G1220" i="4"/>
  <c r="H1219" i="4"/>
  <c r="G1219" i="4"/>
  <c r="H1218" i="4"/>
  <c r="G1218" i="4"/>
  <c r="H1217" i="4"/>
  <c r="G1217" i="4"/>
  <c r="H1216" i="4"/>
  <c r="G1216" i="4"/>
  <c r="H1215" i="4"/>
  <c r="G1215" i="4"/>
  <c r="H1214" i="4"/>
  <c r="G1214" i="4"/>
  <c r="H1213" i="4"/>
  <c r="G1213" i="4"/>
  <c r="H1212" i="4"/>
  <c r="G1212" i="4"/>
  <c r="H1211" i="4"/>
  <c r="G1211" i="4"/>
  <c r="H1210" i="4"/>
  <c r="G1210" i="4"/>
  <c r="H1209" i="4"/>
  <c r="G1209" i="4"/>
  <c r="H1208" i="4"/>
  <c r="G1208" i="4"/>
  <c r="H1207" i="4"/>
  <c r="G1207" i="4"/>
  <c r="H1206" i="4"/>
  <c r="G1206" i="4"/>
  <c r="H1205" i="4"/>
  <c r="G1205" i="4"/>
  <c r="H1204" i="4"/>
  <c r="G1204" i="4"/>
  <c r="H1203" i="4"/>
  <c r="G1203" i="4"/>
  <c r="H1202" i="4"/>
  <c r="G1202" i="4"/>
  <c r="H1201" i="4"/>
  <c r="G1201" i="4"/>
  <c r="H1200" i="4"/>
  <c r="G1200" i="4"/>
  <c r="H1199" i="4"/>
  <c r="G1199" i="4"/>
  <c r="H1198" i="4"/>
  <c r="G1198" i="4"/>
  <c r="H1197" i="4"/>
  <c r="G1197" i="4"/>
  <c r="H1196" i="4"/>
  <c r="G1196" i="4"/>
  <c r="H1195" i="4"/>
  <c r="G1195" i="4"/>
  <c r="H1194" i="4"/>
  <c r="G1194" i="4"/>
  <c r="H1193" i="4"/>
  <c r="G1193" i="4"/>
  <c r="H1192" i="4"/>
  <c r="G1192" i="4"/>
  <c r="H1191" i="4"/>
  <c r="G1191" i="4"/>
  <c r="H1190" i="4"/>
  <c r="G1190" i="4"/>
  <c r="H1189" i="4"/>
  <c r="G1189" i="4"/>
  <c r="H1188" i="4"/>
  <c r="G1188" i="4"/>
  <c r="H1187" i="4"/>
  <c r="G1187" i="4"/>
  <c r="H1186" i="4"/>
  <c r="G1186" i="4"/>
  <c r="H1185" i="4"/>
  <c r="G1185" i="4"/>
  <c r="H1184" i="4"/>
  <c r="G1184" i="4"/>
  <c r="H1183" i="4"/>
  <c r="G1183" i="4"/>
  <c r="H1182" i="4"/>
  <c r="G1182" i="4"/>
  <c r="H1181" i="4"/>
  <c r="G1181" i="4"/>
  <c r="H1180" i="4"/>
  <c r="G1180" i="4"/>
  <c r="H1179" i="4"/>
  <c r="G1179" i="4"/>
  <c r="H1178" i="4"/>
  <c r="G1178" i="4"/>
  <c r="H1177" i="4"/>
  <c r="G1177" i="4"/>
  <c r="H1176" i="4"/>
  <c r="G1176" i="4"/>
  <c r="H1175" i="4"/>
  <c r="G1175" i="4"/>
  <c r="H1174" i="4"/>
  <c r="G1174" i="4"/>
  <c r="H1173" i="4"/>
  <c r="G1173" i="4"/>
  <c r="H1172" i="4"/>
  <c r="G1172" i="4"/>
  <c r="H1171" i="4"/>
  <c r="G1171" i="4"/>
  <c r="H1170" i="4"/>
  <c r="G1170" i="4"/>
  <c r="H1169" i="4"/>
  <c r="G1169" i="4"/>
  <c r="H1168" i="4"/>
  <c r="G1168" i="4"/>
  <c r="H1167" i="4"/>
  <c r="G1167" i="4"/>
  <c r="H1166" i="4"/>
  <c r="G1166" i="4"/>
  <c r="H1165" i="4"/>
  <c r="G1165" i="4"/>
  <c r="H1164" i="4"/>
  <c r="G1164" i="4"/>
  <c r="H1163" i="4"/>
  <c r="G1163" i="4"/>
  <c r="H1162" i="4"/>
  <c r="G1162" i="4"/>
  <c r="H1161" i="4"/>
  <c r="G1161" i="4"/>
  <c r="H1160" i="4"/>
  <c r="G1160" i="4"/>
  <c r="H1159" i="4"/>
  <c r="G1159" i="4"/>
  <c r="H1158" i="4"/>
  <c r="G1158" i="4"/>
  <c r="H1157" i="4"/>
  <c r="G1157" i="4"/>
  <c r="H1156" i="4"/>
  <c r="G1156" i="4"/>
  <c r="H1155" i="4"/>
  <c r="G1155" i="4"/>
  <c r="H1154" i="4"/>
  <c r="G1154" i="4"/>
  <c r="H1153" i="4"/>
  <c r="G1153" i="4"/>
  <c r="H1152" i="4"/>
  <c r="G1152" i="4"/>
  <c r="H1151" i="4"/>
  <c r="G1151" i="4"/>
  <c r="H1150" i="4"/>
  <c r="G1150" i="4"/>
  <c r="H1149" i="4"/>
  <c r="G1149" i="4"/>
  <c r="H1148" i="4"/>
  <c r="G1148" i="4"/>
  <c r="H1147" i="4"/>
  <c r="G1147" i="4"/>
  <c r="H1146" i="4"/>
  <c r="G1146" i="4"/>
  <c r="H1145" i="4"/>
  <c r="G1145" i="4"/>
  <c r="H1144" i="4"/>
  <c r="G1144" i="4"/>
  <c r="H1143" i="4"/>
  <c r="G1143" i="4"/>
  <c r="H1142" i="4"/>
  <c r="G1142" i="4"/>
  <c r="H1141" i="4"/>
  <c r="G1141" i="4"/>
  <c r="H1140" i="4"/>
  <c r="G1140" i="4"/>
  <c r="H1139" i="4"/>
  <c r="G1139" i="4"/>
  <c r="H1138" i="4"/>
  <c r="G1138" i="4"/>
  <c r="H1137" i="4"/>
  <c r="G1137" i="4"/>
  <c r="H1136" i="4"/>
  <c r="G1136" i="4"/>
  <c r="H1135" i="4"/>
  <c r="G1135" i="4"/>
  <c r="H1134" i="4"/>
  <c r="G1134" i="4"/>
  <c r="H1133" i="4"/>
  <c r="G1133" i="4"/>
  <c r="H1132" i="4"/>
  <c r="G1132" i="4"/>
  <c r="H1131" i="4"/>
  <c r="G1131" i="4"/>
  <c r="H1130" i="4"/>
  <c r="G1130" i="4"/>
  <c r="H1129" i="4"/>
  <c r="G1129" i="4"/>
  <c r="H1128" i="4"/>
  <c r="G1128" i="4"/>
  <c r="H1127" i="4"/>
  <c r="G1127" i="4"/>
  <c r="H1126" i="4"/>
  <c r="G1126" i="4"/>
  <c r="H1125" i="4"/>
  <c r="G1125" i="4"/>
  <c r="H1124" i="4"/>
  <c r="G1124" i="4"/>
  <c r="H1123" i="4"/>
  <c r="G1123" i="4"/>
  <c r="H1122" i="4"/>
  <c r="G1122" i="4"/>
  <c r="H1121" i="4"/>
  <c r="G1121" i="4"/>
  <c r="H1120" i="4"/>
  <c r="G1120" i="4"/>
  <c r="H1119" i="4"/>
  <c r="G1119" i="4"/>
  <c r="H1118" i="4"/>
  <c r="G1118" i="4"/>
  <c r="H1117" i="4"/>
  <c r="G1117" i="4"/>
  <c r="H1116" i="4"/>
  <c r="G1116" i="4"/>
  <c r="H1115" i="4"/>
  <c r="G1115" i="4"/>
  <c r="H1114" i="4"/>
  <c r="G1114" i="4"/>
  <c r="H1113" i="4"/>
  <c r="G1113" i="4"/>
  <c r="H1112" i="4"/>
  <c r="G1112" i="4"/>
  <c r="H1111" i="4"/>
  <c r="G1111" i="4"/>
  <c r="H1110" i="4"/>
  <c r="G1110" i="4"/>
  <c r="H1109" i="4"/>
  <c r="G1109" i="4"/>
  <c r="H1108" i="4"/>
  <c r="G1108" i="4"/>
  <c r="H1107" i="4"/>
  <c r="G1107" i="4"/>
  <c r="H1106" i="4"/>
  <c r="G1106" i="4"/>
  <c r="H1105" i="4"/>
  <c r="G1105" i="4"/>
  <c r="H1104" i="4"/>
  <c r="G1104" i="4"/>
  <c r="H1103" i="4"/>
  <c r="G1103" i="4"/>
  <c r="H1102" i="4"/>
  <c r="G1102" i="4"/>
  <c r="H1101" i="4"/>
  <c r="G1101" i="4"/>
  <c r="H1100" i="4"/>
  <c r="G1100" i="4"/>
  <c r="H1099" i="4"/>
  <c r="G1099" i="4"/>
  <c r="H1098" i="4"/>
  <c r="G1098" i="4"/>
  <c r="H1097" i="4"/>
  <c r="G1097" i="4"/>
  <c r="H1096" i="4"/>
  <c r="G1096" i="4"/>
  <c r="H1095" i="4"/>
  <c r="G1095" i="4"/>
  <c r="H1094" i="4"/>
  <c r="G1094" i="4"/>
  <c r="H1093" i="4"/>
  <c r="G1093" i="4"/>
  <c r="H1092" i="4"/>
  <c r="G1092" i="4"/>
  <c r="H1091" i="4"/>
  <c r="G1091" i="4"/>
  <c r="H1090" i="4"/>
  <c r="G1090" i="4"/>
  <c r="H1089" i="4"/>
  <c r="G1089" i="4"/>
  <c r="H1088" i="4"/>
  <c r="G1088" i="4"/>
  <c r="H1087" i="4"/>
  <c r="G1087" i="4"/>
  <c r="H1086" i="4"/>
  <c r="G1086" i="4"/>
  <c r="H1085" i="4"/>
  <c r="G1085" i="4"/>
  <c r="H1084" i="4"/>
  <c r="G1084" i="4"/>
  <c r="H1083" i="4"/>
  <c r="G1083" i="4"/>
  <c r="H1082" i="4"/>
  <c r="G1082" i="4"/>
  <c r="H1081" i="4"/>
  <c r="G1081" i="4"/>
  <c r="H1080" i="4"/>
  <c r="G1080" i="4"/>
  <c r="H1079" i="4"/>
  <c r="G1079" i="4"/>
  <c r="H1078" i="4"/>
  <c r="G1078" i="4"/>
  <c r="H1077" i="4"/>
  <c r="G1077" i="4"/>
  <c r="H1076" i="4"/>
  <c r="G1076" i="4"/>
  <c r="H1075" i="4"/>
  <c r="G1075" i="4"/>
  <c r="H1074" i="4"/>
  <c r="G1074" i="4"/>
  <c r="H1073" i="4"/>
  <c r="G1073" i="4"/>
  <c r="H1072" i="4"/>
  <c r="G1072" i="4"/>
  <c r="H1071" i="4"/>
  <c r="G1071" i="4"/>
  <c r="H1070" i="4"/>
  <c r="G1070" i="4"/>
  <c r="H1069" i="4"/>
  <c r="G1069" i="4"/>
  <c r="H1068" i="4"/>
  <c r="G1068" i="4"/>
  <c r="H1067" i="4"/>
  <c r="G1067" i="4"/>
  <c r="H1066" i="4"/>
  <c r="G1066" i="4"/>
  <c r="H1065" i="4"/>
  <c r="G1065" i="4"/>
  <c r="H1064" i="4"/>
  <c r="G1064" i="4"/>
  <c r="H1063" i="4"/>
  <c r="G1063" i="4"/>
  <c r="H1062" i="4"/>
  <c r="G1062" i="4"/>
  <c r="H1061" i="4"/>
  <c r="G1061" i="4"/>
  <c r="H1060" i="4"/>
  <c r="G1060" i="4"/>
  <c r="H1059" i="4"/>
  <c r="G1059" i="4"/>
  <c r="H1058" i="4"/>
  <c r="G1058" i="4"/>
  <c r="H1057" i="4"/>
  <c r="G1057" i="4"/>
  <c r="H1056" i="4"/>
  <c r="G1056" i="4"/>
  <c r="H1055" i="4"/>
  <c r="G1055" i="4"/>
  <c r="H1054" i="4"/>
  <c r="G1054" i="4"/>
  <c r="H1053" i="4"/>
  <c r="G1053" i="4"/>
  <c r="H1052" i="4"/>
  <c r="G1052" i="4"/>
  <c r="H1051" i="4"/>
  <c r="G1051" i="4"/>
  <c r="H1050" i="4"/>
  <c r="G1050" i="4"/>
  <c r="H1049" i="4"/>
  <c r="G1049" i="4"/>
  <c r="H1048" i="4"/>
  <c r="G1048" i="4"/>
  <c r="H1047" i="4"/>
  <c r="G1047" i="4"/>
  <c r="H1046" i="4"/>
  <c r="G1046" i="4"/>
  <c r="H1045" i="4"/>
  <c r="G1045" i="4"/>
  <c r="H1044" i="4"/>
  <c r="G1044" i="4"/>
  <c r="H1043" i="4"/>
  <c r="G1043" i="4"/>
  <c r="H1042" i="4"/>
  <c r="G1042" i="4"/>
  <c r="H1041" i="4"/>
  <c r="G1041" i="4"/>
  <c r="H1040" i="4"/>
  <c r="G1040" i="4"/>
  <c r="H1039" i="4"/>
  <c r="G1039" i="4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82" i="4"/>
  <c r="G882" i="4"/>
  <c r="H881" i="4"/>
  <c r="G881" i="4"/>
  <c r="H880" i="4"/>
  <c r="G880" i="4"/>
  <c r="H879" i="4"/>
  <c r="G879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72" i="4"/>
  <c r="G872" i="4"/>
  <c r="H871" i="4"/>
  <c r="G871" i="4"/>
  <c r="H870" i="4"/>
  <c r="G870" i="4"/>
  <c r="H869" i="4"/>
  <c r="G869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10" i="4"/>
  <c r="G710" i="4"/>
  <c r="H709" i="4"/>
  <c r="G709" i="4"/>
  <c r="H708" i="4"/>
  <c r="G708" i="4"/>
  <c r="H707" i="4"/>
  <c r="G707" i="4"/>
  <c r="H706" i="4"/>
  <c r="G706" i="4"/>
  <c r="H705" i="4"/>
  <c r="G705" i="4"/>
  <c r="H704" i="4"/>
  <c r="G704" i="4"/>
  <c r="H703" i="4"/>
  <c r="G703" i="4"/>
  <c r="H702" i="4"/>
  <c r="G702" i="4"/>
  <c r="H701" i="4"/>
  <c r="G701" i="4"/>
  <c r="H700" i="4"/>
  <c r="G700" i="4"/>
  <c r="H699" i="4"/>
  <c r="G699" i="4"/>
  <c r="H698" i="4"/>
  <c r="G698" i="4"/>
  <c r="H697" i="4"/>
  <c r="G697" i="4"/>
  <c r="H696" i="4"/>
  <c r="G696" i="4"/>
  <c r="H695" i="4"/>
  <c r="G695" i="4"/>
  <c r="H694" i="4"/>
  <c r="G694" i="4"/>
  <c r="H693" i="4"/>
  <c r="G693" i="4"/>
  <c r="H692" i="4"/>
  <c r="G692" i="4"/>
  <c r="H691" i="4"/>
  <c r="G691" i="4"/>
  <c r="H690" i="4"/>
  <c r="G690" i="4"/>
  <c r="H689" i="4"/>
  <c r="G689" i="4"/>
  <c r="H688" i="4"/>
  <c r="G688" i="4"/>
  <c r="H687" i="4"/>
  <c r="G687" i="4"/>
  <c r="H686" i="4"/>
  <c r="G686" i="4"/>
  <c r="H685" i="4"/>
  <c r="G685" i="4"/>
  <c r="H684" i="4"/>
  <c r="G684" i="4"/>
  <c r="H683" i="4"/>
  <c r="G683" i="4"/>
  <c r="H682" i="4"/>
  <c r="G682" i="4"/>
  <c r="H681" i="4"/>
  <c r="G681" i="4"/>
  <c r="H680" i="4"/>
  <c r="G680" i="4"/>
  <c r="H679" i="4"/>
  <c r="G679" i="4"/>
  <c r="H678" i="4"/>
  <c r="G678" i="4"/>
  <c r="H677" i="4"/>
  <c r="G677" i="4"/>
  <c r="H676" i="4"/>
  <c r="G676" i="4"/>
  <c r="H675" i="4"/>
  <c r="G675" i="4"/>
  <c r="H674" i="4"/>
  <c r="G674" i="4"/>
  <c r="H673" i="4"/>
  <c r="G673" i="4"/>
  <c r="H672" i="4"/>
  <c r="G672" i="4"/>
  <c r="H671" i="4"/>
  <c r="G671" i="4"/>
  <c r="H670" i="4"/>
  <c r="G670" i="4"/>
  <c r="H669" i="4"/>
  <c r="G669" i="4"/>
  <c r="H668" i="4"/>
  <c r="G668" i="4"/>
  <c r="H667" i="4"/>
  <c r="G667" i="4"/>
  <c r="H666" i="4"/>
  <c r="G666" i="4"/>
  <c r="H665" i="4"/>
  <c r="G665" i="4"/>
  <c r="H664" i="4"/>
  <c r="G664" i="4"/>
  <c r="H663" i="4"/>
  <c r="G663" i="4"/>
  <c r="H662" i="4"/>
  <c r="G662" i="4"/>
  <c r="H661" i="4"/>
  <c r="G661" i="4"/>
  <c r="H660" i="4"/>
  <c r="G660" i="4"/>
  <c r="H659" i="4"/>
  <c r="G659" i="4"/>
  <c r="H658" i="4"/>
  <c r="G658" i="4"/>
  <c r="H657" i="4"/>
  <c r="G657" i="4"/>
  <c r="H656" i="4"/>
  <c r="G656" i="4"/>
  <c r="H655" i="4"/>
  <c r="G655" i="4"/>
  <c r="H654" i="4"/>
  <c r="G654" i="4"/>
  <c r="H653" i="4"/>
  <c r="G653" i="4"/>
  <c r="H652" i="4"/>
  <c r="G652" i="4"/>
  <c r="H651" i="4"/>
  <c r="G651" i="4"/>
  <c r="H650" i="4"/>
  <c r="G650" i="4"/>
  <c r="H649" i="4"/>
  <c r="G649" i="4"/>
  <c r="H648" i="4"/>
  <c r="G648" i="4"/>
  <c r="H647" i="4"/>
  <c r="G647" i="4"/>
  <c r="H646" i="4"/>
  <c r="G646" i="4"/>
  <c r="H645" i="4"/>
  <c r="G645" i="4"/>
  <c r="H644" i="4"/>
  <c r="G644" i="4"/>
  <c r="H643" i="4"/>
  <c r="G643" i="4"/>
  <c r="H642" i="4"/>
  <c r="G642" i="4"/>
  <c r="H641" i="4"/>
  <c r="G641" i="4"/>
  <c r="H640" i="4"/>
  <c r="G640" i="4"/>
  <c r="H639" i="4"/>
  <c r="G639" i="4"/>
  <c r="H638" i="4"/>
  <c r="G638" i="4"/>
  <c r="H637" i="4"/>
  <c r="G637" i="4"/>
  <c r="H636" i="4"/>
  <c r="G636" i="4"/>
  <c r="H635" i="4"/>
  <c r="G635" i="4"/>
  <c r="H634" i="4"/>
  <c r="G634" i="4"/>
  <c r="H633" i="4"/>
  <c r="G633" i="4"/>
  <c r="H632" i="4"/>
  <c r="G632" i="4"/>
  <c r="H631" i="4"/>
  <c r="G631" i="4"/>
  <c r="H630" i="4"/>
  <c r="G630" i="4"/>
  <c r="H629" i="4"/>
  <c r="G629" i="4"/>
  <c r="H628" i="4"/>
  <c r="G628" i="4"/>
  <c r="H627" i="4"/>
  <c r="G627" i="4"/>
  <c r="H626" i="4"/>
  <c r="G626" i="4"/>
  <c r="H625" i="4"/>
  <c r="G625" i="4"/>
  <c r="H624" i="4"/>
  <c r="G624" i="4"/>
  <c r="H623" i="4"/>
  <c r="G623" i="4"/>
  <c r="H622" i="4"/>
  <c r="G622" i="4"/>
  <c r="H621" i="4"/>
  <c r="G621" i="4"/>
  <c r="H620" i="4"/>
  <c r="G620" i="4"/>
  <c r="H619" i="4"/>
  <c r="G619" i="4"/>
  <c r="H618" i="4"/>
  <c r="G618" i="4"/>
  <c r="H617" i="4"/>
  <c r="G617" i="4"/>
  <c r="H616" i="4"/>
  <c r="G616" i="4"/>
  <c r="H615" i="4"/>
  <c r="G615" i="4"/>
  <c r="H614" i="4"/>
  <c r="G614" i="4"/>
  <c r="H613" i="4"/>
  <c r="G613" i="4"/>
  <c r="H612" i="4"/>
  <c r="G612" i="4"/>
  <c r="H611" i="4"/>
  <c r="G611" i="4"/>
  <c r="H610" i="4"/>
  <c r="G610" i="4"/>
  <c r="H609" i="4"/>
  <c r="G609" i="4"/>
  <c r="H608" i="4"/>
  <c r="G608" i="4"/>
  <c r="H607" i="4"/>
  <c r="G607" i="4"/>
  <c r="H606" i="4"/>
  <c r="G606" i="4"/>
  <c r="H605" i="4"/>
  <c r="G605" i="4"/>
  <c r="H604" i="4"/>
  <c r="G604" i="4"/>
  <c r="H603" i="4"/>
  <c r="G603" i="4"/>
  <c r="H602" i="4"/>
  <c r="G602" i="4"/>
  <c r="H601" i="4"/>
  <c r="G601" i="4"/>
  <c r="H600" i="4"/>
  <c r="G600" i="4"/>
  <c r="H599" i="4"/>
  <c r="G599" i="4"/>
  <c r="H598" i="4"/>
  <c r="G598" i="4"/>
  <c r="H597" i="4"/>
  <c r="G597" i="4"/>
  <c r="H596" i="4"/>
  <c r="G596" i="4"/>
  <c r="H595" i="4"/>
  <c r="G595" i="4"/>
  <c r="H594" i="4"/>
  <c r="G594" i="4"/>
  <c r="H593" i="4"/>
  <c r="G593" i="4"/>
  <c r="H592" i="4"/>
  <c r="G592" i="4"/>
  <c r="H591" i="4"/>
  <c r="G591" i="4"/>
  <c r="H590" i="4"/>
  <c r="G590" i="4"/>
  <c r="H589" i="4"/>
  <c r="G589" i="4"/>
  <c r="H588" i="4"/>
  <c r="G588" i="4"/>
  <c r="H587" i="4"/>
  <c r="G587" i="4"/>
  <c r="H586" i="4"/>
  <c r="G586" i="4"/>
  <c r="H585" i="4"/>
  <c r="G585" i="4"/>
  <c r="H584" i="4"/>
  <c r="G584" i="4"/>
  <c r="H583" i="4"/>
  <c r="G583" i="4"/>
  <c r="H582" i="4"/>
  <c r="G582" i="4"/>
  <c r="H581" i="4"/>
  <c r="G581" i="4"/>
  <c r="H580" i="4"/>
  <c r="G580" i="4"/>
  <c r="H579" i="4"/>
  <c r="G579" i="4"/>
  <c r="H578" i="4"/>
  <c r="G578" i="4"/>
  <c r="H577" i="4"/>
  <c r="G577" i="4"/>
  <c r="H576" i="4"/>
  <c r="G576" i="4"/>
  <c r="H575" i="4"/>
  <c r="G575" i="4"/>
  <c r="H574" i="4"/>
  <c r="G574" i="4"/>
  <c r="H573" i="4"/>
  <c r="G573" i="4"/>
  <c r="H572" i="4"/>
  <c r="G572" i="4"/>
  <c r="H571" i="4"/>
  <c r="G571" i="4"/>
  <c r="H570" i="4"/>
  <c r="G570" i="4"/>
  <c r="H569" i="4"/>
  <c r="G569" i="4"/>
  <c r="H568" i="4"/>
  <c r="G568" i="4"/>
  <c r="H567" i="4"/>
  <c r="G567" i="4"/>
  <c r="H566" i="4"/>
  <c r="G566" i="4"/>
  <c r="H565" i="4"/>
  <c r="G565" i="4"/>
  <c r="H564" i="4"/>
  <c r="G564" i="4"/>
  <c r="H563" i="4"/>
  <c r="G563" i="4"/>
  <c r="H562" i="4"/>
  <c r="G562" i="4"/>
  <c r="H561" i="4"/>
  <c r="G561" i="4"/>
  <c r="H560" i="4"/>
  <c r="G560" i="4"/>
  <c r="H559" i="4"/>
  <c r="G559" i="4"/>
  <c r="H558" i="4"/>
  <c r="G558" i="4"/>
  <c r="H557" i="4"/>
  <c r="G557" i="4"/>
  <c r="H556" i="4"/>
  <c r="G556" i="4"/>
  <c r="H555" i="4"/>
  <c r="G555" i="4"/>
  <c r="H554" i="4"/>
  <c r="G554" i="4"/>
  <c r="H553" i="4"/>
  <c r="G553" i="4"/>
  <c r="H552" i="4"/>
  <c r="G552" i="4"/>
  <c r="H551" i="4"/>
  <c r="G551" i="4"/>
  <c r="H550" i="4"/>
  <c r="G550" i="4"/>
  <c r="H549" i="4"/>
  <c r="G549" i="4"/>
  <c r="H548" i="4"/>
  <c r="G548" i="4"/>
  <c r="H547" i="4"/>
  <c r="G547" i="4"/>
  <c r="H546" i="4"/>
  <c r="G546" i="4"/>
  <c r="H545" i="4"/>
  <c r="G545" i="4"/>
  <c r="H544" i="4"/>
  <c r="G544" i="4"/>
  <c r="H543" i="4"/>
  <c r="G543" i="4"/>
  <c r="H542" i="4"/>
  <c r="G542" i="4"/>
  <c r="H541" i="4"/>
  <c r="G541" i="4"/>
  <c r="H540" i="4"/>
  <c r="G540" i="4"/>
  <c r="H539" i="4"/>
  <c r="G539" i="4"/>
  <c r="H538" i="4"/>
  <c r="G538" i="4"/>
  <c r="H537" i="4"/>
  <c r="G537" i="4"/>
  <c r="H536" i="4"/>
  <c r="G536" i="4"/>
  <c r="H535" i="4"/>
  <c r="G535" i="4"/>
  <c r="H534" i="4"/>
  <c r="G534" i="4"/>
  <c r="H533" i="4"/>
  <c r="G533" i="4"/>
  <c r="H532" i="4"/>
  <c r="G532" i="4"/>
  <c r="H531" i="4"/>
  <c r="G531" i="4"/>
  <c r="H530" i="4"/>
  <c r="G530" i="4"/>
  <c r="H529" i="4"/>
  <c r="G529" i="4"/>
  <c r="H528" i="4"/>
  <c r="G528" i="4"/>
  <c r="H527" i="4"/>
  <c r="G527" i="4"/>
  <c r="H526" i="4"/>
  <c r="G526" i="4"/>
  <c r="H525" i="4"/>
  <c r="G525" i="4"/>
  <c r="H524" i="4"/>
  <c r="G524" i="4"/>
  <c r="H523" i="4"/>
  <c r="G523" i="4"/>
  <c r="H522" i="4"/>
  <c r="G522" i="4"/>
  <c r="H521" i="4"/>
  <c r="G521" i="4"/>
  <c r="H520" i="4"/>
  <c r="G520" i="4"/>
  <c r="H519" i="4"/>
  <c r="G519" i="4"/>
  <c r="H518" i="4"/>
  <c r="G518" i="4"/>
  <c r="H517" i="4"/>
  <c r="G517" i="4"/>
  <c r="H516" i="4"/>
  <c r="G516" i="4"/>
  <c r="H515" i="4"/>
  <c r="G515" i="4"/>
  <c r="H514" i="4"/>
  <c r="G514" i="4"/>
  <c r="H513" i="4"/>
  <c r="G513" i="4"/>
  <c r="H512" i="4"/>
  <c r="G512" i="4"/>
  <c r="H511" i="4"/>
  <c r="G511" i="4"/>
  <c r="H510" i="4"/>
  <c r="G510" i="4"/>
  <c r="H509" i="4"/>
  <c r="G509" i="4"/>
  <c r="H508" i="4"/>
  <c r="G508" i="4"/>
  <c r="H507" i="4"/>
  <c r="G507" i="4"/>
  <c r="H506" i="4"/>
  <c r="G506" i="4"/>
  <c r="H505" i="4"/>
  <c r="G505" i="4"/>
  <c r="H504" i="4"/>
  <c r="G504" i="4"/>
  <c r="H503" i="4"/>
  <c r="G503" i="4"/>
  <c r="H502" i="4"/>
  <c r="G502" i="4"/>
  <c r="H501" i="4"/>
  <c r="G501" i="4"/>
  <c r="H500" i="4"/>
  <c r="G500" i="4"/>
  <c r="H499" i="4"/>
  <c r="G499" i="4"/>
  <c r="H498" i="4"/>
  <c r="G498" i="4"/>
  <c r="H497" i="4"/>
  <c r="G497" i="4"/>
  <c r="H496" i="4"/>
  <c r="G496" i="4"/>
  <c r="H495" i="4"/>
  <c r="G495" i="4"/>
  <c r="H494" i="4"/>
  <c r="G494" i="4"/>
  <c r="H493" i="4"/>
  <c r="G493" i="4"/>
  <c r="H492" i="4"/>
  <c r="G492" i="4"/>
  <c r="H491" i="4"/>
  <c r="G491" i="4"/>
  <c r="H490" i="4"/>
  <c r="G490" i="4"/>
  <c r="H489" i="4"/>
  <c r="G489" i="4"/>
  <c r="H488" i="4"/>
  <c r="G488" i="4"/>
  <c r="H487" i="4"/>
  <c r="G487" i="4"/>
  <c r="H486" i="4"/>
  <c r="G486" i="4"/>
  <c r="H485" i="4"/>
  <c r="G485" i="4"/>
  <c r="H484" i="4"/>
  <c r="G484" i="4"/>
  <c r="H483" i="4"/>
  <c r="G483" i="4"/>
  <c r="H482" i="4"/>
  <c r="G482" i="4"/>
  <c r="H481" i="4"/>
  <c r="G481" i="4"/>
  <c r="H480" i="4"/>
  <c r="G480" i="4"/>
  <c r="H479" i="4"/>
  <c r="G479" i="4"/>
  <c r="H478" i="4"/>
  <c r="G478" i="4"/>
  <c r="H477" i="4"/>
  <c r="G477" i="4"/>
  <c r="H476" i="4"/>
  <c r="G476" i="4"/>
  <c r="H475" i="4"/>
  <c r="G475" i="4"/>
  <c r="H474" i="4"/>
  <c r="G474" i="4"/>
  <c r="H473" i="4"/>
  <c r="G473" i="4"/>
  <c r="H472" i="4"/>
  <c r="G472" i="4"/>
  <c r="H471" i="4"/>
  <c r="G471" i="4"/>
  <c r="H470" i="4"/>
  <c r="G470" i="4"/>
  <c r="H469" i="4"/>
  <c r="G469" i="4"/>
  <c r="H468" i="4"/>
  <c r="G468" i="4"/>
  <c r="H467" i="4"/>
  <c r="G467" i="4"/>
  <c r="H466" i="4"/>
  <c r="G466" i="4"/>
  <c r="H465" i="4"/>
  <c r="G465" i="4"/>
  <c r="H464" i="4"/>
  <c r="G464" i="4"/>
  <c r="H463" i="4"/>
  <c r="G463" i="4"/>
  <c r="H462" i="4"/>
  <c r="G462" i="4"/>
  <c r="H461" i="4"/>
  <c r="G461" i="4"/>
  <c r="H460" i="4"/>
  <c r="G460" i="4"/>
  <c r="H459" i="4"/>
  <c r="G459" i="4"/>
  <c r="H458" i="4"/>
  <c r="G458" i="4"/>
  <c r="H457" i="4"/>
  <c r="G457" i="4"/>
  <c r="H456" i="4"/>
  <c r="G456" i="4"/>
  <c r="H455" i="4"/>
  <c r="G455" i="4"/>
  <c r="H454" i="4"/>
  <c r="G454" i="4"/>
  <c r="H453" i="4"/>
  <c r="G453" i="4"/>
  <c r="H452" i="4"/>
  <c r="G452" i="4"/>
  <c r="H451" i="4"/>
  <c r="G451" i="4"/>
  <c r="H450" i="4"/>
  <c r="G450" i="4"/>
  <c r="H449" i="4"/>
  <c r="G449" i="4"/>
  <c r="H448" i="4"/>
  <c r="G448" i="4"/>
  <c r="H447" i="4"/>
  <c r="G447" i="4"/>
  <c r="H446" i="4"/>
  <c r="G446" i="4"/>
  <c r="H445" i="4"/>
  <c r="G445" i="4"/>
  <c r="H444" i="4"/>
  <c r="G444" i="4"/>
  <c r="H443" i="4"/>
  <c r="G443" i="4"/>
  <c r="H442" i="4"/>
  <c r="G442" i="4"/>
  <c r="H441" i="4"/>
  <c r="G441" i="4"/>
  <c r="H440" i="4"/>
  <c r="G440" i="4"/>
  <c r="H439" i="4"/>
  <c r="G439" i="4"/>
  <c r="H438" i="4"/>
  <c r="G438" i="4"/>
  <c r="H437" i="4"/>
  <c r="G437" i="4"/>
  <c r="H436" i="4"/>
  <c r="G436" i="4"/>
  <c r="H435" i="4"/>
  <c r="G435" i="4"/>
  <c r="H434" i="4"/>
  <c r="G434" i="4"/>
  <c r="H433" i="4"/>
  <c r="G433" i="4"/>
  <c r="H432" i="4"/>
  <c r="G432" i="4"/>
  <c r="H431" i="4"/>
  <c r="G431" i="4"/>
  <c r="H430" i="4"/>
  <c r="G430" i="4"/>
  <c r="H429" i="4"/>
  <c r="G429" i="4"/>
  <c r="H428" i="4"/>
  <c r="G428" i="4"/>
  <c r="H427" i="4"/>
  <c r="G427" i="4"/>
  <c r="H426" i="4"/>
  <c r="G426" i="4"/>
  <c r="H425" i="4"/>
  <c r="G425" i="4"/>
  <c r="H424" i="4"/>
  <c r="G424" i="4"/>
  <c r="H423" i="4"/>
  <c r="G423" i="4"/>
  <c r="H422" i="4"/>
  <c r="G422" i="4"/>
  <c r="H421" i="4"/>
  <c r="G421" i="4"/>
  <c r="H420" i="4"/>
  <c r="G420" i="4"/>
  <c r="H419" i="4"/>
  <c r="G419" i="4"/>
  <c r="H418" i="4"/>
  <c r="G418" i="4"/>
  <c r="H417" i="4"/>
  <c r="G417" i="4"/>
  <c r="H416" i="4"/>
  <c r="G416" i="4"/>
  <c r="H415" i="4"/>
  <c r="G415" i="4"/>
  <c r="H414" i="4"/>
  <c r="G414" i="4"/>
  <c r="H413" i="4"/>
  <c r="G413" i="4"/>
  <c r="H412" i="4"/>
  <c r="G412" i="4"/>
  <c r="H411" i="4"/>
  <c r="G411" i="4"/>
  <c r="H410" i="4"/>
  <c r="G410" i="4"/>
  <c r="H409" i="4"/>
  <c r="G409" i="4"/>
  <c r="H408" i="4"/>
  <c r="G408" i="4"/>
  <c r="H407" i="4"/>
  <c r="G407" i="4"/>
  <c r="H406" i="4"/>
  <c r="G406" i="4"/>
  <c r="H405" i="4"/>
  <c r="G405" i="4"/>
  <c r="H404" i="4"/>
  <c r="G404" i="4"/>
  <c r="H403" i="4"/>
  <c r="G403" i="4"/>
  <c r="H402" i="4"/>
  <c r="G402" i="4"/>
  <c r="H401" i="4"/>
  <c r="G401" i="4"/>
  <c r="H400" i="4"/>
  <c r="G400" i="4"/>
  <c r="H399" i="4"/>
  <c r="G399" i="4"/>
  <c r="H398" i="4"/>
  <c r="G398" i="4"/>
  <c r="H397" i="4"/>
  <c r="G397" i="4"/>
  <c r="H396" i="4"/>
  <c r="G396" i="4"/>
  <c r="H395" i="4"/>
  <c r="G395" i="4"/>
  <c r="H394" i="4"/>
  <c r="G394" i="4"/>
  <c r="H393" i="4"/>
  <c r="G393" i="4"/>
  <c r="H392" i="4"/>
  <c r="G392" i="4"/>
  <c r="H391" i="4"/>
  <c r="G391" i="4"/>
  <c r="H390" i="4"/>
  <c r="G390" i="4"/>
  <c r="H389" i="4"/>
  <c r="G389" i="4"/>
  <c r="H388" i="4"/>
  <c r="G388" i="4"/>
  <c r="H387" i="4"/>
  <c r="G387" i="4"/>
  <c r="H386" i="4"/>
  <c r="G386" i="4"/>
  <c r="H385" i="4"/>
  <c r="G385" i="4"/>
  <c r="H384" i="4"/>
  <c r="G384" i="4"/>
  <c r="H383" i="4"/>
  <c r="G383" i="4"/>
  <c r="H382" i="4"/>
  <c r="G382" i="4"/>
  <c r="H381" i="4"/>
  <c r="G381" i="4"/>
  <c r="H380" i="4"/>
  <c r="G380" i="4"/>
  <c r="H379" i="4"/>
  <c r="G379" i="4"/>
  <c r="H378" i="4"/>
  <c r="G378" i="4"/>
  <c r="H377" i="4"/>
  <c r="G377" i="4"/>
  <c r="H376" i="4"/>
  <c r="G376" i="4"/>
  <c r="H375" i="4"/>
  <c r="G375" i="4"/>
  <c r="H374" i="4"/>
  <c r="G374" i="4"/>
  <c r="H373" i="4"/>
  <c r="G373" i="4"/>
  <c r="H372" i="4"/>
  <c r="G372" i="4"/>
  <c r="H371" i="4"/>
  <c r="G371" i="4"/>
  <c r="H370" i="4"/>
  <c r="G370" i="4"/>
  <c r="H369" i="4"/>
  <c r="G369" i="4"/>
  <c r="H368" i="4"/>
  <c r="G368" i="4"/>
  <c r="H367" i="4"/>
  <c r="G367" i="4"/>
  <c r="H366" i="4"/>
  <c r="G366" i="4"/>
  <c r="H365" i="4"/>
  <c r="G365" i="4"/>
  <c r="H364" i="4"/>
  <c r="G364" i="4"/>
  <c r="H363" i="4"/>
  <c r="G363" i="4"/>
  <c r="H362" i="4"/>
  <c r="G362" i="4"/>
  <c r="H361" i="4"/>
  <c r="G361" i="4"/>
  <c r="H360" i="4"/>
  <c r="G360" i="4"/>
  <c r="H359" i="4"/>
  <c r="G359" i="4"/>
  <c r="H358" i="4"/>
  <c r="G358" i="4"/>
  <c r="H357" i="4"/>
  <c r="G357" i="4"/>
  <c r="H356" i="4"/>
  <c r="G356" i="4"/>
  <c r="H355" i="4"/>
  <c r="G355" i="4"/>
  <c r="H354" i="4"/>
  <c r="G354" i="4"/>
  <c r="H353" i="4"/>
  <c r="G353" i="4"/>
  <c r="H352" i="4"/>
  <c r="G352" i="4"/>
  <c r="H351" i="4"/>
  <c r="G351" i="4"/>
  <c r="H350" i="4"/>
  <c r="G350" i="4"/>
  <c r="H349" i="4"/>
  <c r="G349" i="4"/>
  <c r="H348" i="4"/>
  <c r="G348" i="4"/>
  <c r="H347" i="4"/>
  <c r="G347" i="4"/>
  <c r="H346" i="4"/>
  <c r="G346" i="4"/>
  <c r="H345" i="4"/>
  <c r="G345" i="4"/>
  <c r="H344" i="4"/>
  <c r="G344" i="4"/>
  <c r="H343" i="4"/>
  <c r="G343" i="4"/>
  <c r="H342" i="4"/>
  <c r="G342" i="4"/>
  <c r="H341" i="4"/>
  <c r="G341" i="4"/>
  <c r="H340" i="4"/>
  <c r="G340" i="4"/>
  <c r="H339" i="4"/>
  <c r="G339" i="4"/>
  <c r="H338" i="4"/>
  <c r="G338" i="4"/>
  <c r="H337" i="4"/>
  <c r="G337" i="4"/>
  <c r="H336" i="4"/>
  <c r="G336" i="4"/>
  <c r="H335" i="4"/>
  <c r="G335" i="4"/>
  <c r="H334" i="4"/>
  <c r="G334" i="4"/>
  <c r="H333" i="4"/>
  <c r="G333" i="4"/>
  <c r="H332" i="4"/>
  <c r="G332" i="4"/>
  <c r="H331" i="4"/>
  <c r="G331" i="4"/>
  <c r="H330" i="4"/>
  <c r="G330" i="4"/>
  <c r="H329" i="4"/>
  <c r="G329" i="4"/>
  <c r="H328" i="4"/>
  <c r="G328" i="4"/>
  <c r="H327" i="4"/>
  <c r="G327" i="4"/>
  <c r="H326" i="4"/>
  <c r="G326" i="4"/>
  <c r="H325" i="4"/>
  <c r="G325" i="4"/>
  <c r="H324" i="4"/>
  <c r="G324" i="4"/>
  <c r="H323" i="4"/>
  <c r="G323" i="4"/>
  <c r="H322" i="4"/>
  <c r="G322" i="4"/>
  <c r="H321" i="4"/>
  <c r="G321" i="4"/>
  <c r="H320" i="4"/>
  <c r="G320" i="4"/>
  <c r="H319" i="4"/>
  <c r="G319" i="4"/>
  <c r="H318" i="4"/>
  <c r="G318" i="4"/>
  <c r="H317" i="4"/>
  <c r="G317" i="4"/>
  <c r="H316" i="4"/>
  <c r="G316" i="4"/>
  <c r="H315" i="4"/>
  <c r="G315" i="4"/>
  <c r="H314" i="4"/>
  <c r="G314" i="4"/>
  <c r="H313" i="4"/>
  <c r="G313" i="4"/>
  <c r="H312" i="4"/>
  <c r="G312" i="4"/>
  <c r="H311" i="4"/>
  <c r="G311" i="4"/>
  <c r="H310" i="4"/>
  <c r="G310" i="4"/>
  <c r="H309" i="4"/>
  <c r="G309" i="4"/>
  <c r="H308" i="4"/>
  <c r="G308" i="4"/>
  <c r="H307" i="4"/>
  <c r="G307" i="4"/>
  <c r="H306" i="4"/>
  <c r="G306" i="4"/>
  <c r="H305" i="4"/>
  <c r="G305" i="4"/>
  <c r="H304" i="4"/>
  <c r="G304" i="4"/>
  <c r="H303" i="4"/>
  <c r="G303" i="4"/>
  <c r="H302" i="4"/>
  <c r="G302" i="4"/>
  <c r="H301" i="4"/>
  <c r="G301" i="4"/>
  <c r="H300" i="4"/>
  <c r="G300" i="4"/>
  <c r="H299" i="4"/>
  <c r="G299" i="4"/>
  <c r="H298" i="4"/>
  <c r="G298" i="4"/>
  <c r="H297" i="4"/>
  <c r="G297" i="4"/>
  <c r="H296" i="4"/>
  <c r="G296" i="4"/>
  <c r="H295" i="4"/>
  <c r="G295" i="4"/>
  <c r="H294" i="4"/>
  <c r="G294" i="4"/>
  <c r="H293" i="4"/>
  <c r="G293" i="4"/>
  <c r="H292" i="4"/>
  <c r="G292" i="4"/>
  <c r="H291" i="4"/>
  <c r="G291" i="4"/>
  <c r="H290" i="4"/>
  <c r="G290" i="4"/>
  <c r="H289" i="4"/>
  <c r="G289" i="4"/>
  <c r="H288" i="4"/>
  <c r="G288" i="4"/>
  <c r="H287" i="4"/>
  <c r="G287" i="4"/>
  <c r="H286" i="4"/>
  <c r="G286" i="4"/>
  <c r="H285" i="4"/>
  <c r="G285" i="4"/>
  <c r="H284" i="4"/>
  <c r="G284" i="4"/>
  <c r="H283" i="4"/>
  <c r="G283" i="4"/>
  <c r="H282" i="4"/>
  <c r="G282" i="4"/>
  <c r="H281" i="4"/>
  <c r="G281" i="4"/>
  <c r="H280" i="4"/>
  <c r="G280" i="4"/>
  <c r="H279" i="4"/>
  <c r="G279" i="4"/>
  <c r="H278" i="4"/>
  <c r="G278" i="4"/>
  <c r="H277" i="4"/>
  <c r="G277" i="4"/>
  <c r="H276" i="4"/>
  <c r="G276" i="4"/>
  <c r="H275" i="4"/>
  <c r="G275" i="4"/>
  <c r="H274" i="4"/>
  <c r="G274" i="4"/>
  <c r="H273" i="4"/>
  <c r="G273" i="4"/>
  <c r="H272" i="4"/>
  <c r="G272" i="4"/>
  <c r="H271" i="4"/>
  <c r="G271" i="4"/>
  <c r="H270" i="4"/>
  <c r="G270" i="4"/>
  <c r="H269" i="4"/>
  <c r="G269" i="4"/>
  <c r="H268" i="4"/>
  <c r="G268" i="4"/>
  <c r="H267" i="4"/>
  <c r="G267" i="4"/>
  <c r="H266" i="4"/>
  <c r="G266" i="4"/>
  <c r="H265" i="4"/>
  <c r="G265" i="4"/>
  <c r="H264" i="4"/>
  <c r="G264" i="4"/>
  <c r="H263" i="4"/>
  <c r="G263" i="4"/>
  <c r="H262" i="4"/>
  <c r="G262" i="4"/>
  <c r="H261" i="4"/>
  <c r="G261" i="4"/>
  <c r="H260" i="4"/>
  <c r="G260" i="4"/>
  <c r="H259" i="4"/>
  <c r="G259" i="4"/>
  <c r="H258" i="4"/>
  <c r="G258" i="4"/>
  <c r="H257" i="4"/>
  <c r="G257" i="4"/>
  <c r="H256" i="4"/>
  <c r="G256" i="4"/>
  <c r="H255" i="4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G10" i="4"/>
  <c r="H10" i="4" s="1"/>
  <c r="K9" i="4"/>
  <c r="K10" i="4" s="1"/>
  <c r="B14" i="1" s="1"/>
  <c r="H9" i="4"/>
  <c r="G9" i="4"/>
  <c r="H8" i="4"/>
  <c r="G8" i="4"/>
  <c r="H7" i="4"/>
  <c r="G7" i="4"/>
  <c r="K6" i="4"/>
  <c r="H3" i="4"/>
  <c r="E3" i="4"/>
  <c r="K7" i="4" s="1"/>
  <c r="K8" i="4" s="1"/>
  <c r="B13" i="1" s="1"/>
  <c r="H18" i="3"/>
  <c r="G18" i="3"/>
  <c r="F18" i="3"/>
  <c r="I18" i="3" s="1"/>
  <c r="E18" i="3"/>
  <c r="H17" i="3"/>
  <c r="G17" i="3"/>
  <c r="F17" i="3"/>
  <c r="E17" i="3"/>
  <c r="I17" i="3" s="1"/>
  <c r="H16" i="3"/>
  <c r="G16" i="3"/>
  <c r="F16" i="3"/>
  <c r="E16" i="3"/>
  <c r="H15" i="3"/>
  <c r="G15" i="3"/>
  <c r="F15" i="3"/>
  <c r="E15" i="3"/>
  <c r="I15" i="3" s="1"/>
  <c r="H14" i="3"/>
  <c r="G14" i="3"/>
  <c r="F14" i="3"/>
  <c r="E14" i="3"/>
  <c r="I14" i="3" s="1"/>
  <c r="H13" i="3"/>
  <c r="G13" i="3"/>
  <c r="F13" i="3"/>
  <c r="I13" i="3" s="1"/>
  <c r="E13" i="3"/>
  <c r="H12" i="3"/>
  <c r="G12" i="3"/>
  <c r="F12" i="3"/>
  <c r="E12" i="3"/>
  <c r="H11" i="3"/>
  <c r="G11" i="3"/>
  <c r="F11" i="3"/>
  <c r="E11" i="3"/>
  <c r="I11" i="3" s="1"/>
  <c r="H10" i="3"/>
  <c r="G10" i="3"/>
  <c r="F10" i="3"/>
  <c r="I10" i="3" s="1"/>
  <c r="E10" i="3"/>
  <c r="H9" i="3"/>
  <c r="G9" i="3"/>
  <c r="F9" i="3"/>
  <c r="E9" i="3"/>
  <c r="I9" i="3" s="1"/>
  <c r="H8" i="3"/>
  <c r="G8" i="3"/>
  <c r="F8" i="3"/>
  <c r="E8" i="3"/>
  <c r="H7" i="3"/>
  <c r="G7" i="3"/>
  <c r="F7" i="3"/>
  <c r="I7" i="3" s="1"/>
  <c r="E7" i="3"/>
  <c r="H6" i="3"/>
  <c r="G6" i="3"/>
  <c r="F6" i="3"/>
  <c r="E6" i="3"/>
  <c r="I6" i="3" s="1"/>
  <c r="H5" i="3"/>
  <c r="G5" i="3"/>
  <c r="F5" i="3"/>
  <c r="I5" i="3" s="1"/>
  <c r="E5" i="3"/>
  <c r="H4" i="3"/>
  <c r="G4" i="3"/>
  <c r="F4" i="3"/>
  <c r="E4" i="3"/>
  <c r="I4" i="3" s="1"/>
  <c r="B12" i="2"/>
  <c r="B11" i="2"/>
  <c r="B10" i="2"/>
  <c r="B9" i="2"/>
  <c r="B15" i="1"/>
  <c r="B11" i="1"/>
  <c r="B9" i="1"/>
  <c r="B8" i="1"/>
  <c r="B12" i="1" s="1"/>
  <c r="B7" i="1"/>
  <c r="B6" i="1"/>
  <c r="B5" i="1"/>
  <c r="B4" i="1"/>
  <c r="I8" i="3" l="1"/>
  <c r="B10" i="1"/>
  <c r="I16" i="3"/>
  <c r="I12" i="3"/>
</calcChain>
</file>

<file path=xl/sharedStrings.xml><?xml version="1.0" encoding="utf-8"?>
<sst xmlns="http://schemas.openxmlformats.org/spreadsheetml/2006/main" count="8456" uniqueCount="8065">
  <si>
    <t>Online Retail Advanced Analytics Dashboard</t>
  </si>
  <si>
    <t>Key findings</t>
  </si>
  <si>
    <t>Source rows</t>
  </si>
  <si>
    <t>Missing CustomerID affects customer-level KPI segmentation; its associated valid-sales revenue is about 16.5% of sales revenue.</t>
  </si>
  <si>
    <t>Missing CustomerID</t>
  </si>
  <si>
    <t>Peak activity with below-median AOV occurs mainly from 11:00–14:00. This is a monetization/traffic proxy because visitor/session data is not present.</t>
  </si>
  <si>
    <t>Missing Description</t>
  </si>
  <si>
    <t>Top 20% of products contribute 79.9% of revenue.</t>
  </si>
  <si>
    <t>Valid sales rows</t>
  </si>
  <si>
    <t>Bottom 20% contribute 0.21% of revenue. No cost field exists, so actual profit-margin dilution cannot be proven.</t>
  </si>
  <si>
    <t>Sales revenue</t>
  </si>
  <si>
    <t>Forecast for the next quarter using quarterly seasonality + deseasonalized linear trend: £2,692,926.</t>
  </si>
  <si>
    <t>Distinct orders</t>
  </si>
  <si>
    <t>AOV</t>
  </si>
  <si>
    <t>Missing CustomerID revenue</t>
  </si>
  <si>
    <t>Missing CustomerID revenue share</t>
  </si>
  <si>
    <t>Top 20% revenue share</t>
  </si>
  <si>
    <t>Bottom 20% revenue share</t>
  </si>
  <si>
    <t>Next-quarter forecast</t>
  </si>
  <si>
    <t>Power Query Data Profiling — Missing Values &amp; KPI Impact</t>
  </si>
  <si>
    <t>Metric</t>
  </si>
  <si>
    <t>Rows</t>
  </si>
  <si>
    <t>Revenue</t>
  </si>
  <si>
    <t>Orders</t>
  </si>
  <si>
    <t>Impact</t>
  </si>
  <si>
    <t>Total source rows</t>
  </si>
  <si>
    <t>Dataset size.</t>
  </si>
  <si>
    <t>Customer-level segmentation and customer KPI accuracy are affected.</t>
  </si>
  <si>
    <t>Product-description completeness is affected; these rows contribute £0 revenue in this file.</t>
  </si>
  <si>
    <t>Used for AOV, hourly, Pareto and time-series calculations.</t>
  </si>
  <si>
    <t>CustomerID missing %</t>
  </si>
  <si>
    <t>Description missing %</t>
  </si>
  <si>
    <t>Missing Description revenue share</t>
  </si>
  <si>
    <t>Power Query M — profiling</t>
  </si>
  <si>
    <t>let
    Source = Excel.Workbook(File.Contents("&lt;PATH_TO_OnlineRetail_Raw_Source.xlsx&gt;"), null, true),
    Raw = Source{[Item="OnlineRetail_Raw",Kind="Sheet"]}[Data],
    PromotedHeaders = Table.PromoteHeaders(Raw, [PromoteAllScalars=true]),
    ChangedTypes = Table.TransformColumnTypes(PromotedHeaders,{
        {"InvoiceNo", type text},{"StockCode", type text},{"Description", type text},
        {"Quantity", Int64.Type},{"InvoiceDate", type datetime},{"UnitPrice", type number},
        {"CustomerID", Int64.Type},{"Country", type text}
    }),
    AddCustomerMissing = Table.AddColumn(ChangedTypes,"CustomerID_Missing",each if [CustomerID]=null then 1 else 0,Int64.Type),
    AddDescriptionMissing = Table.AddColumn(AddCustomerMissing,"Description_Missing",each if [Description]=null then 1 else 0,Int64.Type),
    Result = #table({"Metric","Value"},{
        {"Rows",Table.RowCount(AddDescriptionMissing)},
        {"Missing CustomerID",List.Sum(AddDescriptionMissing[CustomerID_Missing])},
        {"Missing Description",List.Sum(AddDescriptionMissing[Description_Missing])}
    })
in Result</t>
  </si>
  <si>
    <t>Power Query M — clean sales table</t>
  </si>
  <si>
    <t>let
    Source = Excel.Workbook(File.Contents("&lt;PATH_TO_OnlineRetail_Raw_Source.xlsx&gt;"), null, true),
    Raw = Source{[Item="OnlineRetail_Raw",Kind="Sheet"]}[Data],
    PromotedHeaders = Table.PromoteHeaders(Raw, [PromoteAllScalars=true]),
    ChangedTypes = Table.TransformColumnTypes(PromotedHeaders,{
        {"InvoiceNo", type text},{"StockCode", type text},{"Description", type text},
        {"Quantity", Int64.Type},{"InvoiceDate", type datetime},{"UnitPrice", type number},
        {"CustomerID", Int64.Type},{"Country", type text}
    }),
    FilterSales = Table.SelectRows(ChangedTypes, each [Quantity] &gt; 0 and [UnitPrice] &gt; 0 and not Text.StartsWith([InvoiceNo],"C")),
    AddRevenue = Table.AddColumn(FilterSales,"Revenue",each [Quantity]*[UnitPrice],type number),
    AddHour = Table.AddColumn(AddRevenue,"Hour",each Time.Hour(Time.From([InvoiceDate])),Int64.Type),
    AddMinute = Table.AddColumn(AddHour,"Minute",each Time.Minute(Time.From([InvoiceDate])),Int64.Type)
in AddMinute</t>
  </si>
  <si>
    <t>Multi-layered Pivot-style Hourly Analysis — AOV &amp; Revenue per Minute</t>
  </si>
  <si>
    <t>Hour</t>
  </si>
  <si>
    <t>Customers</t>
  </si>
  <si>
    <t>Orders/Minute</t>
  </si>
  <si>
    <t>Revenue/Minute</t>
  </si>
  <si>
    <t>Customer Coverage</t>
  </si>
  <si>
    <t>Review Flag</t>
  </si>
  <si>
    <t>Note</t>
  </si>
  <si>
    <t>True conversion rate requires visits/sessions, which are absent from this dataset. The Review Flag therefore identifies above-median Orders/Minute combined with below-median AOV; it is a practical traffic/monetization proxy, not a true conversion metric.</t>
  </si>
  <si>
    <t>Dynamic Pareto Analysis — 80/20 Revenue Rule</t>
  </si>
  <si>
    <t>Top/bottom threshold</t>
  </si>
  <si>
    <t>Top 20% count</t>
  </si>
  <si>
    <t>Bottom 20% count</t>
  </si>
  <si>
    <t>Summary</t>
  </si>
  <si>
    <t>Rank</t>
  </si>
  <si>
    <t>StockCode</t>
  </si>
  <si>
    <t>Description</t>
  </si>
  <si>
    <t>Units</t>
  </si>
  <si>
    <t>Cumulative Revenue</t>
  </si>
  <si>
    <t>Cumulative %</t>
  </si>
  <si>
    <t>Total product revenue</t>
  </si>
  <si>
    <t>DOT</t>
  </si>
  <si>
    <t>DOTCOM POSTAGE</t>
  </si>
  <si>
    <t>Top 20% revenue</t>
  </si>
  <si>
    <t>22423</t>
  </si>
  <si>
    <t>REGENCY CAKESTAND 3 TIER</t>
  </si>
  <si>
    <t>23843</t>
  </si>
  <si>
    <t>PAPER CRAFT , LITTLE BIRDIE</t>
  </si>
  <si>
    <t>Bottom 20% revenue</t>
  </si>
  <si>
    <t>85123A</t>
  </si>
  <si>
    <t>WHITE HANGING HEART T-LIGHT HOLDER</t>
  </si>
  <si>
    <t>47566</t>
  </si>
  <si>
    <t>PARTY BUNTING</t>
  </si>
  <si>
    <t>85099B</t>
  </si>
  <si>
    <t>JUMBO BAG RED RETROSPOT</t>
  </si>
  <si>
    <t>Interpretation</t>
  </si>
  <si>
    <t>23166</t>
  </si>
  <si>
    <t>MEDIUM CERAMIC TOP STORAGE JAR</t>
  </si>
  <si>
    <t>Top 20% of 4,161 products generate about 79.9% of revenue. Bottom 20% generate about 0.21%. The dataset contains no cost/profit field, so margin dilution cannot be proven; use the bottom segment as a low-revenue review list.</t>
  </si>
  <si>
    <t>M</t>
  </si>
  <si>
    <t>Manual</t>
  </si>
  <si>
    <t>POST</t>
  </si>
  <si>
    <t>POSTAGE</t>
  </si>
  <si>
    <t>23084</t>
  </si>
  <si>
    <t>RABBIT NIGHT LIGHT</t>
  </si>
  <si>
    <t>22086</t>
  </si>
  <si>
    <t xml:space="preserve">PAPER CHAIN KIT 50'S CHRISTMAS </t>
  </si>
  <si>
    <t>84879</t>
  </si>
  <si>
    <t>ASSORTED COLOUR BIRD ORNAMENT</t>
  </si>
  <si>
    <t>79321</t>
  </si>
  <si>
    <t>CHILLI LIGHTS</t>
  </si>
  <si>
    <t>23298</t>
  </si>
  <si>
    <t>SPOTTY BUNTING</t>
  </si>
  <si>
    <t>22386</t>
  </si>
  <si>
    <t>JUMBO BAG PINK POLKADOT</t>
  </si>
  <si>
    <t>21137</t>
  </si>
  <si>
    <t>BLACK RECORD COVER FRAME</t>
  </si>
  <si>
    <t>22502</t>
  </si>
  <si>
    <t>PICNIC BASKET WICKER 60 PIECES</t>
  </si>
  <si>
    <t>23284</t>
  </si>
  <si>
    <t>DOORMAT KEEP CALM AND COME IN</t>
  </si>
  <si>
    <t>22720</t>
  </si>
  <si>
    <t xml:space="preserve">SET OF 3 CAKE TINS PANTRY DESIGN </t>
  </si>
  <si>
    <t>22960</t>
  </si>
  <si>
    <t>JAM MAKING SET WITH JARS</t>
  </si>
  <si>
    <t>82484</t>
  </si>
  <si>
    <t>WOOD BLACK BOARD ANT WHITE FINISH</t>
  </si>
  <si>
    <t>20725</t>
  </si>
  <si>
    <t>LUNCH BAG RED RETROSPOT</t>
  </si>
  <si>
    <t>22197</t>
  </si>
  <si>
    <t>POPCORN HOLDER</t>
  </si>
  <si>
    <t>22178</t>
  </si>
  <si>
    <t>VICTORIAN GLASS HANGING T-LIGHT</t>
  </si>
  <si>
    <t>22114</t>
  </si>
  <si>
    <t>HOT WATER BOTTLE TEA AND SYMPATHY</t>
  </si>
  <si>
    <t>22910</t>
  </si>
  <si>
    <t>PAPER CHAIN KIT VINTAGE CHRISTMAS</t>
  </si>
  <si>
    <t>22112</t>
  </si>
  <si>
    <t>CHOCOLATE HOT WATER BOTTLE</t>
  </si>
  <si>
    <t>85099F</t>
  </si>
  <si>
    <t>JUMBO BAG STRAWBERRY</t>
  </si>
  <si>
    <t>22469</t>
  </si>
  <si>
    <t>HEART OF WICKER SMALL</t>
  </si>
  <si>
    <t>23245</t>
  </si>
  <si>
    <t>SET OF 3 REGENCY CAKE TINS</t>
  </si>
  <si>
    <t>21931</t>
  </si>
  <si>
    <t>JUMBO STORAGE BAG SUKI</t>
  </si>
  <si>
    <t>22727</t>
  </si>
  <si>
    <t xml:space="preserve">ALARM CLOCK BAKELIKE RED </t>
  </si>
  <si>
    <t>23199</t>
  </si>
  <si>
    <t>JUMBO BAG APPLES</t>
  </si>
  <si>
    <t>22470</t>
  </si>
  <si>
    <t>HEART OF WICKER LARGE</t>
  </si>
  <si>
    <t>22355</t>
  </si>
  <si>
    <t>CHARLOTTE BAG SUKI DESIGN</t>
  </si>
  <si>
    <t>22699</t>
  </si>
  <si>
    <t xml:space="preserve">ROSES REGENCY TEACUP AND SAUCER </t>
  </si>
  <si>
    <t>23355</t>
  </si>
  <si>
    <t>HOT WATER BOTTLE KEEP CALM</t>
  </si>
  <si>
    <t>22411</t>
  </si>
  <si>
    <t>JUMBO SHOPPER VINTAGE RED PAISLEY</t>
  </si>
  <si>
    <t>22457</t>
  </si>
  <si>
    <t xml:space="preserve">NATURAL SLATE HEART CHALKBOARD </t>
  </si>
  <si>
    <t>85099C</t>
  </si>
  <si>
    <t>JUMBO  BAG BAROQUE BLACK WHITE</t>
  </si>
  <si>
    <t>20685</t>
  </si>
  <si>
    <t>DOORMAT RED RETROSPOT</t>
  </si>
  <si>
    <t>23201</t>
  </si>
  <si>
    <t>JUMBO BAG ALPHABET</t>
  </si>
  <si>
    <t>22726</t>
  </si>
  <si>
    <t>ALARM CLOCK BAKELIKE GREEN</t>
  </si>
  <si>
    <t>84347</t>
  </si>
  <si>
    <t>ROTATING SILVER ANGELS T-LIGHT HLDR</t>
  </si>
  <si>
    <t>21915</t>
  </si>
  <si>
    <t xml:space="preserve">RED  HARMONICA IN BOX </t>
  </si>
  <si>
    <t>22666</t>
  </si>
  <si>
    <t>RECIPE BOX PANTRY YELLOW DESIGN</t>
  </si>
  <si>
    <t>21175</t>
  </si>
  <si>
    <t>GIN + TONIC DIET METAL SIGN</t>
  </si>
  <si>
    <t>22629</t>
  </si>
  <si>
    <t xml:space="preserve">SPACEBOY LUNCH BOX </t>
  </si>
  <si>
    <t>22961</t>
  </si>
  <si>
    <t>JAM MAKING SET PRINTED</t>
  </si>
  <si>
    <t>48138</t>
  </si>
  <si>
    <t>DOORMAT UNION FLAG</t>
  </si>
  <si>
    <t>21181</t>
  </si>
  <si>
    <t>PLEASE ONE PERSON METAL SIGN</t>
  </si>
  <si>
    <t>23173</t>
  </si>
  <si>
    <t xml:space="preserve">REGENCY TEAPOT ROSES </t>
  </si>
  <si>
    <t>21621</t>
  </si>
  <si>
    <t>VINTAGE UNION JACK BUNTING</t>
  </si>
  <si>
    <t>23203</t>
  </si>
  <si>
    <t xml:space="preserve">JUMBO BAG VINTAGE DOILY </t>
  </si>
  <si>
    <t>22111</t>
  </si>
  <si>
    <t>SCOTTIE DOG HOT WATER BOTTLE</t>
  </si>
  <si>
    <t>22722</t>
  </si>
  <si>
    <t>SET OF 6 SPICE TINS PANTRY DESIGN</t>
  </si>
  <si>
    <t>22326</t>
  </si>
  <si>
    <t xml:space="preserve">ROUND SNACK BOXES SET OF4 WOODLAND </t>
  </si>
  <si>
    <t>48187</t>
  </si>
  <si>
    <t>DOORMAT NEW ENGLAND</t>
  </si>
  <si>
    <t>22138</t>
  </si>
  <si>
    <t xml:space="preserve">BAKING SET 9 PIECE RETROSPOT </t>
  </si>
  <si>
    <t>21731</t>
  </si>
  <si>
    <t>RED TOADSTOOL LED NIGHT LIGHT</t>
  </si>
  <si>
    <t>48185</t>
  </si>
  <si>
    <t>DOORMAT FAIRY CAKE</t>
  </si>
  <si>
    <t>23344</t>
  </si>
  <si>
    <t xml:space="preserve">JUMBO BAG 50'S CHRISTMAS </t>
  </si>
  <si>
    <t>23243</t>
  </si>
  <si>
    <t>SET OF TEA COFFEE SUGAR TINS PANTRY</t>
  </si>
  <si>
    <t>22189</t>
  </si>
  <si>
    <t>CREAM HEART CARD HOLDER</t>
  </si>
  <si>
    <t>21733</t>
  </si>
  <si>
    <t>RED HANGING HEART T-LIGHT HOLDER</t>
  </si>
  <si>
    <t>21929</t>
  </si>
  <si>
    <t>JUMBO BAG PINK VINTAGE PAISLEY</t>
  </si>
  <si>
    <t>82482</t>
  </si>
  <si>
    <t>WOODEN PICTURE FRAME WHITE FINISH</t>
  </si>
  <si>
    <t>20713</t>
  </si>
  <si>
    <t>JUMBO BAG OWLS</t>
  </si>
  <si>
    <t>21623</t>
  </si>
  <si>
    <t>VINTAGE UNION JACK MEMOBOARD</t>
  </si>
  <si>
    <t>22139</t>
  </si>
  <si>
    <t xml:space="preserve">RETROSPOT TEA SET CERAMIC 11 PC </t>
  </si>
  <si>
    <t>22697</t>
  </si>
  <si>
    <t>GREEN REGENCY TEACUP AND SAUCER</t>
  </si>
  <si>
    <t>22090</t>
  </si>
  <si>
    <t>PAPER BUNTING RETROSPOT</t>
  </si>
  <si>
    <t>85066</t>
  </si>
  <si>
    <t>CREAM SWEETHEART MINI CHEST</t>
  </si>
  <si>
    <t>20727</t>
  </si>
  <si>
    <t>LUNCH BAG  BLACK SKULL.</t>
  </si>
  <si>
    <t>15056N</t>
  </si>
  <si>
    <t>EDWARDIAN PARASOL NATURAL</t>
  </si>
  <si>
    <t>84029E</t>
  </si>
  <si>
    <t>RED WOOLLY HOTTIE WHITE HEART.</t>
  </si>
  <si>
    <t>48194</t>
  </si>
  <si>
    <t>DOORMAT HEARTS</t>
  </si>
  <si>
    <t>20712</t>
  </si>
  <si>
    <t>JUMBO BAG WOODLAND ANIMALS</t>
  </si>
  <si>
    <t>23202</t>
  </si>
  <si>
    <t>JUMBO BAG VINTAGE LEAF</t>
  </si>
  <si>
    <t>20724</t>
  </si>
  <si>
    <t>RED RETROSPOT CHARLOTTE BAG</t>
  </si>
  <si>
    <t>20728</t>
  </si>
  <si>
    <t>LUNCH BAG CARS BLUE</t>
  </si>
  <si>
    <t>22630</t>
  </si>
  <si>
    <t>DOLLY GIRL LUNCH BOX</t>
  </si>
  <si>
    <t>21523</t>
  </si>
  <si>
    <t>DOORMAT FANCY FONT HOME SWEET HOME</t>
  </si>
  <si>
    <t>21843</t>
  </si>
  <si>
    <t>RED RETROSPOT CAKE STAND</t>
  </si>
  <si>
    <t>21212</t>
  </si>
  <si>
    <t>PACK OF 72 RETROSPOT CAKE CASES</t>
  </si>
  <si>
    <t>21166</t>
  </si>
  <si>
    <t xml:space="preserve">COOK WITH WINE METAL SIGN </t>
  </si>
  <si>
    <t>23206</t>
  </si>
  <si>
    <t>LUNCH BAG APPLE DESIGN</t>
  </si>
  <si>
    <t>22659</t>
  </si>
  <si>
    <t>LUNCH BOX I LOVE LONDON</t>
  </si>
  <si>
    <t>22728</t>
  </si>
  <si>
    <t>ALARM CLOCK BAKELIKE PINK</t>
  </si>
  <si>
    <t>21479</t>
  </si>
  <si>
    <t xml:space="preserve">WHITE SKULL HOT WATER BOTTLE </t>
  </si>
  <si>
    <t>82494L</t>
  </si>
  <si>
    <t xml:space="preserve">WOODEN FRAME ANTIQUE WHITE </t>
  </si>
  <si>
    <t>84946</t>
  </si>
  <si>
    <t>ANTIQUE SILVER T-LIGHT GLASS</t>
  </si>
  <si>
    <t>22501</t>
  </si>
  <si>
    <t>PICNIC BASKET WICKER LARGE</t>
  </si>
  <si>
    <t>22328</t>
  </si>
  <si>
    <t xml:space="preserve">ROUND SNACK BOXES SET OF 4 FRUITS </t>
  </si>
  <si>
    <t>22467</t>
  </si>
  <si>
    <t>GUMBALL COAT RACK</t>
  </si>
  <si>
    <t>22969</t>
  </si>
  <si>
    <t>HOMEMADE JAM SCENTED CANDLES</t>
  </si>
  <si>
    <t>22383</t>
  </si>
  <si>
    <t xml:space="preserve">LUNCH BAG SUKI DESIGN </t>
  </si>
  <si>
    <t>15036</t>
  </si>
  <si>
    <t>ASSORTED COLOURS SILK FAN</t>
  </si>
  <si>
    <t>20726</t>
  </si>
  <si>
    <t>LUNCH BAG WOODLAND</t>
  </si>
  <si>
    <t>22382</t>
  </si>
  <si>
    <t xml:space="preserve">LUNCH BAG SPACEBOY DESIGN </t>
  </si>
  <si>
    <t>21108</t>
  </si>
  <si>
    <t>FAIRY CAKE FLANNEL ASSORTED COLOUR</t>
  </si>
  <si>
    <t>22835</t>
  </si>
  <si>
    <t>HOT WATER BOTTLE I AM SO POORLY</t>
  </si>
  <si>
    <t>22693</t>
  </si>
  <si>
    <t>GROW A FLYTRAP OR SUNFLOWER IN TIN</t>
  </si>
  <si>
    <t>22865</t>
  </si>
  <si>
    <t>HAND WARMER OWL DESIGN</t>
  </si>
  <si>
    <t>21485</t>
  </si>
  <si>
    <t>RETROSPOT HEART HOT WATER BOTTLE</t>
  </si>
  <si>
    <t>20914</t>
  </si>
  <si>
    <t>SET/5 RED RETROSPOT LID GLASS BOWLS</t>
  </si>
  <si>
    <t>22698</t>
  </si>
  <si>
    <t>PINK REGENCY TEACUP AND SAUCER</t>
  </si>
  <si>
    <t>22384</t>
  </si>
  <si>
    <t>LUNCH BAG PINK POLKADOT</t>
  </si>
  <si>
    <t>JUMBO BAG DOILEY PATTERNS</t>
  </si>
  <si>
    <t>21928</t>
  </si>
  <si>
    <t>JUMBO BAG SCANDINAVIAN BLUE PAISLEY</t>
  </si>
  <si>
    <t>22077</t>
  </si>
  <si>
    <t>6 RIBBONS RUSTIC CHARM</t>
  </si>
  <si>
    <t>22385</t>
  </si>
  <si>
    <t>JUMBO BAG SPACEBOY DESIGN</t>
  </si>
  <si>
    <t>71477</t>
  </si>
  <si>
    <t>COLOUR GLASS. STAR T-LIGHT HOLDER</t>
  </si>
  <si>
    <t>SMALL POPCORN HOLDER</t>
  </si>
  <si>
    <t>21754</t>
  </si>
  <si>
    <t>HOME BUILDING BLOCK WORD</t>
  </si>
  <si>
    <t>82583</t>
  </si>
  <si>
    <t>HOT BATHS METAL SIGN</t>
  </si>
  <si>
    <t>22492</t>
  </si>
  <si>
    <t xml:space="preserve">MINI PAINT SET VINTAGE </t>
  </si>
  <si>
    <t>20719</t>
  </si>
  <si>
    <t>WOODLAND CHARLOTTE BAG</t>
  </si>
  <si>
    <t>22624</t>
  </si>
  <si>
    <t>IVORY KITCHEN SCALES</t>
  </si>
  <si>
    <t>22993</t>
  </si>
  <si>
    <t>SET OF 4 PANTRY JELLY MOULDS</t>
  </si>
  <si>
    <t>84978</t>
  </si>
  <si>
    <t>HANGING HEART JAR T-LIGHT HOLDER</t>
  </si>
  <si>
    <t>84078A</t>
  </si>
  <si>
    <t xml:space="preserve">SET/4 WHITE RETRO STORAGE CUBES </t>
  </si>
  <si>
    <t>23301</t>
  </si>
  <si>
    <t xml:space="preserve">GARDENERS KNEELING PAD KEEP CALM </t>
  </si>
  <si>
    <t>84029G</t>
  </si>
  <si>
    <t>KNITTED UNION FLAG HOT WATER BOTTLE</t>
  </si>
  <si>
    <t>85152</t>
  </si>
  <si>
    <t xml:space="preserve">HAND OVER THE CHOCOLATE   SIGN </t>
  </si>
  <si>
    <t>23313</t>
  </si>
  <si>
    <t>VINTAGE CHRISTMAS BUNTING</t>
  </si>
  <si>
    <t>15056BL</t>
  </si>
  <si>
    <t>EDWARDIAN PARASOL BLACK</t>
  </si>
  <si>
    <t>22379</t>
  </si>
  <si>
    <t xml:space="preserve">RECYCLING BAG RETROSPOT </t>
  </si>
  <si>
    <t>82483</t>
  </si>
  <si>
    <t>WOOD 2 DRAWER CABINET WHITE FINISH</t>
  </si>
  <si>
    <t>22084</t>
  </si>
  <si>
    <t>PAPER CHAIN KIT EMPIRE</t>
  </si>
  <si>
    <t>84997D</t>
  </si>
  <si>
    <t>CHILDRENS CUTLERY POLKADOT PINK</t>
  </si>
  <si>
    <t>22752</t>
  </si>
  <si>
    <t>SET 7 BABUSHKA NESTING BOXES</t>
  </si>
  <si>
    <t>22866</t>
  </si>
  <si>
    <t>HAND WARMER SCOTTY DOG DESIGN</t>
  </si>
  <si>
    <t>22847</t>
  </si>
  <si>
    <t>BREAD BIN DINER STYLE IVORY</t>
  </si>
  <si>
    <t>48184</t>
  </si>
  <si>
    <t xml:space="preserve">DOORMAT ENGLISH ROSE </t>
  </si>
  <si>
    <t>23200</t>
  </si>
  <si>
    <t>JUMBO BAG PEARS</t>
  </si>
  <si>
    <t>22507</t>
  </si>
  <si>
    <t>MEMO BOARD RETROSPOT  DESIGN</t>
  </si>
  <si>
    <t>22083</t>
  </si>
  <si>
    <t>PAPER CHAIN KIT RETROSPOT</t>
  </si>
  <si>
    <t>22625</t>
  </si>
  <si>
    <t>RED KITCHEN SCALES</t>
  </si>
  <si>
    <t>21232</t>
  </si>
  <si>
    <t>STRAWBERRY CERAMIC TRINKET BOX</t>
  </si>
  <si>
    <t>22867</t>
  </si>
  <si>
    <t>HAND WARMER BIRD DESIGN</t>
  </si>
  <si>
    <t>21930</t>
  </si>
  <si>
    <t>JUMBO STORAGE BAG SKULLS</t>
  </si>
  <si>
    <t>23343</t>
  </si>
  <si>
    <t xml:space="preserve">JUMBO BAG VINTAGE CHRISTMAS </t>
  </si>
  <si>
    <t>22622</t>
  </si>
  <si>
    <t>BOX OF VINTAGE ALPHABET BLOCKS</t>
  </si>
  <si>
    <t>84077</t>
  </si>
  <si>
    <t>WORLD WAR 2 GLIDERS ASSTD DESIGNS</t>
  </si>
  <si>
    <t>20971</t>
  </si>
  <si>
    <t>PINK BLUE FELT CRAFT TRINKET BOX</t>
  </si>
  <si>
    <t>22941</t>
  </si>
  <si>
    <t>CHRISTMAS LIGHTS 10 REINDEER</t>
  </si>
  <si>
    <t>AMAZONFEE</t>
  </si>
  <si>
    <t>AMAZON FEE</t>
  </si>
  <si>
    <t>22171</t>
  </si>
  <si>
    <t>3 HOOK PHOTO SHELF ANTIQUE WHITE</t>
  </si>
  <si>
    <t>23077</t>
  </si>
  <si>
    <t xml:space="preserve">DOUGHNUT LIP GLOSS </t>
  </si>
  <si>
    <t>22551</t>
  </si>
  <si>
    <t>PLASTERS IN TIN SPACEBOY</t>
  </si>
  <si>
    <t>21524</t>
  </si>
  <si>
    <t>DOORMAT SPOTTY HOME SWEET HOME</t>
  </si>
  <si>
    <t>23356</t>
  </si>
  <si>
    <t>LOVE HOT WATER BOTTLE</t>
  </si>
  <si>
    <t>23207</t>
  </si>
  <si>
    <t>LUNCH BAG ALPHABET DESIGN</t>
  </si>
  <si>
    <t>22558</t>
  </si>
  <si>
    <t xml:space="preserve">CLOTHES PEGS RETROSPOT PACK 24 </t>
  </si>
  <si>
    <t>22554</t>
  </si>
  <si>
    <t>PLASTERS IN TIN WOODLAND ANIMALS</t>
  </si>
  <si>
    <t>23108</t>
  </si>
  <si>
    <t>SET OF 10 LED DOLLY LIGHTS</t>
  </si>
  <si>
    <t>23328</t>
  </si>
  <si>
    <t>SET 6 SCHOOL MILK BOTTLES IN CRATE</t>
  </si>
  <si>
    <t>22113</t>
  </si>
  <si>
    <t>GREY HEART HOT WATER BOTTLE</t>
  </si>
  <si>
    <t>22499</t>
  </si>
  <si>
    <t>WOODEN UNION JACK BUNTING</t>
  </si>
  <si>
    <t>22427</t>
  </si>
  <si>
    <t>ENAMEL FLOWER JUG CREAM</t>
  </si>
  <si>
    <t>20750</t>
  </si>
  <si>
    <t>RED RETROSPOT MINI CASES</t>
  </si>
  <si>
    <t>20749</t>
  </si>
  <si>
    <t>ASSORTED COLOUR MINI CASES</t>
  </si>
  <si>
    <t>21755</t>
  </si>
  <si>
    <t>LOVE BUILDING BLOCK WORD</t>
  </si>
  <si>
    <t>22607</t>
  </si>
  <si>
    <t xml:space="preserve">WOODEN ROUNDERS GARDEN SET </t>
  </si>
  <si>
    <t>20723</t>
  </si>
  <si>
    <t>STRAWBERRY CHARLOTTE BAG</t>
  </si>
  <si>
    <t>21790</t>
  </si>
  <si>
    <t>VINTAGE SNAP CARDS</t>
  </si>
  <si>
    <t>22188</t>
  </si>
  <si>
    <t>BLACK HEART CARD HOLDER</t>
  </si>
  <si>
    <t>22568</t>
  </si>
  <si>
    <t>FELTCRAFT CUSHION OWL</t>
  </si>
  <si>
    <t>22424</t>
  </si>
  <si>
    <t>ENAMEL BREAD BIN CREAM</t>
  </si>
  <si>
    <t>22149</t>
  </si>
  <si>
    <t>FELTCRAFT 6 FLOWER FRIENDS</t>
  </si>
  <si>
    <t>23174</t>
  </si>
  <si>
    <t>REGENCY SUGAR BOWL GREEN</t>
  </si>
  <si>
    <t>21977</t>
  </si>
  <si>
    <t>PACK OF 60 PINK PAISLEY CAKE CASES</t>
  </si>
  <si>
    <t>48188</t>
  </si>
  <si>
    <t>DOORMAT WELCOME PUPPIES</t>
  </si>
  <si>
    <t>47590B</t>
  </si>
  <si>
    <t>PINK HAPPY BIRTHDAY BUNTING</t>
  </si>
  <si>
    <t>22273</t>
  </si>
  <si>
    <t>FELTCRAFT DOLL MOLLY</t>
  </si>
  <si>
    <t>22191</t>
  </si>
  <si>
    <t>IVORY DINER WALL CLOCK</t>
  </si>
  <si>
    <t>22158</t>
  </si>
  <si>
    <t>3 HEARTS HANGING DECORATION RUSTIC</t>
  </si>
  <si>
    <t>82486</t>
  </si>
  <si>
    <t>WOOD S/3 CABINET ANT WHITE FINISH</t>
  </si>
  <si>
    <t>21430</t>
  </si>
  <si>
    <t>SET/3 RED GINGHAM ROSE STORAGE BOX</t>
  </si>
  <si>
    <t>22087</t>
  </si>
  <si>
    <t>PAPER BUNTING WHITE LACE</t>
  </si>
  <si>
    <t>22193</t>
  </si>
  <si>
    <t>RED DINER WALL CLOCK</t>
  </si>
  <si>
    <t>23300</t>
  </si>
  <si>
    <t xml:space="preserve">GARDENERS KNEELING PAD CUP OF TEA </t>
  </si>
  <si>
    <t>PICNIC BASKET WICKER SMALL</t>
  </si>
  <si>
    <t>21936</t>
  </si>
  <si>
    <t>RED RETROSPOT PICNIC BAG</t>
  </si>
  <si>
    <t>23581</t>
  </si>
  <si>
    <t>JUMBO BAG PAISLEY PARK</t>
  </si>
  <si>
    <t>22692</t>
  </si>
  <si>
    <t>DOORMAT WELCOME TO OUR HOME</t>
  </si>
  <si>
    <t>21217</t>
  </si>
  <si>
    <t>RED RETROSPOT ROUND CAKE TINS</t>
  </si>
  <si>
    <t>22730</t>
  </si>
  <si>
    <t>ALARM CLOCK BAKELIKE IVORY</t>
  </si>
  <si>
    <t>21481</t>
  </si>
  <si>
    <t>FAWN BLUE HOT WATER BOTTLE</t>
  </si>
  <si>
    <t>22356</t>
  </si>
  <si>
    <t>CHARLOTTE BAG PINK POLKADOT</t>
  </si>
  <si>
    <t>21216</t>
  </si>
  <si>
    <t>SET 3 RETROSPOT TEA,COFFEE,SUGAR</t>
  </si>
  <si>
    <t>22041</t>
  </si>
  <si>
    <t xml:space="preserve">RECORD FRAME 7" SINGLE SIZE </t>
  </si>
  <si>
    <t>21340</t>
  </si>
  <si>
    <t>CLASSIC METAL BIRDCAGE PLANT HOLDER</t>
  </si>
  <si>
    <t>21080</t>
  </si>
  <si>
    <t xml:space="preserve">SET/20 RED RETROSPOT PAPER NAPKINS </t>
  </si>
  <si>
    <t>47566B</t>
  </si>
  <si>
    <t>TEA TIME PARTY BUNTING</t>
  </si>
  <si>
    <t>22605</t>
  </si>
  <si>
    <t>WOODEN CROQUET GARDEN SET</t>
  </si>
  <si>
    <t>22570</t>
  </si>
  <si>
    <t>FELTCRAFT CUSHION RABBIT</t>
  </si>
  <si>
    <t>23170</t>
  </si>
  <si>
    <t xml:space="preserve">REGENCY TEA PLATE ROSES </t>
  </si>
  <si>
    <t>22413</t>
  </si>
  <si>
    <t xml:space="preserve">METAL SIGN TAKE IT OR LEAVE IT </t>
  </si>
  <si>
    <t>22662</t>
  </si>
  <si>
    <t>LUNCH BAG DOLLY GIRL DESIGN</t>
  </si>
  <si>
    <t>B</t>
  </si>
  <si>
    <t>Adjust bad debt</t>
  </si>
  <si>
    <t>20711</t>
  </si>
  <si>
    <t xml:space="preserve">JUMBO BAG TOYS </t>
  </si>
  <si>
    <t>85014B</t>
  </si>
  <si>
    <t>RED RETROSPOT UMBRELLA</t>
  </si>
  <si>
    <t>22988</t>
  </si>
  <si>
    <t xml:space="preserve">SOLDIERS EGG CUP </t>
  </si>
  <si>
    <t>85048</t>
  </si>
  <si>
    <t>15CM CHRISTMAS GLASS BALL 20 LIGHTS</t>
  </si>
  <si>
    <t>23209</t>
  </si>
  <si>
    <t xml:space="preserve">LUNCH BAG VINTAGE DOILY </t>
  </si>
  <si>
    <t>22617</t>
  </si>
  <si>
    <t>BAKING SET SPACEBOY DESIGN</t>
  </si>
  <si>
    <t>22846</t>
  </si>
  <si>
    <t xml:space="preserve">BREAD BIN DINER STYLE RED </t>
  </si>
  <si>
    <t>22734</t>
  </si>
  <si>
    <t>SET OF 6 RIBBONS VINTAGE CHRISTMAS</t>
  </si>
  <si>
    <t>21791</t>
  </si>
  <si>
    <t xml:space="preserve">VINTAGE HEADS AND TAILS CARD GAME </t>
  </si>
  <si>
    <t>21891</t>
  </si>
  <si>
    <t>TRADITIONAL WOODEN SKIPPING ROPE</t>
  </si>
  <si>
    <t>84755</t>
  </si>
  <si>
    <t>COLOUR GLASS T-LIGHT HOLDER HANGING</t>
  </si>
  <si>
    <t xml:space="preserve">LUNCH BAG DOILEY PATTERN </t>
  </si>
  <si>
    <t>47590A</t>
  </si>
  <si>
    <t>BLUE HAPPY BIRTHDAY BUNTING</t>
  </si>
  <si>
    <t>23208</t>
  </si>
  <si>
    <t>LUNCH BAG VINTAGE LEAF DESIGN</t>
  </si>
  <si>
    <t>22992</t>
  </si>
  <si>
    <t xml:space="preserve">REVOLVER WOODEN RULER </t>
  </si>
  <si>
    <t>22169</t>
  </si>
  <si>
    <t>FAMILY ALBUM WHITE PICTURE FRAME</t>
  </si>
  <si>
    <t>21914</t>
  </si>
  <si>
    <t xml:space="preserve">BLUE HARMONICA IN BOX </t>
  </si>
  <si>
    <t>84997B</t>
  </si>
  <si>
    <t xml:space="preserve">CHILDRENS CUTLERY RETROSPOT RED </t>
  </si>
  <si>
    <t>84947</t>
  </si>
  <si>
    <t>ANTIQUE SILVER TEA GLASS ENGRAVED</t>
  </si>
  <si>
    <t>23582</t>
  </si>
  <si>
    <t xml:space="preserve">VINTAGE DOILY JUMBO BAG RED </t>
  </si>
  <si>
    <t>22970</t>
  </si>
  <si>
    <t>LONDON BUS COFFEE MUG</t>
  </si>
  <si>
    <t>82600</t>
  </si>
  <si>
    <t>NO SINGING METAL SIGN</t>
  </si>
  <si>
    <t>84997C</t>
  </si>
  <si>
    <t>CHILDRENS CUTLERY POLKADOT BLUE</t>
  </si>
  <si>
    <t>22569</t>
  </si>
  <si>
    <t>FELTCRAFT CUSHION BUTTERFLY</t>
  </si>
  <si>
    <t>21218</t>
  </si>
  <si>
    <t>RED SPOTTY BISCUIT TIN</t>
  </si>
  <si>
    <t>22556</t>
  </si>
  <si>
    <t xml:space="preserve">PLASTERS IN TIN CIRCUS PARADE </t>
  </si>
  <si>
    <t>22633</t>
  </si>
  <si>
    <t>HAND WARMER UNION JACK</t>
  </si>
  <si>
    <t>22621</t>
  </si>
  <si>
    <t>TRADITIONAL KNITTING NANCY</t>
  </si>
  <si>
    <t>23171</t>
  </si>
  <si>
    <t xml:space="preserve">REGENCY TEA PLATE GREEN </t>
  </si>
  <si>
    <t>48173C</t>
  </si>
  <si>
    <t xml:space="preserve">DOORMAT BLACK FLOCK </t>
  </si>
  <si>
    <t>20679</t>
  </si>
  <si>
    <t>EDWARDIAN PARASOL RED</t>
  </si>
  <si>
    <t>23076</t>
  </si>
  <si>
    <t>ICE CREAM SUNDAE LIP GLOSS</t>
  </si>
  <si>
    <t>22791</t>
  </si>
  <si>
    <t>T-LIGHT GLASS FLUTED ANTIQUE</t>
  </si>
  <si>
    <t>22690</t>
  </si>
  <si>
    <t xml:space="preserve">DOORMAT HOME SWEET HOME BLUE </t>
  </si>
  <si>
    <t>22619</t>
  </si>
  <si>
    <t>SET OF 6 SOLDIER SKITTLES</t>
  </si>
  <si>
    <t>22654</t>
  </si>
  <si>
    <t xml:space="preserve">DELUXE SEWING KIT </t>
  </si>
  <si>
    <t>22555</t>
  </si>
  <si>
    <t>PLASTERS IN TIN STRONGMAN</t>
  </si>
  <si>
    <t>22766</t>
  </si>
  <si>
    <t>PHOTO FRAME CORNICE</t>
  </si>
  <si>
    <t>21314</t>
  </si>
  <si>
    <t>SMALL GLASS HEART TRINKET POT</t>
  </si>
  <si>
    <t>22838</t>
  </si>
  <si>
    <t>3 TIER CAKE TIN RED AND CREAM</t>
  </si>
  <si>
    <t>23240</t>
  </si>
  <si>
    <t xml:space="preserve">SET OF 4 KNICK KNACK TINS DOILY </t>
  </si>
  <si>
    <t>22561</t>
  </si>
  <si>
    <t>WOODEN SCHOOL COLOURING SET</t>
  </si>
  <si>
    <t>21559</t>
  </si>
  <si>
    <t>STRAWBERRY LUNCH BOX WITH CUTLERY</t>
  </si>
  <si>
    <t>22776</t>
  </si>
  <si>
    <t>SWEETHEART CAKESTAND 3 TIER</t>
  </si>
  <si>
    <t>22844</t>
  </si>
  <si>
    <t>VINTAGE CREAM DOG FOOD CONTAINER</t>
  </si>
  <si>
    <t>22144</t>
  </si>
  <si>
    <t>CHRISTMAS CRAFT LITTLE FRIENDS</t>
  </si>
  <si>
    <t>22560</t>
  </si>
  <si>
    <t>TRADITIONAL MODELLING CLAY</t>
  </si>
  <si>
    <t>23175</t>
  </si>
  <si>
    <t xml:space="preserve">REGENCY MILK JUG PINK </t>
  </si>
  <si>
    <t>22978</t>
  </si>
  <si>
    <t>PANTRY ROLLING PIN</t>
  </si>
  <si>
    <t>22456</t>
  </si>
  <si>
    <t xml:space="preserve">NATURAL SLATE CHALKBOARD LARGE </t>
  </si>
  <si>
    <t>35970</t>
  </si>
  <si>
    <t>ZINC FOLKART SLEIGH BELLS</t>
  </si>
  <si>
    <t>22952</t>
  </si>
  <si>
    <t>60 CAKE CASES VINTAGE CHRISTMAS</t>
  </si>
  <si>
    <t>21174</t>
  </si>
  <si>
    <t>POTTERING IN THE SHED METAL SIGN</t>
  </si>
  <si>
    <t>84375</t>
  </si>
  <si>
    <t>SET OF 20 KIDS COOKIE CUTTERS</t>
  </si>
  <si>
    <t>85150</t>
  </si>
  <si>
    <t>LADIES &amp; GENTLEMEN METAL SIGN</t>
  </si>
  <si>
    <t>21155</t>
  </si>
  <si>
    <t>RED RETROSPOT PEG BAG</t>
  </si>
  <si>
    <t>23319</t>
  </si>
  <si>
    <t>BOX OF 6 MINI 50'S CRACKERS</t>
  </si>
  <si>
    <t>22749</t>
  </si>
  <si>
    <t>FELTCRAFT PRINCESS CHARLOTTE DOLL</t>
  </si>
  <si>
    <t>22966</t>
  </si>
  <si>
    <t>GINGERBREAD MAN COOKIE CUTTER</t>
  </si>
  <si>
    <t>84991</t>
  </si>
  <si>
    <t>60 TEATIME FAIRY CAKE CASES</t>
  </si>
  <si>
    <t>23318</t>
  </si>
  <si>
    <t>BOX OF 6 MINI VINTAGE CRACKERS</t>
  </si>
  <si>
    <t>20972</t>
  </si>
  <si>
    <t xml:space="preserve">PINK CREAM FELT CRAFT TRINKET BOX </t>
  </si>
  <si>
    <t>23080</t>
  </si>
  <si>
    <t>RED METAL BOX TOP SECRET</t>
  </si>
  <si>
    <t>48116</t>
  </si>
  <si>
    <t>DOORMAT MULTICOLOUR STRIPE</t>
  </si>
  <si>
    <t>22729</t>
  </si>
  <si>
    <t>ALARM CLOCK BAKELIKE ORANGE</t>
  </si>
  <si>
    <t>22771</t>
  </si>
  <si>
    <t>CLEAR DRAWER KNOB ACRYLIC EDWARDIAN</t>
  </si>
  <si>
    <t>22759</t>
  </si>
  <si>
    <t>SET OF 3 NOTEBOOKS IN PARCEL</t>
  </si>
  <si>
    <t>22989</t>
  </si>
  <si>
    <t>SET 2 PANTRY DESIGN TEA TOWELS</t>
  </si>
  <si>
    <t>23439</t>
  </si>
  <si>
    <t>HAND WARMER RED LOVE HEART</t>
  </si>
  <si>
    <t>23322</t>
  </si>
  <si>
    <t>LARGE WHITE HEART OF WICKER</t>
  </si>
  <si>
    <t>82582</t>
  </si>
  <si>
    <t>AREA PATROLLED METAL SIGN</t>
  </si>
  <si>
    <t>21889</t>
  </si>
  <si>
    <t>WOODEN BOX OF DOMINOES</t>
  </si>
  <si>
    <t>22632</t>
  </si>
  <si>
    <t>HAND WARMER RED RETROSPOT</t>
  </si>
  <si>
    <t>84945</t>
  </si>
  <si>
    <t>MULTI COLOUR SILVER T-LIGHT HOLDER</t>
  </si>
  <si>
    <t>22947</t>
  </si>
  <si>
    <t>WOODEN ADVENT CALENDAR RED</t>
  </si>
  <si>
    <t>22147</t>
  </si>
  <si>
    <t>FELTCRAFT BUTTERFLY HEARTS</t>
  </si>
  <si>
    <t>22652</t>
  </si>
  <si>
    <t>TRAVEL SEWING KIT</t>
  </si>
  <si>
    <t>22795</t>
  </si>
  <si>
    <t>SWEETHEART RECIPE BOOK STAND</t>
  </si>
  <si>
    <t>23082</t>
  </si>
  <si>
    <t xml:space="preserve">SET 6 PAPER TABLE LANTERN HEARTS </t>
  </si>
  <si>
    <t>71459</t>
  </si>
  <si>
    <t>HANGING JAM JAR T-LIGHT HOLDER</t>
  </si>
  <si>
    <t>23078</t>
  </si>
  <si>
    <t xml:space="preserve">ICE CREAM PEN LIP GLOSS </t>
  </si>
  <si>
    <t>21035</t>
  </si>
  <si>
    <t xml:space="preserve">SET/2 RED RETROSPOT TEA TOWELS </t>
  </si>
  <si>
    <t>84378</t>
  </si>
  <si>
    <t>SET OF 3 HEART COOKIE CUTTERS</t>
  </si>
  <si>
    <t>21484</t>
  </si>
  <si>
    <t>CHICK GREY HOT WATER BOTTLE</t>
  </si>
  <si>
    <t>23256</t>
  </si>
  <si>
    <t xml:space="preserve">CHILDRENS CUTLERY SPACEBOY </t>
  </si>
  <si>
    <t>23493</t>
  </si>
  <si>
    <t>VINTAGE DOILY TRAVEL SEWING KIT</t>
  </si>
  <si>
    <t>23321</t>
  </si>
  <si>
    <t>SMALL WHITE HEART OF WICKER</t>
  </si>
  <si>
    <t>21213</t>
  </si>
  <si>
    <t>PACK OF 72 SKULL CAKE CASES</t>
  </si>
  <si>
    <t>21210</t>
  </si>
  <si>
    <t>SET OF 72 RETROSPOT PAPER  DOILIES</t>
  </si>
  <si>
    <t>22768</t>
  </si>
  <si>
    <t>FAMILY PHOTO FRAME CORNICE</t>
  </si>
  <si>
    <t>72741</t>
  </si>
  <si>
    <t>GRAND CHOCOLATECANDLE</t>
  </si>
  <si>
    <t>22192</t>
  </si>
  <si>
    <t>BLUE DINER WALL CLOCK</t>
  </si>
  <si>
    <t>22725</t>
  </si>
  <si>
    <t>ALARM CLOCK BAKELIKE CHOCOLATE</t>
  </si>
  <si>
    <t>84380</t>
  </si>
  <si>
    <t>SET OF 3 BUTTERFLY COOKIE CUTTERS</t>
  </si>
  <si>
    <t>22655</t>
  </si>
  <si>
    <t>VINTAGE RED KITCHEN CABINET</t>
  </si>
  <si>
    <t>22667</t>
  </si>
  <si>
    <t xml:space="preserve">RECIPE BOX RETROSPOT </t>
  </si>
  <si>
    <t>22900</t>
  </si>
  <si>
    <t xml:space="preserve"> SET 2 TEA TOWELS I LOVE LONDON </t>
  </si>
  <si>
    <t>71053</t>
  </si>
  <si>
    <t>WHITE METAL LANTERN</t>
  </si>
  <si>
    <t>22909</t>
  </si>
  <si>
    <t>SET OF 20 VINTAGE CHRISTMAS NAPKINS</t>
  </si>
  <si>
    <t>21121</t>
  </si>
  <si>
    <t>SET/10 RED POLKADOT PARTY CANDLES</t>
  </si>
  <si>
    <t>22616</t>
  </si>
  <si>
    <t xml:space="preserve">PACK OF 12 LONDON TISSUES </t>
  </si>
  <si>
    <t>22940</t>
  </si>
  <si>
    <t>FELTCRAFT CHRISTMAS FAIRY</t>
  </si>
  <si>
    <t>21770</t>
  </si>
  <si>
    <t>OPEN CLOSED METAL SIGN</t>
  </si>
  <si>
    <t>22487</t>
  </si>
  <si>
    <t>WHITE WOOD GARDEN PLANT LADDER</t>
  </si>
  <si>
    <t>22352</t>
  </si>
  <si>
    <t xml:space="preserve">LUNCH BOX WITH CUTLERY RETROSPOT </t>
  </si>
  <si>
    <t>22968</t>
  </si>
  <si>
    <t xml:space="preserve">ROSE COTTAGE KEEPSAKE BOX </t>
  </si>
  <si>
    <t>21136</t>
  </si>
  <si>
    <t>PAINTED METAL PEARS ASSORTED</t>
  </si>
  <si>
    <t>23238</t>
  </si>
  <si>
    <t xml:space="preserve">SET OF 4 KNICK KNACK TINS LONDON </t>
  </si>
  <si>
    <t>22557</t>
  </si>
  <si>
    <t xml:space="preserve">PLASTERS IN TIN VINTAGE PAISLEY </t>
  </si>
  <si>
    <t>22173</t>
  </si>
  <si>
    <t>METAL 4 HOOK HANGER FRENCH CHATEAU</t>
  </si>
  <si>
    <t>23007</t>
  </si>
  <si>
    <t xml:space="preserve"> SPACEBOY BABY GIFT SET</t>
  </si>
  <si>
    <t>21908</t>
  </si>
  <si>
    <t>CHOCOLATE THIS WAY METAL SIGN</t>
  </si>
  <si>
    <t>23204</t>
  </si>
  <si>
    <t>CHARLOTTE BAG APPLES DESIGN</t>
  </si>
  <si>
    <t>48111</t>
  </si>
  <si>
    <t>DOORMAT 3 SMILEY CATS</t>
  </si>
  <si>
    <t>21258</t>
  </si>
  <si>
    <t>VICTORIAN SEWING BOX LARGE</t>
  </si>
  <si>
    <t>84970S</t>
  </si>
  <si>
    <t>HANGING HEART ZINC T-LIGHT HOLDER</t>
  </si>
  <si>
    <t>84406B</t>
  </si>
  <si>
    <t>CREAM CUPID HEARTS COAT HANGER</t>
  </si>
  <si>
    <t>84949</t>
  </si>
  <si>
    <t>SILVER HANGING T-LIGHT HOLDER</t>
  </si>
  <si>
    <t>21231</t>
  </si>
  <si>
    <t>SWEETHEART CERAMIC TRINKET BOX</t>
  </si>
  <si>
    <t>22991</t>
  </si>
  <si>
    <t>GIRAFFE WOODEN RULER</t>
  </si>
  <si>
    <t>21955</t>
  </si>
  <si>
    <t>DOORMAT UNION JACK GUNS AND ROSES</t>
  </si>
  <si>
    <t>22750</t>
  </si>
  <si>
    <t>FELTCRAFT PRINCESS LOLA DOLL</t>
  </si>
  <si>
    <t>22585</t>
  </si>
  <si>
    <t>PACK OF 6 BIRDY GIFT TAGS</t>
  </si>
  <si>
    <t>22627</t>
  </si>
  <si>
    <t>MINT KITCHEN SCALES</t>
  </si>
  <si>
    <t>21668</t>
  </si>
  <si>
    <t>RED STRIPE CERAMIC DRAWER KNOB</t>
  </si>
  <si>
    <t>22367</t>
  </si>
  <si>
    <t>CHILDRENS APRON SPACEBOY DESIGN</t>
  </si>
  <si>
    <t>22381</t>
  </si>
  <si>
    <t>TOY TIDY PINK POLKADOT</t>
  </si>
  <si>
    <t>84836</t>
  </si>
  <si>
    <t>ZINC METAL HEART DECORATION</t>
  </si>
  <si>
    <t>22741</t>
  </si>
  <si>
    <t>FUNKY DIVA PEN</t>
  </si>
  <si>
    <t>23382</t>
  </si>
  <si>
    <t>BOX OF 6 CHRISTMAS CAKE DECORATIONS</t>
  </si>
  <si>
    <t>21169</t>
  </si>
  <si>
    <t xml:space="preserve">YOU'RE CONFUSING ME METAL SIGN </t>
  </si>
  <si>
    <t>23083</t>
  </si>
  <si>
    <t xml:space="preserve">SET 6 PAPER TABLE LANTERN STARS </t>
  </si>
  <si>
    <t xml:space="preserve">SET OF 4 KNICK KNACK TINS DOILEY </t>
  </si>
  <si>
    <t>20969</t>
  </si>
  <si>
    <t>RED FLORAL FELTCRAFT SHOULDER BAG</t>
  </si>
  <si>
    <t>22631</t>
  </si>
  <si>
    <t xml:space="preserve">CIRCUS PARADE LUNCH BOX </t>
  </si>
  <si>
    <t>22634</t>
  </si>
  <si>
    <t xml:space="preserve">CHILDS BREAKFAST SET SPACEBOY </t>
  </si>
  <si>
    <t>22485</t>
  </si>
  <si>
    <t>SET OF 2 WOODEN MARKET CRATES</t>
  </si>
  <si>
    <t>22553</t>
  </si>
  <si>
    <t>PLASTERS IN TIN SKULLS</t>
  </si>
  <si>
    <t>22767</t>
  </si>
  <si>
    <t xml:space="preserve">TRIPLE PHOTO FRAME CORNICE </t>
  </si>
  <si>
    <t>21787</t>
  </si>
  <si>
    <t>RAIN PONCHO RETROSPOT</t>
  </si>
  <si>
    <t>22834</t>
  </si>
  <si>
    <t>HAND WARMER BABUSHKA DESIGN</t>
  </si>
  <si>
    <t>21669</t>
  </si>
  <si>
    <t>BLUE STRIPE CERAMIC DRAWER KNOB</t>
  </si>
  <si>
    <t>22637</t>
  </si>
  <si>
    <t xml:space="preserve">PIGGY BANK RETROSPOT </t>
  </si>
  <si>
    <t>21259</t>
  </si>
  <si>
    <t xml:space="preserve">VICTORIAN SEWING BOX SMALL </t>
  </si>
  <si>
    <t>22505</t>
  </si>
  <si>
    <t>MEMO BOARD COTTAGE DESIGN</t>
  </si>
  <si>
    <t>23320</t>
  </si>
  <si>
    <t>GIANT 50'S CHRISTMAS CRACKER</t>
  </si>
  <si>
    <t>21912</t>
  </si>
  <si>
    <t>VINTAGE SNAKES &amp; LADDERS</t>
  </si>
  <si>
    <t>22950</t>
  </si>
  <si>
    <t>36 DOILIES VINTAGE CHRISTMAS</t>
  </si>
  <si>
    <t>22663</t>
  </si>
  <si>
    <t>JUMBO BAG DOLLY GIRL DESIGN</t>
  </si>
  <si>
    <t>C2</t>
  </si>
  <si>
    <t>CARRIAGE</t>
  </si>
  <si>
    <t>22333</t>
  </si>
  <si>
    <t>RETROSPOT PARTY BAG + STICKER SET</t>
  </si>
  <si>
    <t>22946</t>
  </si>
  <si>
    <t>WOODEN ADVENT CALENDAR CREAM</t>
  </si>
  <si>
    <t>23215</t>
  </si>
  <si>
    <t>JINGLE BELL HEART ANTIQUE SILVER</t>
  </si>
  <si>
    <t>22839</t>
  </si>
  <si>
    <t>3 TIER CAKE TIN GREEN AND CREAM</t>
  </si>
  <si>
    <t>23293</t>
  </si>
  <si>
    <t>SET OF 12 FAIRY CAKE BAKING CASES</t>
  </si>
  <si>
    <t>22170</t>
  </si>
  <si>
    <t>PICTURE FRAME WOOD TRIPLE PORTRAIT</t>
  </si>
  <si>
    <t>21922</t>
  </si>
  <si>
    <t>UNION STRIPE WITH FRINGE  HAMMOCK</t>
  </si>
  <si>
    <t>21877</t>
  </si>
  <si>
    <t>HOME SWEET HOME MUG</t>
  </si>
  <si>
    <t>21165</t>
  </si>
  <si>
    <t xml:space="preserve">BEWARE OF THE CAT METAL SIGN </t>
  </si>
  <si>
    <t>21094</t>
  </si>
  <si>
    <t>SET/6 RED SPOTTY PAPER PLATES</t>
  </si>
  <si>
    <t>22109</t>
  </si>
  <si>
    <t>FULL ENGLISH BREAKFAST PLATE</t>
  </si>
  <si>
    <t>22840</t>
  </si>
  <si>
    <t>ROUND CAKE TIN VINTAGE RED</t>
  </si>
  <si>
    <t>21257</t>
  </si>
  <si>
    <t>VICTORIAN SEWING BOX MEDIUM</t>
  </si>
  <si>
    <t>22294</t>
  </si>
  <si>
    <t>HEART FILIGREE DOVE  SMALL</t>
  </si>
  <si>
    <t>21326</t>
  </si>
  <si>
    <t>AGED GLASS SILVER T-LIGHT HOLDER</t>
  </si>
  <si>
    <t xml:space="preserve">SET 2 TEA TOWELS I LOVE LONDON </t>
  </si>
  <si>
    <t>84997A</t>
  </si>
  <si>
    <t xml:space="preserve">CHILDRENS CUTLERY POLKADOT GREEN </t>
  </si>
  <si>
    <t>22580</t>
  </si>
  <si>
    <t>ADVENT CALENDAR GINGHAM SACK</t>
  </si>
  <si>
    <t>75049L</t>
  </si>
  <si>
    <t>LARGE CIRCULAR MIRROR MOBILE</t>
  </si>
  <si>
    <t>21672</t>
  </si>
  <si>
    <t>WHITE SPOT RED CERAMIC DRAWER KNOB</t>
  </si>
  <si>
    <t>23297</t>
  </si>
  <si>
    <t>SET 40 HEART SHAPE PETIT FOUR CASES</t>
  </si>
  <si>
    <t>22620</t>
  </si>
  <si>
    <t>4 TRADITIONAL SPINNING TOPS</t>
  </si>
  <si>
    <t>22943</t>
  </si>
  <si>
    <t>CHRISTMAS LIGHTS 10 VINTAGE BAUBLES</t>
  </si>
  <si>
    <t>23254</t>
  </si>
  <si>
    <t xml:space="preserve">CHILDRENS CUTLERY DOLLY GIRL </t>
  </si>
  <si>
    <t>23541</t>
  </si>
  <si>
    <t xml:space="preserve">WALL ART CLASSIC PUDDINGS </t>
  </si>
  <si>
    <t>23008</t>
  </si>
  <si>
    <t>DOLLY GIRL BABY GIFT SET</t>
  </si>
  <si>
    <t>23480</t>
  </si>
  <si>
    <t>MINI LIGHTS WOODLAND MUSHROOMS</t>
  </si>
  <si>
    <t>23247</t>
  </si>
  <si>
    <t>BISCUIT TIN 50'S CHRISTMAS</t>
  </si>
  <si>
    <t>22668</t>
  </si>
  <si>
    <t>PINK BABY BUNTING</t>
  </si>
  <si>
    <t>21533</t>
  </si>
  <si>
    <t>RETROSPOT LARGE MILK JUG</t>
  </si>
  <si>
    <t>85014A</t>
  </si>
  <si>
    <t>BLACK/BLUE POLKADOT UMBRELLA</t>
  </si>
  <si>
    <t>21871</t>
  </si>
  <si>
    <t>SAVE THE PLANET MUG</t>
  </si>
  <si>
    <t>84988</t>
  </si>
  <si>
    <t>SET OF 72 PINK HEART PAPER DOILIES</t>
  </si>
  <si>
    <t>21888</t>
  </si>
  <si>
    <t>BINGO SET</t>
  </si>
  <si>
    <t>20718</t>
  </si>
  <si>
    <t>RED RETROSPOT SHOPPER BAG</t>
  </si>
  <si>
    <t>84992</t>
  </si>
  <si>
    <t>72 SWEETHEART FAIRY CAKE CASES</t>
  </si>
  <si>
    <t>23229</t>
  </si>
  <si>
    <t xml:space="preserve">VINTAGE DONKEY TAIL GAME </t>
  </si>
  <si>
    <t>22508</t>
  </si>
  <si>
    <t>DOORSTOP RETROSPOT HEART</t>
  </si>
  <si>
    <t>3 DRAWER ANTIQUE WHITE WOOD CABINET</t>
  </si>
  <si>
    <t>21122</t>
  </si>
  <si>
    <t>SET/10 PINK POLKADOT PARTY CANDLES</t>
  </si>
  <si>
    <t>23311</t>
  </si>
  <si>
    <t xml:space="preserve">VINTAGE CHRISTMAS STOCKING </t>
  </si>
  <si>
    <t>ANTIQUE SILVER TEA GLASS ETCHED</t>
  </si>
  <si>
    <t>22141</t>
  </si>
  <si>
    <t>CHRISTMAS CRAFT TREE TOP ANGEL</t>
  </si>
  <si>
    <t>23103</t>
  </si>
  <si>
    <t>JINGLE BELL HEART DECORATION</t>
  </si>
  <si>
    <t>22804</t>
  </si>
  <si>
    <t>CANDLEHOLDER PINK HANGING HEART</t>
  </si>
  <si>
    <t>23553</t>
  </si>
  <si>
    <t xml:space="preserve">LANDMARK FRAME CAMDEN TOWN </t>
  </si>
  <si>
    <t>84030E</t>
  </si>
  <si>
    <t>ENGLISH ROSE HOT WATER BOTTLE</t>
  </si>
  <si>
    <t>20676</t>
  </si>
  <si>
    <t>RED RETROSPOT BOWL</t>
  </si>
  <si>
    <t>23571</t>
  </si>
  <si>
    <t>TRADITIONAL NAUGHTS &amp; CROSSES</t>
  </si>
  <si>
    <t>23134</t>
  </si>
  <si>
    <t>LARGE ZINC HEART WALL ORGANISER</t>
  </si>
  <si>
    <t>22635</t>
  </si>
  <si>
    <t xml:space="preserve">CHILDS BREAKFAST SET DOLLY GIRL </t>
  </si>
  <si>
    <t>84970L</t>
  </si>
  <si>
    <t>SINGLE HEART ZINC T-LIGHT HOLDER</t>
  </si>
  <si>
    <t>22784</t>
  </si>
  <si>
    <t xml:space="preserve">LANTERN CREAM GAZEBO </t>
  </si>
  <si>
    <t>22979</t>
  </si>
  <si>
    <t>PANTRY WASHING UP BRUSH</t>
  </si>
  <si>
    <t>23307</t>
  </si>
  <si>
    <t xml:space="preserve">SET OF 60 PANTRY DESIGN CAKE CASES </t>
  </si>
  <si>
    <t>23172</t>
  </si>
  <si>
    <t>REGENCY TEA PLATE PINK</t>
  </si>
  <si>
    <t>22303</t>
  </si>
  <si>
    <t>COFFEE MUG APPLES DESIGN</t>
  </si>
  <si>
    <t>22895</t>
  </si>
  <si>
    <t>SET OF 2 TEA TOWELS APPLE AND PEARS</t>
  </si>
  <si>
    <t>22151</t>
  </si>
  <si>
    <t>PLACE SETTING WHITE HEART</t>
  </si>
  <si>
    <t>21154</t>
  </si>
  <si>
    <t xml:space="preserve">RED RETROSPOT OVEN GLOVE </t>
  </si>
  <si>
    <t>21380</t>
  </si>
  <si>
    <t>WOODEN HAPPY BIRTHDAY GARLAND</t>
  </si>
  <si>
    <t>21935</t>
  </si>
  <si>
    <t>SUKI  SHOULDER BAG</t>
  </si>
  <si>
    <t>22826</t>
  </si>
  <si>
    <t>LOVE SEAT ANTIQUE WHITE METAL</t>
  </si>
  <si>
    <t>23169</t>
  </si>
  <si>
    <t>CLASSIC GLASS COOKIE JAR</t>
  </si>
  <si>
    <t>23192</t>
  </si>
  <si>
    <t>BUNDLE OF 3 ALPHABET EXERCISE BOOKS</t>
  </si>
  <si>
    <t>21670</t>
  </si>
  <si>
    <t>BLUE SPOT CERAMIC DRAWER KNOB</t>
  </si>
  <si>
    <t>21975</t>
  </si>
  <si>
    <t>PACK OF 60 DINOSAUR CAKE CASES</t>
  </si>
  <si>
    <t>23118</t>
  </si>
  <si>
    <t xml:space="preserve">PARISIENNE JEWELLERY DRAWER </t>
  </si>
  <si>
    <t>21156</t>
  </si>
  <si>
    <t>RETROSPOT CHILDRENS APRON</t>
  </si>
  <si>
    <t>21671</t>
  </si>
  <si>
    <t>RED SPOT CERAMIC DRAWER KNOB</t>
  </si>
  <si>
    <t>21673</t>
  </si>
  <si>
    <t>WHITE SPOT BLUE CERAMIC DRAWER KNOB</t>
  </si>
  <si>
    <t>47591D</t>
  </si>
  <si>
    <t>PINK FAIRY CAKE CHILDRENS APRON</t>
  </si>
  <si>
    <t>47556B</t>
  </si>
  <si>
    <t xml:space="preserve">TEA TIME TEA TOWELS </t>
  </si>
  <si>
    <t>23534</t>
  </si>
  <si>
    <t xml:space="preserve">WALL ART STOP FOR TEA </t>
  </si>
  <si>
    <t>17003</t>
  </si>
  <si>
    <t xml:space="preserve">BROCADE RING PURSE </t>
  </si>
  <si>
    <t>22366</t>
  </si>
  <si>
    <t xml:space="preserve">DOORMAT AIRMAIL </t>
  </si>
  <si>
    <t>22174</t>
  </si>
  <si>
    <t>PHOTO CUBE</t>
  </si>
  <si>
    <t>21535</t>
  </si>
  <si>
    <t>RED RETROSPOT SMALL MILK JUG</t>
  </si>
  <si>
    <t>48129</t>
  </si>
  <si>
    <t>DOORMAT TOPIARY</t>
  </si>
  <si>
    <t>23296</t>
  </si>
  <si>
    <t>SET OF 6 TEA TIME BAKING CASES</t>
  </si>
  <si>
    <t>23535</t>
  </si>
  <si>
    <t>WALL ART BICYCLE SAFETY</t>
  </si>
  <si>
    <t>23312</t>
  </si>
  <si>
    <t>VINTAGE CHRISTMAS GIFT SACK</t>
  </si>
  <si>
    <t>22783</t>
  </si>
  <si>
    <t>SET 3 WICKER OVAL BASKETS W LIDS</t>
  </si>
  <si>
    <t>23052</t>
  </si>
  <si>
    <t>RECYCLED ACAPULCO MAT TURQUOISE</t>
  </si>
  <si>
    <t>22150</t>
  </si>
  <si>
    <t>3 STRIPEY MICE FELTCRAFT</t>
  </si>
  <si>
    <t>23154</t>
  </si>
  <si>
    <t>SET OF 4 JAM JAR MAGNETS</t>
  </si>
  <si>
    <t>23113</t>
  </si>
  <si>
    <t>PANTRY CHOPPING BOARD</t>
  </si>
  <si>
    <t>22971</t>
  </si>
  <si>
    <t>QUEENS GUARD COFFEE MUG</t>
  </si>
  <si>
    <t>23485</t>
  </si>
  <si>
    <t xml:space="preserve">BOTANICAL GARDENS WALL CLOCK </t>
  </si>
  <si>
    <t>22207</t>
  </si>
  <si>
    <t>FRYING PAN UNION FLAG</t>
  </si>
  <si>
    <t>22751</t>
  </si>
  <si>
    <t>FELTCRAFT PRINCESS OLIVIA DOLL</t>
  </si>
  <si>
    <t>22796</t>
  </si>
  <si>
    <t>PHOTO FRAME 3 CLASSIC HANGING</t>
  </si>
  <si>
    <t>22779</t>
  </si>
  <si>
    <t xml:space="preserve">WOODEN OWLS LIGHT GARLAND </t>
  </si>
  <si>
    <t>22740</t>
  </si>
  <si>
    <t>POLKADOT PEN</t>
  </si>
  <si>
    <t>22365</t>
  </si>
  <si>
    <t>DOORMAT RESPECTABLE HOUSE</t>
  </si>
  <si>
    <t>RED 3 PIECE RETROSPOT CUTLERY SET</t>
  </si>
  <si>
    <t>62018</t>
  </si>
  <si>
    <t xml:space="preserve">SOMBRERO </t>
  </si>
  <si>
    <t>21242</t>
  </si>
  <si>
    <t xml:space="preserve">RED RETROSPOT PLATE </t>
  </si>
  <si>
    <t>22646</t>
  </si>
  <si>
    <t>CERAMIC STRAWBERRY CAKE MONEY BANK</t>
  </si>
  <si>
    <t>22907</t>
  </si>
  <si>
    <t>PACK OF 20 NAPKINS PANTRY DESIGN</t>
  </si>
  <si>
    <t>22088</t>
  </si>
  <si>
    <t>PAPER BUNTING COLOURED LACE</t>
  </si>
  <si>
    <t>22837</t>
  </si>
  <si>
    <t xml:space="preserve">HOT WATER BOTTLE BABUSHKA </t>
  </si>
  <si>
    <t>22418</t>
  </si>
  <si>
    <t>10 COLOUR SPACEBOY PEN</t>
  </si>
  <si>
    <t>22488</t>
  </si>
  <si>
    <t>NATURAL SLATE RECTANGLE CHALKBOARD</t>
  </si>
  <si>
    <t>21558</t>
  </si>
  <si>
    <t xml:space="preserve">SKULL LUNCH BOX WITH CUTLERY </t>
  </si>
  <si>
    <t>22798</t>
  </si>
  <si>
    <t>ANTIQUE GLASS DRESSING TABLE POT</t>
  </si>
  <si>
    <t>23531</t>
  </si>
  <si>
    <t xml:space="preserve">WALL ART BIG LOVE </t>
  </si>
  <si>
    <t>22429</t>
  </si>
  <si>
    <t>ENAMEL MEASURING JUG CREAM</t>
  </si>
  <si>
    <t>23177</t>
  </si>
  <si>
    <t>TREASURE ISLAND BOOK BOX</t>
  </si>
  <si>
    <t>23133</t>
  </si>
  <si>
    <t>LARGE IVORY HEART WALL ORGANISER</t>
  </si>
  <si>
    <t>22464</t>
  </si>
  <si>
    <t>HANGING METAL HEART LANTERN</t>
  </si>
  <si>
    <t>23158</t>
  </si>
  <si>
    <t xml:space="preserve">SET OF 5 LUCKY CAT MAGNETS </t>
  </si>
  <si>
    <t>23583</t>
  </si>
  <si>
    <t xml:space="preserve">LUNCH BAG PAISLEY PARK  </t>
  </si>
  <si>
    <t>22964</t>
  </si>
  <si>
    <t>3 PIECE SPACEBOY COOKIE CUTTER SET</t>
  </si>
  <si>
    <t>22904</t>
  </si>
  <si>
    <t>CALENDAR PAPER CUT DESIGN</t>
  </si>
  <si>
    <t>22297</t>
  </si>
  <si>
    <t>HEART IVORY TRELLIS SMALL</t>
  </si>
  <si>
    <t>23135</t>
  </si>
  <si>
    <t>SMALL ZINC HEART WALL ORGANISER</t>
  </si>
  <si>
    <t>22827</t>
  </si>
  <si>
    <t>RUSTIC  SEVENTEEN DRAWER SIDEBOARD</t>
  </si>
  <si>
    <t>23205</t>
  </si>
  <si>
    <t xml:space="preserve">CHARLOTTE BAG VINTAGE ALPHABET </t>
  </si>
  <si>
    <t>22584</t>
  </si>
  <si>
    <t>PACK OF 6 PANNETONE GIFT BOXES</t>
  </si>
  <si>
    <t>22845</t>
  </si>
  <si>
    <t>VINTAGE CREAM CAT FOOD CONTAINER</t>
  </si>
  <si>
    <t>22349</t>
  </si>
  <si>
    <t>DOG BOWL CHASING BALL DESIGN</t>
  </si>
  <si>
    <t>23494</t>
  </si>
  <si>
    <t xml:space="preserve">VINTAGE DOILY DELUXE SEWING KIT </t>
  </si>
  <si>
    <t>21172</t>
  </si>
  <si>
    <t xml:space="preserve">PARTY METAL SIGN </t>
  </si>
  <si>
    <t>22998</t>
  </si>
  <si>
    <t>TRAVEL CARD WALLET KEEP CALM</t>
  </si>
  <si>
    <t>22120</t>
  </si>
  <si>
    <t>WELCOME  WOODEN BLOCK LETTERS</t>
  </si>
  <si>
    <t>22296</t>
  </si>
  <si>
    <t>HEART IVORY TRELLIS LARGE</t>
  </si>
  <si>
    <t>22623</t>
  </si>
  <si>
    <t xml:space="preserve">BOX OF VINTAGE JIGSAW BLOCKS </t>
  </si>
  <si>
    <t>PINK 3 PIECE POLKADOT CUTLERY SET</t>
  </si>
  <si>
    <t>22848</t>
  </si>
  <si>
    <t>BREAD BIN DINER STYLE PINK</t>
  </si>
  <si>
    <t>23132</t>
  </si>
  <si>
    <t>SMALL IVORY HEART WALL ORGANISER</t>
  </si>
  <si>
    <t>22772</t>
  </si>
  <si>
    <t>PINK DRAWER KNOB ACRYLIC EDWARDIAN</t>
  </si>
  <si>
    <t>22781</t>
  </si>
  <si>
    <t>GUMBALL MAGAZINE RACK</t>
  </si>
  <si>
    <t>22665</t>
  </si>
  <si>
    <t>RECIPE BOX BLUE SKETCHBOOK DESIGN</t>
  </si>
  <si>
    <t>23263</t>
  </si>
  <si>
    <t>SET OF 3 WOODEN HEART DECORATIONS</t>
  </si>
  <si>
    <t>22689</t>
  </si>
  <si>
    <t xml:space="preserve">DOORMAT MERRY CHRISTMAS RED </t>
  </si>
  <si>
    <t>22898</t>
  </si>
  <si>
    <t>CHILDRENS APRON APPLES DESIGN</t>
  </si>
  <si>
    <t>21844</t>
  </si>
  <si>
    <t>RED RETROSPOT MUG</t>
  </si>
  <si>
    <t>23157</t>
  </si>
  <si>
    <t xml:space="preserve">SET OF 6 NATIVITY MAGNETS </t>
  </si>
  <si>
    <t>21428</t>
  </si>
  <si>
    <t xml:space="preserve">SET3 BOOK BOX GREEN GINGHAM FLOWER </t>
  </si>
  <si>
    <t>21164</t>
  </si>
  <si>
    <t xml:space="preserve">HOME SWEET HOME METAL SIGN </t>
  </si>
  <si>
    <t>23165</t>
  </si>
  <si>
    <t>LARGE CERAMIC TOP STORAGE JAR</t>
  </si>
  <si>
    <t>23162</t>
  </si>
  <si>
    <t>REGENCY TEA STRAINER</t>
  </si>
  <si>
    <t>22302</t>
  </si>
  <si>
    <t>COFFEE MUG PEARS  DESIGN</t>
  </si>
  <si>
    <t>37449</t>
  </si>
  <si>
    <t>CERAMIC CAKE STAND + HANGING CAKES</t>
  </si>
  <si>
    <t>22595</t>
  </si>
  <si>
    <t>GINGHAM HEART DECORATION</t>
  </si>
  <si>
    <t>23397</t>
  </si>
  <si>
    <t xml:space="preserve">FOOT STOOL HOME SWEET HOME </t>
  </si>
  <si>
    <t>21098</t>
  </si>
  <si>
    <t>CHRISTMAS TOILET ROLL</t>
  </si>
  <si>
    <t>22371</t>
  </si>
  <si>
    <t>AIRLINE BAG VINTAGE TOKYO 78</t>
  </si>
  <si>
    <t>21756</t>
  </si>
  <si>
    <t>BATH BUILDING BLOCK WORD</t>
  </si>
  <si>
    <t>23234</t>
  </si>
  <si>
    <t>BISCUIT TIN VINTAGE CHRISTMAS</t>
  </si>
  <si>
    <t>23126</t>
  </si>
  <si>
    <t>FELTCRAFT GIRL AMELIE KIT</t>
  </si>
  <si>
    <t>23295</t>
  </si>
  <si>
    <t>SET OF 12 MINI LOAF BAKING CASES</t>
  </si>
  <si>
    <t>23198</t>
  </si>
  <si>
    <t>PANTRY MAGNETIC  SHOPPING LIST</t>
  </si>
  <si>
    <t>23109</t>
  </si>
  <si>
    <t>PACK OF SIX LED TEA LIGHTS</t>
  </si>
  <si>
    <t>22780</t>
  </si>
  <si>
    <t>LIGHT GARLAND BUTTERFILES PINK</t>
  </si>
  <si>
    <t>23314</t>
  </si>
  <si>
    <t>VINTAGE CHRISTMAS TABLECLOTH</t>
  </si>
  <si>
    <t>22301</t>
  </si>
  <si>
    <t>COFFEE MUG CAT + BIRD DESIGN</t>
  </si>
  <si>
    <t>21907</t>
  </si>
  <si>
    <t>I'M ON HOLIDAY METAL SIGN</t>
  </si>
  <si>
    <t>22957</t>
  </si>
  <si>
    <t>SET 3 PAPER VINTAGE CHICK PAPER EGG</t>
  </si>
  <si>
    <t>22271</t>
  </si>
  <si>
    <t>FELTCRAFT DOLL ROSIE</t>
  </si>
  <si>
    <t>22636</t>
  </si>
  <si>
    <t>CHILDS BREAKFAST SET CIRCUS PARADE</t>
  </si>
  <si>
    <t>23543</t>
  </si>
  <si>
    <t xml:space="preserve">WALL ART KEEP CALM </t>
  </si>
  <si>
    <t>21932</t>
  </si>
  <si>
    <t>SCANDINAVIAN PAISLEY PICNIC BAG</t>
  </si>
  <si>
    <t>22849</t>
  </si>
  <si>
    <t>BREAD BIN DINER STYLE MINT</t>
  </si>
  <si>
    <t>23310</t>
  </si>
  <si>
    <t>BUBBLEGUM RING ASSORTED</t>
  </si>
  <si>
    <t>23556</t>
  </si>
  <si>
    <t xml:space="preserve">LANDMARK FRAME COVENT GARDEN </t>
  </si>
  <si>
    <t>21933</t>
  </si>
  <si>
    <t>PINK VINTAGE PAISLEY PICNIC BAG</t>
  </si>
  <si>
    <t>22142</t>
  </si>
  <si>
    <t xml:space="preserve">CHRISTMAS CRAFT WHITE FAIRY </t>
  </si>
  <si>
    <t>23570</t>
  </si>
  <si>
    <t xml:space="preserve">TRADITIONAL PICK UP STICKS GAME </t>
  </si>
  <si>
    <t>84212</t>
  </si>
  <si>
    <t>ASSORTED FLOWER COLOUR "LEIS"</t>
  </si>
  <si>
    <t>22110</t>
  </si>
  <si>
    <t>BIRD HOUSE HOT WATER BOTTLE</t>
  </si>
  <si>
    <t>21937</t>
  </si>
  <si>
    <t>STRAWBERRY   PICNIC BAG</t>
  </si>
  <si>
    <t>22748</t>
  </si>
  <si>
    <t>POPPY'S PLAYHOUSE KITCHEN</t>
  </si>
  <si>
    <t>23010</t>
  </si>
  <si>
    <t>CIRCUS PARADE BABY GIFT SET</t>
  </si>
  <si>
    <t>23351</t>
  </si>
  <si>
    <t>ROLL WRAP 50'S CHRISTMAS</t>
  </si>
  <si>
    <t>21124</t>
  </si>
  <si>
    <t>SET/10 BLUE POLKADOT PARTY CANDLES</t>
  </si>
  <si>
    <t>23503</t>
  </si>
  <si>
    <t>PLAYING CARDS KEEP CALM &amp; CARRY ON</t>
  </si>
  <si>
    <t>21086</t>
  </si>
  <si>
    <t>SET/6 RED SPOTTY PAPER CUPS</t>
  </si>
  <si>
    <t>21033</t>
  </si>
  <si>
    <t>JUMBO BAG CHARLIE AND LOLA TOYS</t>
  </si>
  <si>
    <t>21390</t>
  </si>
  <si>
    <t>FILIGRIS HEART WITH BUTTERFLY</t>
  </si>
  <si>
    <t>21876</t>
  </si>
  <si>
    <t>POTTERING MUG</t>
  </si>
  <si>
    <t>23554</t>
  </si>
  <si>
    <t>LANDMARK FRAME OXFORD STREET</t>
  </si>
  <si>
    <t>23555</t>
  </si>
  <si>
    <t xml:space="preserve">LANDMARK FRAME NOTTING HILL </t>
  </si>
  <si>
    <t>22549</t>
  </si>
  <si>
    <t>PICTURE DOMINOES</t>
  </si>
  <si>
    <t>23159</t>
  </si>
  <si>
    <t>SET OF 5 PANCAKE DAY MAGNETS</t>
  </si>
  <si>
    <t>23184</t>
  </si>
  <si>
    <t>BULL DOG BOTTLE OPENER</t>
  </si>
  <si>
    <t>84050</t>
  </si>
  <si>
    <t>PINK HEART SHAPE EGG FRYING PAN</t>
  </si>
  <si>
    <t>21539</t>
  </si>
  <si>
    <t>RED RETROSPOT BUTTER DISH</t>
  </si>
  <si>
    <t>22243</t>
  </si>
  <si>
    <t>5 HOOK HANGER RED MAGIC TOADSTOOL</t>
  </si>
  <si>
    <t>23569</t>
  </si>
  <si>
    <t>TRADTIONAL ALPHABET STAMP SET</t>
  </si>
  <si>
    <t>20677</t>
  </si>
  <si>
    <t>PINK POLKADOT BOWL</t>
  </si>
  <si>
    <t>23286</t>
  </si>
  <si>
    <t>BLUE VINTAGE SPOT BEAKER</t>
  </si>
  <si>
    <t>23558</t>
  </si>
  <si>
    <t xml:space="preserve">LANDMARK FRAME LONDON BRIDGE </t>
  </si>
  <si>
    <t>20979</t>
  </si>
  <si>
    <t>36 PENCILS TUBE RED RETROSPOT</t>
  </si>
  <si>
    <t>23389</t>
  </si>
  <si>
    <t>SPACEBOY MINI BACKPACK</t>
  </si>
  <si>
    <t>22645</t>
  </si>
  <si>
    <t>CERAMIC HEART FAIRY CAKE MONEY BANK</t>
  </si>
  <si>
    <t>22082</t>
  </si>
  <si>
    <t xml:space="preserve">RIBBON REEL STRIPES DESIGN </t>
  </si>
  <si>
    <t>23241</t>
  </si>
  <si>
    <t>TREASURE TIN GYMKHANA DESIGN</t>
  </si>
  <si>
    <t>23176</t>
  </si>
  <si>
    <t xml:space="preserve">ABC TREASURE BOOK BOX </t>
  </si>
  <si>
    <t>82001S</t>
  </si>
  <si>
    <t>VINYL RECORD FRAME SILVER</t>
  </si>
  <si>
    <t>82552</t>
  </si>
  <si>
    <t>WASHROOM METAL SIGN</t>
  </si>
  <si>
    <t>22721</t>
  </si>
  <si>
    <t>SET OF 3 CAKE TINS SKETCHBOOK</t>
  </si>
  <si>
    <t>22745</t>
  </si>
  <si>
    <t xml:space="preserve">POPPY'S PLAYHOUSE BEDROOM </t>
  </si>
  <si>
    <t>22504</t>
  </si>
  <si>
    <t>CABIN BAG VINTAGE RETROSPOT</t>
  </si>
  <si>
    <t>22606</t>
  </si>
  <si>
    <t>WOODEN SKITTLES GARDEN SET</t>
  </si>
  <si>
    <t>47599A</t>
  </si>
  <si>
    <t>PINK PARTY BAGS</t>
  </si>
  <si>
    <t>22295</t>
  </si>
  <si>
    <t>HEART FILIGREE DOVE LARGE</t>
  </si>
  <si>
    <t>22628</t>
  </si>
  <si>
    <t xml:space="preserve">PICNIC BOXES SET OF 3 RETROSPOT </t>
  </si>
  <si>
    <t>22775</t>
  </si>
  <si>
    <t>PURPLE DRAWERKNOB ACRYLIC EDWARDIAN</t>
  </si>
  <si>
    <t>21833</t>
  </si>
  <si>
    <t>CAMOUFLAGE LED TORCH</t>
  </si>
  <si>
    <t>23285</t>
  </si>
  <si>
    <t>PINK VINTAGE SPOT BEAKER</t>
  </si>
  <si>
    <t>22417</t>
  </si>
  <si>
    <t>PACK OF 60 SPACEBOY CAKE CASES</t>
  </si>
  <si>
    <t>23404</t>
  </si>
  <si>
    <t>HOME SWEET HOME BLACKBOARD</t>
  </si>
  <si>
    <t>23275</t>
  </si>
  <si>
    <t>SET OF 3 HANGING OWLS OLLIE BEAK</t>
  </si>
  <si>
    <t>82551</t>
  </si>
  <si>
    <t>LAUNDRY 15C METAL SIGN</t>
  </si>
  <si>
    <t>20974</t>
  </si>
  <si>
    <t>12 PENCILS SMALL TUBE SKULL</t>
  </si>
  <si>
    <t>23309</t>
  </si>
  <si>
    <t xml:space="preserve">SET OF 60 I LOVE LONDON CAKE CASES </t>
  </si>
  <si>
    <t>23163</t>
  </si>
  <si>
    <t>REGENCY SUGAR TONGS</t>
  </si>
  <si>
    <t>23112</t>
  </si>
  <si>
    <t>PARISIENNE CURIO CABINET</t>
  </si>
  <si>
    <t>22938</t>
  </si>
  <si>
    <t>CUPCAKE LACE PAPER SET 6</t>
  </si>
  <si>
    <t>21934</t>
  </si>
  <si>
    <t>SKULL SHOULDER BAG</t>
  </si>
  <si>
    <t>23167</t>
  </si>
  <si>
    <t xml:space="preserve">SMALL CERAMIC TOP STORAGE JAR </t>
  </si>
  <si>
    <t>84987</t>
  </si>
  <si>
    <t>SET OF 36 TEATIME PAPER DOILIES</t>
  </si>
  <si>
    <t>21906</t>
  </si>
  <si>
    <t>PHARMACIE FIRST AID TIN</t>
  </si>
  <si>
    <t>22942</t>
  </si>
  <si>
    <t xml:space="preserve">CHRISTMAS LIGHTS 10 SANTAS </t>
  </si>
  <si>
    <t>22089</t>
  </si>
  <si>
    <t>PAPER BUNTING VINTAGE PAISLEY</t>
  </si>
  <si>
    <t>23288</t>
  </si>
  <si>
    <t>GREEN VINTAGE SPOT BEAKER</t>
  </si>
  <si>
    <t>23530</t>
  </si>
  <si>
    <t xml:space="preserve">WALL ART ONLY ONE PERSON </t>
  </si>
  <si>
    <t>22626</t>
  </si>
  <si>
    <t>BLACK KITCHEN SCALES</t>
  </si>
  <si>
    <t>20975</t>
  </si>
  <si>
    <t>12 PENCILS SMALL TUBE RED RETROSPOT</t>
  </si>
  <si>
    <t>15056P</t>
  </si>
  <si>
    <t>EDWARDIAN PARASOL PINK</t>
  </si>
  <si>
    <t>23349</t>
  </si>
  <si>
    <t>ROLL WRAP VINTAGE CHRISTMAS</t>
  </si>
  <si>
    <t>BLUE 3 PIECE POLKADOT CUTLERY SET</t>
  </si>
  <si>
    <t>22327</t>
  </si>
  <si>
    <t>ROUND SNACK BOXES SET OF 4 SKULLS</t>
  </si>
  <si>
    <t>16014</t>
  </si>
  <si>
    <t>SMALL CHINESE STYLE SCISSOR</t>
  </si>
  <si>
    <t>84692</t>
  </si>
  <si>
    <t>BOX OF 24 COCKTAIL PARASOLS</t>
  </si>
  <si>
    <t>22899</t>
  </si>
  <si>
    <t xml:space="preserve">CHILDREN'S APRON DOLLY GIRL </t>
  </si>
  <si>
    <t>21498</t>
  </si>
  <si>
    <t xml:space="preserve">RED RETROSPOT WRAP </t>
  </si>
  <si>
    <t>21892</t>
  </si>
  <si>
    <t xml:space="preserve">TRADITIONAL WOODEN CATCH CUP GAME </t>
  </si>
  <si>
    <t>23168</t>
  </si>
  <si>
    <t>CLASSIC CAFE SUGAR DISPENSER</t>
  </si>
  <si>
    <t>23050</t>
  </si>
  <si>
    <t>RECYCLED ACAPULCO MAT GREEN</t>
  </si>
  <si>
    <t>22723</t>
  </si>
  <si>
    <t>SET OF 6 HERB TINS SKETCHBOOK</t>
  </si>
  <si>
    <t>22694</t>
  </si>
  <si>
    <t xml:space="preserve">WICKER STAR </t>
  </si>
  <si>
    <t>20970</t>
  </si>
  <si>
    <t>PINK FLORAL FELTCRAFT SHOULDER BAG</t>
  </si>
  <si>
    <t>22661</t>
  </si>
  <si>
    <t>CHARLOTTE BAG DOLLY GIRL DESIGN</t>
  </si>
  <si>
    <t>22061</t>
  </si>
  <si>
    <t>LARGE CAKE STAND  HANGING STRAWBERY</t>
  </si>
  <si>
    <t>23089</t>
  </si>
  <si>
    <t>GLASS BON BON JAR</t>
  </si>
  <si>
    <t>22801</t>
  </si>
  <si>
    <t>ANTIQUE GLASS PEDESTAL BOWL</t>
  </si>
  <si>
    <t>23012</t>
  </si>
  <si>
    <t>GLASS APOTHECARY BOTTLE PERFUME</t>
  </si>
  <si>
    <t>23144</t>
  </si>
  <si>
    <t>ZINC T-LIGHT HOLDER STARS SMALL</t>
  </si>
  <si>
    <t>22550</t>
  </si>
  <si>
    <t>HOLIDAY FUN LUDO</t>
  </si>
  <si>
    <t>20682</t>
  </si>
  <si>
    <t>RED RETROSPOT CHILDRENS UMBRELLA</t>
  </si>
  <si>
    <t>22813</t>
  </si>
  <si>
    <t xml:space="preserve">PACK 3 BOXES BIRD PANNETONE </t>
  </si>
  <si>
    <t>23110</t>
  </si>
  <si>
    <t xml:space="preserve">PARISIENNE KEY CABINET </t>
  </si>
  <si>
    <t>72760B</t>
  </si>
  <si>
    <t>VINTAGE CREAM 3 BASKET CAKE STAND</t>
  </si>
  <si>
    <t>21874</t>
  </si>
  <si>
    <t>GIN AND TONIC MUG</t>
  </si>
  <si>
    <t>22649</t>
  </si>
  <si>
    <t>STRAWBERRY FAIRY CAKE TEAPOT</t>
  </si>
  <si>
    <t>23486</t>
  </si>
  <si>
    <t>ANTIQUE HEART SHELF UNIT</t>
  </si>
  <si>
    <t>22596</t>
  </si>
  <si>
    <t>CHRISTMAS STAR WISH LIST CHALKBOARD</t>
  </si>
  <si>
    <t>23283</t>
  </si>
  <si>
    <t>DOORMAT VINTAGE LEAF</t>
  </si>
  <si>
    <t>22841</t>
  </si>
  <si>
    <t>ROUND CAKE TIN VINTAGE GREEN</t>
  </si>
  <si>
    <t>23255</t>
  </si>
  <si>
    <t>CHILDRENS CUTLERY CIRCUS PARADE</t>
  </si>
  <si>
    <t>23193</t>
  </si>
  <si>
    <t>BUFFALO BILL TREASURE BOOK BOX</t>
  </si>
  <si>
    <t>23009</t>
  </si>
  <si>
    <t>I LOVE LONDON BABY GIFT SET</t>
  </si>
  <si>
    <t>22577</t>
  </si>
  <si>
    <t>WOODEN HEART CHRISTMAS SCANDINAVIAN</t>
  </si>
  <si>
    <t>22489</t>
  </si>
  <si>
    <t>PACK OF 12 TRADITIONAL CRAYONS</t>
  </si>
  <si>
    <t>23340</t>
  </si>
  <si>
    <t>VINTAGE CHRISTMAS CAKE FRILL</t>
  </si>
  <si>
    <t>21116</t>
  </si>
  <si>
    <t>OWL DOORSTOP</t>
  </si>
  <si>
    <t>21704</t>
  </si>
  <si>
    <t>BAG 250g SWIRLY MARBLES</t>
  </si>
  <si>
    <t>22219</t>
  </si>
  <si>
    <t xml:space="preserve">LOVEBIRD HANGING DECORATION WHITE </t>
  </si>
  <si>
    <t>72351B</t>
  </si>
  <si>
    <t>SET/6 PINK  BUTTERFLY T-LIGHTS</t>
  </si>
  <si>
    <t>22951</t>
  </si>
  <si>
    <t>60 CAKE CASES DOLLY GIRL DESIGN</t>
  </si>
  <si>
    <t>22431</t>
  </si>
  <si>
    <t>WATERING CAN BLUE ELEPHANT</t>
  </si>
  <si>
    <t>22890</t>
  </si>
  <si>
    <t>NOVELTY BISCUITS CAKE STAND 3 TIER</t>
  </si>
  <si>
    <t>23129</t>
  </si>
  <si>
    <t>HEART SHAPED HOLLY WREATH</t>
  </si>
  <si>
    <t>22956</t>
  </si>
  <si>
    <t>36 FOIL HEART CAKE CASES</t>
  </si>
  <si>
    <t>22493</t>
  </si>
  <si>
    <t>PAINT YOUR OWN CANVAS SET</t>
  </si>
  <si>
    <t>20675</t>
  </si>
  <si>
    <t>BLUE POLKADOT BOWL</t>
  </si>
  <si>
    <t>23306</t>
  </si>
  <si>
    <t>SET OF 36 DOILIES PANTRY DESIGN</t>
  </si>
  <si>
    <t>84792</t>
  </si>
  <si>
    <t>ENCHANTED BIRD COATHANGER 5 HOOK</t>
  </si>
  <si>
    <t>22274</t>
  </si>
  <si>
    <t>FELTCRAFT DOLL EMILY</t>
  </si>
  <si>
    <t>22131</t>
  </si>
  <si>
    <t xml:space="preserve">FOOD CONTAINER SET 3 LOVE HEART </t>
  </si>
  <si>
    <t>23526</t>
  </si>
  <si>
    <t xml:space="preserve">WALL ART DOG LICENCE </t>
  </si>
  <si>
    <t>23557</t>
  </si>
  <si>
    <t xml:space="preserve">LANDMARK FRAME BAKER STREET </t>
  </si>
  <si>
    <t>22148</t>
  </si>
  <si>
    <t xml:space="preserve">EASTER CRAFT 4 CHICKS </t>
  </si>
  <si>
    <t>22179</t>
  </si>
  <si>
    <t>SET 10 NIGHT OWL LIGHTS</t>
  </si>
  <si>
    <t>22980</t>
  </si>
  <si>
    <t>PANTRY SCRUBBING BRUSH</t>
  </si>
  <si>
    <t>23081</t>
  </si>
  <si>
    <t>GREEN METAL BOX ARMY SUPPLIES</t>
  </si>
  <si>
    <t>21716</t>
  </si>
  <si>
    <t>BOYS VINTAGE TIN SEASIDE BUCKET</t>
  </si>
  <si>
    <t>21041</t>
  </si>
  <si>
    <t>RED RETROSPOT OVEN GLOVE DOUBLE</t>
  </si>
  <si>
    <t>JUMBO BAG SCANDINAVIAN PAISLEY</t>
  </si>
  <si>
    <t>23049</t>
  </si>
  <si>
    <t>RECYCLED ACAPULCO MAT RED</t>
  </si>
  <si>
    <t>22117</t>
  </si>
  <si>
    <t xml:space="preserve">METAL SIGN HER DINNER IS SERVED </t>
  </si>
  <si>
    <t>23552</t>
  </si>
  <si>
    <t xml:space="preserve">BICYCLE PUNCTURE REPAIR KIT </t>
  </si>
  <si>
    <t>22222</t>
  </si>
  <si>
    <t>CAKE PLATE LOVEBIRD WHITE</t>
  </si>
  <si>
    <t>22578</t>
  </si>
  <si>
    <t>WOODEN STAR CHRISTMAS SCANDINAVIAN</t>
  </si>
  <si>
    <t>21749</t>
  </si>
  <si>
    <t>LARGE RED RETROSPOT WINDMILL</t>
  </si>
  <si>
    <t>22738</t>
  </si>
  <si>
    <t>RIBBON REEL SNOWY VILLAGE</t>
  </si>
  <si>
    <t>22896</t>
  </si>
  <si>
    <t>PEG BAG APPLES DESIGN</t>
  </si>
  <si>
    <t>85049A</t>
  </si>
  <si>
    <t>TRADITIONAL CHRISTMAS RIBBONS</t>
  </si>
  <si>
    <t>37370</t>
  </si>
  <si>
    <t>RETRO COFFEE MUGS ASSORTED</t>
  </si>
  <si>
    <t>23111</t>
  </si>
  <si>
    <t>PARISIENNE SEWING BOX</t>
  </si>
  <si>
    <t>23194</t>
  </si>
  <si>
    <t>GYMKHANA TREASURE BOOK BOX</t>
  </si>
  <si>
    <t>22842</t>
  </si>
  <si>
    <t>BISCUIT TIN VINTAGE RED</t>
  </si>
  <si>
    <t>22809</t>
  </si>
  <si>
    <t>SET OF 6 T-LIGHTS SANTA</t>
  </si>
  <si>
    <t>21110</t>
  </si>
  <si>
    <t>LARGE CAKE TOWEL PINK SPOTS</t>
  </si>
  <si>
    <t>22350</t>
  </si>
  <si>
    <t xml:space="preserve">ILLUSTRATED CAT BOWL </t>
  </si>
  <si>
    <t xml:space="preserve">LUNCH BAG SUKI  DESIGN </t>
  </si>
  <si>
    <t>85049E</t>
  </si>
  <si>
    <t>SCANDINAVIAN REDS RIBBONS</t>
  </si>
  <si>
    <t>21244</t>
  </si>
  <si>
    <t xml:space="preserve">BLUE POLKADOT PLATE </t>
  </si>
  <si>
    <t>23253</t>
  </si>
  <si>
    <t>16 PIECE CUTLERY SET PANTRY DESIGN</t>
  </si>
  <si>
    <t>23092</t>
  </si>
  <si>
    <t>LARGE ANTIQUE WHITE PHOTO FRAME</t>
  </si>
  <si>
    <t>23299</t>
  </si>
  <si>
    <t xml:space="preserve">FOOD COVER WITH BEADS SET 2 </t>
  </si>
  <si>
    <t>21746</t>
  </si>
  <si>
    <t>SMALL RED RETROSPOT WINDMILL</t>
  </si>
  <si>
    <t>21527</t>
  </si>
  <si>
    <t xml:space="preserve">RED RETROSPOT TRADITIONAL TEAPOT </t>
  </si>
  <si>
    <t>23236</t>
  </si>
  <si>
    <t xml:space="preserve">STORAGE TIN VINTAGE DOILY </t>
  </si>
  <si>
    <t>22195</t>
  </si>
  <si>
    <t>LARGE HEART MEASURING SPOONS</t>
  </si>
  <si>
    <t>21260</t>
  </si>
  <si>
    <t>FIRST AID TIN</t>
  </si>
  <si>
    <t>21658</t>
  </si>
  <si>
    <t>GLASS  BEURRE DISH</t>
  </si>
  <si>
    <t>23182</t>
  </si>
  <si>
    <t>TOILET SIGN OCCUPIED OR VACANT</t>
  </si>
  <si>
    <t>23064</t>
  </si>
  <si>
    <t xml:space="preserve">CINDERELLA CHANDELIER </t>
  </si>
  <si>
    <t>22212</t>
  </si>
  <si>
    <t>FOUR HOOK  WHITE LOVEBIRDS</t>
  </si>
  <si>
    <t>22854</t>
  </si>
  <si>
    <t>CREAM SWEETHEART EGG HOLDER</t>
  </si>
  <si>
    <t>21531</t>
  </si>
  <si>
    <t>RED RETROSPOT SUGAR JAM BOWL</t>
  </si>
  <si>
    <t>21890</t>
  </si>
  <si>
    <t>S/6 WOODEN SKITTLES IN COTTON BAG</t>
  </si>
  <si>
    <t>22656</t>
  </si>
  <si>
    <t>VINTAGE BLUE KITCHEN CABINET</t>
  </si>
  <si>
    <t>23013</t>
  </si>
  <si>
    <t>GLASS APOTHECARY BOTTLE TONIC</t>
  </si>
  <si>
    <t>23130</t>
  </si>
  <si>
    <t>MISTLETOE HEART WREATH GREEN</t>
  </si>
  <si>
    <t>22926</t>
  </si>
  <si>
    <t>IVORY GIANT GARDEN THERMOMETER</t>
  </si>
  <si>
    <t>85053</t>
  </si>
  <si>
    <t>FRENCH ENAMEL CANDLEHOLDER</t>
  </si>
  <si>
    <t>22378</t>
  </si>
  <si>
    <t xml:space="preserve">WALL TIDY RETROSPOT </t>
  </si>
  <si>
    <t>23085</t>
  </si>
  <si>
    <t xml:space="preserve">ANTIQUE SILVER BAUBLE LAMP  </t>
  </si>
  <si>
    <t>22468</t>
  </si>
  <si>
    <t>BABUSHKA LIGHTS STRING OF 10</t>
  </si>
  <si>
    <t>23294</t>
  </si>
  <si>
    <t>SET OF 6 SNACK LOAF BAKING CASES</t>
  </si>
  <si>
    <t>22466</t>
  </si>
  <si>
    <t>FAIRY TALE COTTAGE NIGHTLIGHT</t>
  </si>
  <si>
    <t>22236</t>
  </si>
  <si>
    <t>CAKE STAND 3 TIER MAGIC GARDEN</t>
  </si>
  <si>
    <t>23210</t>
  </si>
  <si>
    <t>WHITE ROCKING HORSE HAND PAINTED</t>
  </si>
  <si>
    <t>23032</t>
  </si>
  <si>
    <t>DRAWER KNOB CRACKLE GLAZE IVORY</t>
  </si>
  <si>
    <t>22053</t>
  </si>
  <si>
    <t>EMPIRE DESIGN ROSETTE</t>
  </si>
  <si>
    <t>84968C</t>
  </si>
  <si>
    <t>SET OF 16 VINTAGE PISTACHIO CUTLERY</t>
  </si>
  <si>
    <t>23091</t>
  </si>
  <si>
    <t>ZINC HERB GARDEN CONTAINER</t>
  </si>
  <si>
    <t>22739</t>
  </si>
  <si>
    <t>RIBBON REEL CHRISTMAS SOCK BAUBLE</t>
  </si>
  <si>
    <t>22348</t>
  </si>
  <si>
    <t>TEA BAG PLATE RED RETROSPOT</t>
  </si>
  <si>
    <t>COLOURED GLASS STAR T-LIGHT HOLDER</t>
  </si>
  <si>
    <t>23497</t>
  </si>
  <si>
    <t xml:space="preserve">CLASSIC CHROME BICYCLE BELL </t>
  </si>
  <si>
    <t>21494</t>
  </si>
  <si>
    <t>ROTATING LEAVES T-LIGHT HOLDER</t>
  </si>
  <si>
    <t>22908</t>
  </si>
  <si>
    <t>PACK OF 20 NAPKINS RED APPLES</t>
  </si>
  <si>
    <t>23332</t>
  </si>
  <si>
    <t>IVORY WICKER HEART LARGE</t>
  </si>
  <si>
    <t>22800</t>
  </si>
  <si>
    <t>ANTIQUE TALL SWIRLGLASS TRINKET POT</t>
  </si>
  <si>
    <t>20717</t>
  </si>
  <si>
    <t>STRAWBERRY SHOPPER BAG</t>
  </si>
  <si>
    <t>85132C</t>
  </si>
  <si>
    <t>CHARLIE AND LOLA FIGURES TINS</t>
  </si>
  <si>
    <t>22180</t>
  </si>
  <si>
    <t>RETROSPOT LAMP</t>
  </si>
  <si>
    <t>22669</t>
  </si>
  <si>
    <t xml:space="preserve">RED BABY BUNTING </t>
  </si>
  <si>
    <t>23191</t>
  </si>
  <si>
    <t>BUNDLE OF 3 RETRO NOTE BOOKS</t>
  </si>
  <si>
    <t>21974</t>
  </si>
  <si>
    <t>SET OF 36 PAISLEY FLOWER DOILIES</t>
  </si>
  <si>
    <t>21992</t>
  </si>
  <si>
    <t>VINTAGE PAISLEY STATIONERY SET</t>
  </si>
  <si>
    <t>21703</t>
  </si>
  <si>
    <t>BAG 125g SWIRLY MARBLES</t>
  </si>
  <si>
    <t>22688</t>
  </si>
  <si>
    <t>DOORMAT PEACE ON EARTH BLUE</t>
  </si>
  <si>
    <t>23353</t>
  </si>
  <si>
    <t xml:space="preserve">6 GIFT TAGS VINTAGE CHRISTMAS </t>
  </si>
  <si>
    <t>23189</t>
  </si>
  <si>
    <t>SET OF 12 FORK CANDLES</t>
  </si>
  <si>
    <t>21715</t>
  </si>
  <si>
    <t>GIRLS VINTAGE TIN SEASIDE BUCKET</t>
  </si>
  <si>
    <t>22760</t>
  </si>
  <si>
    <t>TRAY, BREAKFAST IN BED</t>
  </si>
  <si>
    <t>21238</t>
  </si>
  <si>
    <t>RED RETROSPOT CUP</t>
  </si>
  <si>
    <t>21745</t>
  </si>
  <si>
    <t xml:space="preserve">GAOLERS KEYS DECORATIVE GARDEN </t>
  </si>
  <si>
    <t>82580</t>
  </si>
  <si>
    <t>BATHROOM METAL SIGN</t>
  </si>
  <si>
    <t>22065</t>
  </si>
  <si>
    <t xml:space="preserve">CHRISTMAS PUDDING TRINKET POT </t>
  </si>
  <si>
    <t>22435</t>
  </si>
  <si>
    <t>SET OF 9 HEART SHAPED BALLOONS</t>
  </si>
  <si>
    <t>23350</t>
  </si>
  <si>
    <t xml:space="preserve">ROLL WRAP VINTAGE SPOT </t>
  </si>
  <si>
    <t>47567B</t>
  </si>
  <si>
    <t>TEA TIME KITCHEN APRON</t>
  </si>
  <si>
    <t>23426</t>
  </si>
  <si>
    <t>METAL SIGN DROP YOUR PANTS</t>
  </si>
  <si>
    <t>21588</t>
  </si>
  <si>
    <t>RETROSPOT GIANT TUBE MATCHES</t>
  </si>
  <si>
    <t>21243</t>
  </si>
  <si>
    <t xml:space="preserve">PINK  POLKADOT PLATE </t>
  </si>
  <si>
    <t>84508A</t>
  </si>
  <si>
    <t>CAMOUFLAGE DESIGN TEDDY</t>
  </si>
  <si>
    <t>21385</t>
  </si>
  <si>
    <t>IVORY HANGING DECORATION  HEART</t>
  </si>
  <si>
    <t>21463</t>
  </si>
  <si>
    <t xml:space="preserve">MIRRORED DISCO BALL </t>
  </si>
  <si>
    <t>22300</t>
  </si>
  <si>
    <t>COFFEE MUG DOG + BALL DESIGN</t>
  </si>
  <si>
    <t>23156</t>
  </si>
  <si>
    <t>SET OF 5 MINI GROCERY MAGNETS</t>
  </si>
  <si>
    <t>23354</t>
  </si>
  <si>
    <t xml:space="preserve">6 GIFT TAGS 50'S CHRISTMAS </t>
  </si>
  <si>
    <t>21497</t>
  </si>
  <si>
    <t>FANCY FONTS BIRTHDAY WRAP</t>
  </si>
  <si>
    <t>23388</t>
  </si>
  <si>
    <t>WOODLAND MINI BACKPACK</t>
  </si>
  <si>
    <t>23014</t>
  </si>
  <si>
    <t>GLASS APOTHECARY BOTTLE ELIXIR</t>
  </si>
  <si>
    <t>23127</t>
  </si>
  <si>
    <t>FELTCRAFT GIRL NICOLE KIT</t>
  </si>
  <si>
    <t>22311</t>
  </si>
  <si>
    <t xml:space="preserve">OFFICE MUG WARMER BLACK+SILVER </t>
  </si>
  <si>
    <t>84509A</t>
  </si>
  <si>
    <t>SET OF 4 ENGLISH ROSE PLACEMATS</t>
  </si>
  <si>
    <t>22782</t>
  </si>
  <si>
    <t xml:space="preserve">SET 3 WICKER STORAGE BASKETS </t>
  </si>
  <si>
    <t>23239</t>
  </si>
  <si>
    <t>SET OF 4 KNICK KNACK TINS POPPIES</t>
  </si>
  <si>
    <t>21429</t>
  </si>
  <si>
    <t>RED GINGHAM ROSE JEWELLERY BOX</t>
  </si>
  <si>
    <t>22029</t>
  </si>
  <si>
    <t>SPACEBOY BIRTHDAY CARD</t>
  </si>
  <si>
    <t>84032A</t>
  </si>
  <si>
    <t>CHARLIE+LOLA PINK HOT WATER BOTTLE</t>
  </si>
  <si>
    <t>22653</t>
  </si>
  <si>
    <t xml:space="preserve">BUTTON BOX </t>
  </si>
  <si>
    <t>79000</t>
  </si>
  <si>
    <t>MOROCCAN TEA GLASS</t>
  </si>
  <si>
    <t>23188</t>
  </si>
  <si>
    <t>VINTAGE  2 METRE FOLDING RULER</t>
  </si>
  <si>
    <t xml:space="preserve">SWEETHEART 3 TIER CAKE STAND </t>
  </si>
  <si>
    <t>21993</t>
  </si>
  <si>
    <t>FLORAL FOLK STATIONERY SET</t>
  </si>
  <si>
    <t>22812</t>
  </si>
  <si>
    <t>PACK 3 BOXES CHRISTMAS PANNETONE</t>
  </si>
  <si>
    <t>22563</t>
  </si>
  <si>
    <t>HAPPY STENCIL CRAFT</t>
  </si>
  <si>
    <t>22687</t>
  </si>
  <si>
    <t>DOORMAT CHRISTMAS VILLAGE</t>
  </si>
  <si>
    <t>22432</t>
  </si>
  <si>
    <t>WATERING CAN PINK BUNNY</t>
  </si>
  <si>
    <t>22079</t>
  </si>
  <si>
    <t xml:space="preserve">RIBBON REEL HEARTS DESIGN </t>
  </si>
  <si>
    <t>22165</t>
  </si>
  <si>
    <t xml:space="preserve">DIAMANTE HEART SHAPED WALL MIRROR, </t>
  </si>
  <si>
    <t>SET 10 LIGHTS NIGHT OWL</t>
  </si>
  <si>
    <t>23065</t>
  </si>
  <si>
    <t>LARGE DECO JEWELLERY STAND</t>
  </si>
  <si>
    <t>23395</t>
  </si>
  <si>
    <t>BELLE JARDINIERE CUSHION COVER</t>
  </si>
  <si>
    <t>22855</t>
  </si>
  <si>
    <t xml:space="preserve">FINE WICKER HEART </t>
  </si>
  <si>
    <t>22962</t>
  </si>
  <si>
    <t>JAM JAR WITH PINK LID</t>
  </si>
  <si>
    <t>22460</t>
  </si>
  <si>
    <t>EMBOSSED GLASS TEALIGHT HOLDER</t>
  </si>
  <si>
    <t>22567</t>
  </si>
  <si>
    <t>20 DOLLY PEGS RETROSPOT</t>
  </si>
  <si>
    <t>22244</t>
  </si>
  <si>
    <t>3 HOOK HANGER MAGIC GARDEN</t>
  </si>
  <si>
    <t>23308</t>
  </si>
  <si>
    <t xml:space="preserve">SET OF 60 VINTAGE LEAF CAKE CASES </t>
  </si>
  <si>
    <t>22967</t>
  </si>
  <si>
    <t>SET 3 SONG BIRD PAPER EGGS ASSORTED</t>
  </si>
  <si>
    <t>22430</t>
  </si>
  <si>
    <t>ENAMEL WATERING CAN CREAM</t>
  </si>
  <si>
    <t>23053</t>
  </si>
  <si>
    <t>RECYCLED ACAPULCO MAT PINK</t>
  </si>
  <si>
    <t>21868</t>
  </si>
  <si>
    <t>POTTING SHED TEA MUG</t>
  </si>
  <si>
    <t>22187</t>
  </si>
  <si>
    <t>GREEN CHRISTMAS TREE CARD HOLDER</t>
  </si>
  <si>
    <t>22746</t>
  </si>
  <si>
    <t xml:space="preserve">POPPY'S PLAYHOUSE LIVINGROOM </t>
  </si>
  <si>
    <t>23393</t>
  </si>
  <si>
    <t xml:space="preserve">HOME SWEET HOME CUSHION COVER </t>
  </si>
  <si>
    <t>23230</t>
  </si>
  <si>
    <t>WRAP ALPHABET DESIGN</t>
  </si>
  <si>
    <t>23051</t>
  </si>
  <si>
    <t>RECYCLED ACAPULCO MAT BLUE</t>
  </si>
  <si>
    <t>20973</t>
  </si>
  <si>
    <t>12 PENCIL SMALL TUBE WOODLAND</t>
  </si>
  <si>
    <t>22360</t>
  </si>
  <si>
    <t>GLASS JAR ENGLISH CONFECTIONERY</t>
  </si>
  <si>
    <t>21135</t>
  </si>
  <si>
    <t>VICTORIAN  METAL POSTCARD SPRING</t>
  </si>
  <si>
    <t>22491</t>
  </si>
  <si>
    <t>PACK OF 12 COLOURED PENCILS</t>
  </si>
  <si>
    <t>23342</t>
  </si>
  <si>
    <t>MINT DINER WALL CLOCK</t>
  </si>
  <si>
    <t>21115</t>
  </si>
  <si>
    <t>ROSE CARAVAN DOORSTOP</t>
  </si>
  <si>
    <t>23035</t>
  </si>
  <si>
    <t>DRAWER KNOB CERAMIC IVORY</t>
  </si>
  <si>
    <t>23323</t>
  </si>
  <si>
    <t xml:space="preserve">WHITE WICKER STAR </t>
  </si>
  <si>
    <t>22465</t>
  </si>
  <si>
    <t>HANGING METAL STAR LANTERN</t>
  </si>
  <si>
    <t>72807C</t>
  </si>
  <si>
    <t>SET/3 VANILLA SCENTED CANDLE IN BOX</t>
  </si>
  <si>
    <t>84968A</t>
  </si>
  <si>
    <t>SET OF 16 VINTAGE ROSE CUTLERY</t>
  </si>
  <si>
    <t>21381</t>
  </si>
  <si>
    <t>MINI WOODEN HAPPY BIRTHDAY GARLAND</t>
  </si>
  <si>
    <t>22778</t>
  </si>
  <si>
    <t>GLASS CLOCHE SMALL</t>
  </si>
  <si>
    <t>21561</t>
  </si>
  <si>
    <t>DINOSAUR LUNCH BOX WITH CUTLERY</t>
  </si>
  <si>
    <t>23346</t>
  </si>
  <si>
    <t>SPACEBOY BEAKER</t>
  </si>
  <si>
    <t>21240</t>
  </si>
  <si>
    <t>BLUE POLKADOT CUP</t>
  </si>
  <si>
    <t>20754</t>
  </si>
  <si>
    <t>RETROSPOT RED WASHING UP GLOVES</t>
  </si>
  <si>
    <t>23461</t>
  </si>
  <si>
    <t>SWEETHEART BIRD HOUSE</t>
  </si>
  <si>
    <t>20828</t>
  </si>
  <si>
    <t>GLITTER BUTTERFLY CLIPS</t>
  </si>
  <si>
    <t>VINTAGE  2 METER FOLDING RULER</t>
  </si>
  <si>
    <t>GREEN 3 PIECE POLKADOT CUTLERY SET</t>
  </si>
  <si>
    <t>22564</t>
  </si>
  <si>
    <t>ALPHABET STENCIL CRAFT</t>
  </si>
  <si>
    <t>23329</t>
  </si>
  <si>
    <t>DECORATIVE WICKER HEART LARGE</t>
  </si>
  <si>
    <t>22810</t>
  </si>
  <si>
    <t>SET OF 6 T-LIGHTS SNOWMEN</t>
  </si>
  <si>
    <t>22604</t>
  </si>
  <si>
    <t>SET OF 4 NAPKIN CHARMS CUTLERY</t>
  </si>
  <si>
    <t>23242</t>
  </si>
  <si>
    <t xml:space="preserve">TREASURE TIN BUFFALO BILL </t>
  </si>
  <si>
    <t>22972</t>
  </si>
  <si>
    <t>CHILDREN'S SPACEBOY MUG</t>
  </si>
  <si>
    <t>22892</t>
  </si>
  <si>
    <t>SET OF SALT AND PEPPER TOADSTOOLS</t>
  </si>
  <si>
    <t>22894</t>
  </si>
  <si>
    <t xml:space="preserve">TABLECLOTH RED APPLES DESIGN </t>
  </si>
  <si>
    <t>23237</t>
  </si>
  <si>
    <t>SET OF 4 KNICK KNACK TINS LEAF</t>
  </si>
  <si>
    <t>21810</t>
  </si>
  <si>
    <t>CHRISTMAS HANGING STAR WITH BELL</t>
  </si>
  <si>
    <t>22592</t>
  </si>
  <si>
    <t>CARDHOLDER HOLLY WREATH METAL</t>
  </si>
  <si>
    <t>22945</t>
  </si>
  <si>
    <t xml:space="preserve">CHRISTMAS METAL TAGS ASSORTED </t>
  </si>
  <si>
    <t>21714</t>
  </si>
  <si>
    <t>CITRONELLA CANDLE GARDEN POT</t>
  </si>
  <si>
    <t>23390</t>
  </si>
  <si>
    <t>DOLLY GIRL MINI BACKPACK</t>
  </si>
  <si>
    <t>DOILEY STORAGE TIN</t>
  </si>
  <si>
    <t>22644</t>
  </si>
  <si>
    <t>CERAMIC CHERRY CAKE MONEY BANK</t>
  </si>
  <si>
    <t>16161P</t>
  </si>
  <si>
    <t xml:space="preserve">WRAP ENGLISH ROSE </t>
  </si>
  <si>
    <t>21201</t>
  </si>
  <si>
    <t xml:space="preserve">TROPICAL  HONEYCOMB PAPER GARLAND </t>
  </si>
  <si>
    <t>21411</t>
  </si>
  <si>
    <t>GINGHAM HEART  DOORSTOP RED</t>
  </si>
  <si>
    <t>22331</t>
  </si>
  <si>
    <t>WOODLAND PARTY BAG + STICKER SET</t>
  </si>
  <si>
    <t>21625</t>
  </si>
  <si>
    <t>VINTAGE UNION JACK APRON</t>
  </si>
  <si>
    <t>22906</t>
  </si>
  <si>
    <t>12 MESSAGE CARDS WITH ENVELOPES</t>
  </si>
  <si>
    <t>21918</t>
  </si>
  <si>
    <t>SET 12 KIDS COLOUR  CHALK STICKS</t>
  </si>
  <si>
    <t>22078</t>
  </si>
  <si>
    <t xml:space="preserve">RIBBON REEL LACE DESIGN </t>
  </si>
  <si>
    <t>85174</t>
  </si>
  <si>
    <t>S/4 CACTI CANDLES</t>
  </si>
  <si>
    <t>22990</t>
  </si>
  <si>
    <t>COTTON APRON PANTRY DESIGN</t>
  </si>
  <si>
    <t>35004B</t>
  </si>
  <si>
    <t>SET OF 3 BLACK FLYING DUCKS</t>
  </si>
  <si>
    <t>22777</t>
  </si>
  <si>
    <t>GLASS CLOCHE LARGE</t>
  </si>
  <si>
    <t>23211</t>
  </si>
  <si>
    <t>RED ROCKING HORSE HAND PAINTED</t>
  </si>
  <si>
    <t>84568</t>
  </si>
  <si>
    <t xml:space="preserve">GIRLS ALPHABET IRON ON PATCHES </t>
  </si>
  <si>
    <t>22843</t>
  </si>
  <si>
    <t>BISCUIT TIN VINTAGE GREEN</t>
  </si>
  <si>
    <t>21313</t>
  </si>
  <si>
    <t xml:space="preserve">GLASS HEART T-LIGHT HOLDER </t>
  </si>
  <si>
    <t>22774</t>
  </si>
  <si>
    <t>RED DRAWER KNOB ACRYLIC EDWARDIAN</t>
  </si>
  <si>
    <t>23290</t>
  </si>
  <si>
    <t>SPACEBOY CHILDRENS BOWL</t>
  </si>
  <si>
    <t>23056</t>
  </si>
  <si>
    <t>FLOWERS CHANDELIER T-LIGHT HOLDER</t>
  </si>
  <si>
    <t>23345</t>
  </si>
  <si>
    <t xml:space="preserve"> DOLLY GIRL BEAKER</t>
  </si>
  <si>
    <t>21976</t>
  </si>
  <si>
    <t>PACK OF 60 MUSHROOM CAKE CASES</t>
  </si>
  <si>
    <t xml:space="preserve">DOORMAT VINTAGE LEAVES DESIGN </t>
  </si>
  <si>
    <t>21990</t>
  </si>
  <si>
    <t>MODERN FLORAL STATIONERY SET</t>
  </si>
  <si>
    <t>23427</t>
  </si>
  <si>
    <t xml:space="preserve">STOOL HOME SWEET HOME </t>
  </si>
  <si>
    <t>22354</t>
  </si>
  <si>
    <t>RETROSPOT PADDED SEAT CUSHION</t>
  </si>
  <si>
    <t>22426</t>
  </si>
  <si>
    <t>ENAMEL WASH BOWL CREAM</t>
  </si>
  <si>
    <t>23504</t>
  </si>
  <si>
    <t>PLAYING CARDS JUBILEE UNION JACK</t>
  </si>
  <si>
    <t>22797</t>
  </si>
  <si>
    <t xml:space="preserve">CHEST OF DRAWERS GINGHAM HEART </t>
  </si>
  <si>
    <t>23212</t>
  </si>
  <si>
    <t>HEART WREATH DECORATION WITH BELL</t>
  </si>
  <si>
    <t>22930</t>
  </si>
  <si>
    <t>BAKING MOULD HEART MILK CHOCOLATE</t>
  </si>
  <si>
    <t>22476</t>
  </si>
  <si>
    <t>EMPIRE UNION JACK TV DINNER TRAY</t>
  </si>
  <si>
    <t>22072</t>
  </si>
  <si>
    <t xml:space="preserve">RED RETROSPOT TEA CUP AND SAUCER </t>
  </si>
  <si>
    <t>22380</t>
  </si>
  <si>
    <t xml:space="preserve">TOY TIDY SPACEBOY  </t>
  </si>
  <si>
    <t>85178</t>
  </si>
  <si>
    <t>VICTORIAN SEWING KIT</t>
  </si>
  <si>
    <t>47599B</t>
  </si>
  <si>
    <t xml:space="preserve">BLUE PARTY BAGS </t>
  </si>
  <si>
    <t>21499</t>
  </si>
  <si>
    <t>BLUE POLKADOT WRAP</t>
  </si>
  <si>
    <t>21563</t>
  </si>
  <si>
    <t xml:space="preserve">RED HEART SHAPE LOVE BUCKET </t>
  </si>
  <si>
    <t>22762</t>
  </si>
  <si>
    <t>CUPBOARD 3 DRAWER MA CAMPAGNE</t>
  </si>
  <si>
    <t>22794</t>
  </si>
  <si>
    <t>SWEETHEART WIRE MAGAZINE RACK</t>
  </si>
  <si>
    <t>22224</t>
  </si>
  <si>
    <t>WHITE LOVEBIRD LANTERN</t>
  </si>
  <si>
    <t>22925</t>
  </si>
  <si>
    <t>BLUE GIANT GARDEN THERMOMETER</t>
  </si>
  <si>
    <t>23190</t>
  </si>
  <si>
    <t xml:space="preserve">BUNDLE OF 3 SCHOOL EXERCISE BOOKS  </t>
  </si>
  <si>
    <t>22963</t>
  </si>
  <si>
    <t>JAM JAR WITH GREEN LID</t>
  </si>
  <si>
    <t>22196</t>
  </si>
  <si>
    <t>SMALL HEART MEASURING SPOONS</t>
  </si>
  <si>
    <t>23266</t>
  </si>
  <si>
    <t>SET OF 3 WOODEN STOCKING DECORATION</t>
  </si>
  <si>
    <t>23542</t>
  </si>
  <si>
    <t xml:space="preserve">WALL ART 70'S ALPHABET </t>
  </si>
  <si>
    <t>23147</t>
  </si>
  <si>
    <t>SINGLE ANTIQUE ROSE HOOK IVORY</t>
  </si>
  <si>
    <t>22773</t>
  </si>
  <si>
    <t>GREEN DRAWER KNOB ACRYLIC EDWARDIAN</t>
  </si>
  <si>
    <t>23341</t>
  </si>
  <si>
    <t>PINK DINER WALL CLOCK</t>
  </si>
  <si>
    <t>22823</t>
  </si>
  <si>
    <t>CHEST NATURAL WOOD 20 DRAWERS</t>
  </si>
  <si>
    <t>22974</t>
  </si>
  <si>
    <t>CHILDRENS DOLLY GIRL MUG</t>
  </si>
  <si>
    <t>23100</t>
  </si>
  <si>
    <t>SILVER BELLS TABLE DECORATION</t>
  </si>
  <si>
    <t>22283</t>
  </si>
  <si>
    <t>6 EGG HOUSE PAINTED WOOD</t>
  </si>
  <si>
    <t>21985</t>
  </si>
  <si>
    <t xml:space="preserve">PACK OF 12 HEARTS DESIGN TISSUES </t>
  </si>
  <si>
    <t>23407</t>
  </si>
  <si>
    <t>SET OF 2 TRAYS HOME SWEET HOME</t>
  </si>
  <si>
    <t>20829</t>
  </si>
  <si>
    <t>GLITTER HANGING BUTTERFLY STRING</t>
  </si>
  <si>
    <t>23333</t>
  </si>
  <si>
    <t>IVORY WICKER HEART MEDIUM</t>
  </si>
  <si>
    <t>23164</t>
  </si>
  <si>
    <t>REGENCY CAKE SLICE</t>
  </si>
  <si>
    <t>84832</t>
  </si>
  <si>
    <t>ZINC WILLIE WINKIE  CANDLE STICK</t>
  </si>
  <si>
    <t>22278</t>
  </si>
  <si>
    <t>OVERNIGHT BAG VINTAGE ROSE PAISLEY</t>
  </si>
  <si>
    <t>21239</t>
  </si>
  <si>
    <t>PINK  POLKADOT CUP</t>
  </si>
  <si>
    <t>22927</t>
  </si>
  <si>
    <t>GREEN GIANT GARDEN THERMOMETER</t>
  </si>
  <si>
    <t>22737</t>
  </si>
  <si>
    <t xml:space="preserve">RIBBON REEL CHRISTMAS PRESENT </t>
  </si>
  <si>
    <t>23264</t>
  </si>
  <si>
    <t>SET OF 3 WOODEN SLEIGH DECORATIONS</t>
  </si>
  <si>
    <t>72802C</t>
  </si>
  <si>
    <t>VANILLA SCENT CANDLE JEWELLED BOX</t>
  </si>
  <si>
    <t>22691</t>
  </si>
  <si>
    <t>DOORMAT WELCOME SUNRISE</t>
  </si>
  <si>
    <t>22702</t>
  </si>
  <si>
    <t>BLACK AND WHITE CAT BOWL</t>
  </si>
  <si>
    <t>22045</t>
  </si>
  <si>
    <t>SPACEBOY GIFT WRAP</t>
  </si>
  <si>
    <t>22660</t>
  </si>
  <si>
    <t>DOORMAT I LOVE LONDON</t>
  </si>
  <si>
    <t>21781</t>
  </si>
  <si>
    <t>MA CAMPAGNE CUTLERY BOX</t>
  </si>
  <si>
    <t>22433</t>
  </si>
  <si>
    <t>WATERING CAN GREEN DINOSAUR</t>
  </si>
  <si>
    <t>22130</t>
  </si>
  <si>
    <t xml:space="preserve">PARTY CONE CHRISTMAS DECORATION </t>
  </si>
  <si>
    <t>21109</t>
  </si>
  <si>
    <t>LARGE CAKE TOWEL CHOCOLATE SPOTS</t>
  </si>
  <si>
    <t>22329</t>
  </si>
  <si>
    <t>ROUND CONTAINER SET OF 5 RETROSPOT</t>
  </si>
  <si>
    <t>23146</t>
  </si>
  <si>
    <t>TRIPLE HOOK ANTIQUE IVORY ROSE</t>
  </si>
  <si>
    <t>22902</t>
  </si>
  <si>
    <t>TOTE BAG I LOVE LONDON</t>
  </si>
  <si>
    <t>22582</t>
  </si>
  <si>
    <t>PACK OF 6 SWEETIE GIFT BOXES</t>
  </si>
  <si>
    <t>22792</t>
  </si>
  <si>
    <t>FLUTED ANTIQUE CANDLE HOLDER</t>
  </si>
  <si>
    <t>22241</t>
  </si>
  <si>
    <t>GARLAND WOODEN HAPPY EASTER</t>
  </si>
  <si>
    <t>35961</t>
  </si>
  <si>
    <t>FOLKART ZINC HEART CHRISTMAS DEC</t>
  </si>
  <si>
    <t>N0 SINGING METAL SIGN</t>
  </si>
  <si>
    <t>23054</t>
  </si>
  <si>
    <t>RECYCLED ACAPULCO MAT LAVENDER</t>
  </si>
  <si>
    <t>21012</t>
  </si>
  <si>
    <t>ANTIQUE ALL GLASS CANDLESTICK</t>
  </si>
  <si>
    <t>22965</t>
  </si>
  <si>
    <t>3 TRADITIONAl BISCUIT CUTTERS  SET</t>
  </si>
  <si>
    <t>22830</t>
  </si>
  <si>
    <t>UTILTY CABINET WITH HOOKS</t>
  </si>
  <si>
    <t>22700</t>
  </si>
  <si>
    <t>BLACK AND WHITE DOG BOWL</t>
  </si>
  <si>
    <t>23196</t>
  </si>
  <si>
    <t>VINTAGE LEAF MAGNETIC NOTEPAD</t>
  </si>
  <si>
    <t>22833</t>
  </si>
  <si>
    <t>HALL CABINET WITH 3 DRAWERS</t>
  </si>
  <si>
    <t>22175</t>
  </si>
  <si>
    <t>PINK OWL SOFT TOY</t>
  </si>
  <si>
    <t>22361</t>
  </si>
  <si>
    <t>GLASS JAR DAISY FRESH COTTON WOOL</t>
  </si>
  <si>
    <t>22805</t>
  </si>
  <si>
    <t>BLUE DRAWER KNOB ACRYLIC EDWARDIAN</t>
  </si>
  <si>
    <t>21500</t>
  </si>
  <si>
    <t xml:space="preserve">PINK POLKADOT WRAP </t>
  </si>
  <si>
    <t>22822</t>
  </si>
  <si>
    <t>CREAM WALL PLANTER HEART SHAPED</t>
  </si>
  <si>
    <t>47559B</t>
  </si>
  <si>
    <t>TEA TIME OVEN GLOVE</t>
  </si>
  <si>
    <t>22933</t>
  </si>
  <si>
    <t>BAKING MOULD EASTER EGG MILK CHOC</t>
  </si>
  <si>
    <t>22610</t>
  </si>
  <si>
    <t>PENS ASSORTED FUNNY FACE</t>
  </si>
  <si>
    <t>21735</t>
  </si>
  <si>
    <t>TWO DOOR CURIO CABINET</t>
  </si>
  <si>
    <t>STOP FOR TEA WALL ART</t>
  </si>
  <si>
    <t>84596B</t>
  </si>
  <si>
    <t>SMALL DOLLY MIX DESIGN ORANGE BOWL</t>
  </si>
  <si>
    <t>23292</t>
  </si>
  <si>
    <t>SPACEBOY CHILDRENS CUP</t>
  </si>
  <si>
    <t>22358</t>
  </si>
  <si>
    <t xml:space="preserve">KINGS CHOICE TEA CADDY </t>
  </si>
  <si>
    <t>22064</t>
  </si>
  <si>
    <t xml:space="preserve">PINK DOUGHNUT TRINKET POT </t>
  </si>
  <si>
    <t>21452</t>
  </si>
  <si>
    <t>TOADSTOOL MONEY BOX</t>
  </si>
  <si>
    <t>21078</t>
  </si>
  <si>
    <t xml:space="preserve">SET/20 STRAWBERRY PAPER NAPKINS </t>
  </si>
  <si>
    <t>23131</t>
  </si>
  <si>
    <t>MISTLETOE HEART WREATH CREAM</t>
  </si>
  <si>
    <t>23424</t>
  </si>
  <si>
    <t>GINGHAM RECIPE BOOK BOX</t>
  </si>
  <si>
    <t>72351A</t>
  </si>
  <si>
    <t>SET/6 TURQUOISE BUTTERFLY T-LIGHTS</t>
  </si>
  <si>
    <t>23681</t>
  </si>
  <si>
    <t>LUNCH BAG RED VINTAGE DOILY</t>
  </si>
  <si>
    <t>21730</t>
  </si>
  <si>
    <t>GLASS STAR FROSTED T-LIGHT HOLDER</t>
  </si>
  <si>
    <t>22670</t>
  </si>
  <si>
    <t>FRENCH WC SIGN BLUE METAL</t>
  </si>
  <si>
    <t>21556</t>
  </si>
  <si>
    <t>CERAMIC STRAWBERRY MONEY BOX</t>
  </si>
  <si>
    <t>23316</t>
  </si>
  <si>
    <t xml:space="preserve">RED REFECTORY CLOCK </t>
  </si>
  <si>
    <t>22672</t>
  </si>
  <si>
    <t>FRENCH BATHROOM SIGN BLUE METAL</t>
  </si>
  <si>
    <t>22937</t>
  </si>
  <si>
    <t>BAKING MOULD CHOCOLATE CUPCAKES</t>
  </si>
  <si>
    <t>22075</t>
  </si>
  <si>
    <t xml:space="preserve">6 RIBBONS ELEGANT CHRISTMAS </t>
  </si>
  <si>
    <t>21107</t>
  </si>
  <si>
    <t xml:space="preserve">CREAM SLICE FLANNEL PINK SPOT </t>
  </si>
  <si>
    <t>23367</t>
  </si>
  <si>
    <t xml:space="preserve">SET 12 COLOUR PENCILS SPACEBOY </t>
  </si>
  <si>
    <t>21903</t>
  </si>
  <si>
    <t>MAN FLU METAL SIGN</t>
  </si>
  <si>
    <t>22215</t>
  </si>
  <si>
    <t>CAKE STAND WHITE TWO TIER LACE</t>
  </si>
  <si>
    <t>23352</t>
  </si>
  <si>
    <t xml:space="preserve">ROLL WRAP 50'S RED CHRISTMAS </t>
  </si>
  <si>
    <t>85062</t>
  </si>
  <si>
    <t>PEARL CRYSTAL PUMPKIN T-LIGHT HLDR</t>
  </si>
  <si>
    <t>23489</t>
  </si>
  <si>
    <t>VINTAGE BELLS GARLAND</t>
  </si>
  <si>
    <t>85184C</t>
  </si>
  <si>
    <t>S/4 VALENTINE DECOUPAGE HEART BOX</t>
  </si>
  <si>
    <t>22374</t>
  </si>
  <si>
    <t>AIRLINE BAG VINTAGE JET SET RED</t>
  </si>
  <si>
    <t>84032B</t>
  </si>
  <si>
    <t>CHARLIE + LOLA RED HOT WATER BOTTLE</t>
  </si>
  <si>
    <t>21875</t>
  </si>
  <si>
    <t>KINGS CHOICE MUG</t>
  </si>
  <si>
    <t>23406</t>
  </si>
  <si>
    <t>HOME SWEET HOME KEY HOLDER</t>
  </si>
  <si>
    <t>22807</t>
  </si>
  <si>
    <t>SET OF 6 T-LIGHTS TOADSTOOLS</t>
  </si>
  <si>
    <t>22573</t>
  </si>
  <si>
    <t>STAR WOODEN CHRISTMAS DECORATION</t>
  </si>
  <si>
    <t>23265</t>
  </si>
  <si>
    <t>SET OF 3 WOODEN TREE DECORATIONS</t>
  </si>
  <si>
    <t>22743</t>
  </si>
  <si>
    <t>MAKE YOUR OWN FLOWERPOWER CARD KIT</t>
  </si>
  <si>
    <t>22811</t>
  </si>
  <si>
    <t xml:space="preserve">SET OF 6 T-LIGHTS CACTI </t>
  </si>
  <si>
    <t>22437</t>
  </si>
  <si>
    <t>SET OF 9 BLACK SKULL BALLOONS</t>
  </si>
  <si>
    <t>21328</t>
  </si>
  <si>
    <t xml:space="preserve">BALLOONS  WRITING SET </t>
  </si>
  <si>
    <t>23400</t>
  </si>
  <si>
    <t>SHELF WITH 4 HOOKS HOME SWEET HOME</t>
  </si>
  <si>
    <t>22167</t>
  </si>
  <si>
    <t xml:space="preserve"> OVAL WALL MIRROR DIAMANTE </t>
  </si>
  <si>
    <t>20978</t>
  </si>
  <si>
    <t>36 PENCILS TUBE SKULLS</t>
  </si>
  <si>
    <t>84796B</t>
  </si>
  <si>
    <t>BLUE SAVANNAH PICNIC HAMPER FOR 2</t>
  </si>
  <si>
    <t>84969</t>
  </si>
  <si>
    <t>BOX OF 6 ASSORTED COLOUR TEASPOONS</t>
  </si>
  <si>
    <t>11001</t>
  </si>
  <si>
    <t>ASSTD DESIGN RACING CAR PEN</t>
  </si>
  <si>
    <t>22440</t>
  </si>
  <si>
    <t>BALLOON WATER BOMB PACK OF 35</t>
  </si>
  <si>
    <t>23048</t>
  </si>
  <si>
    <t>SET OF 10 LANTERNS FAIRY LIGHT STAR</t>
  </si>
  <si>
    <t>20983</t>
  </si>
  <si>
    <t>12 PENCILS TALL TUBE RED RETROSPOT</t>
  </si>
  <si>
    <t>22282</t>
  </si>
  <si>
    <t>12 EGG HOUSE PAINTED WOOD</t>
  </si>
  <si>
    <t>23498</t>
  </si>
  <si>
    <t xml:space="preserve">CLASSIC BICYCLE CLIPS </t>
  </si>
  <si>
    <t>21811</t>
  </si>
  <si>
    <t>HANGING HEART WITH BELL</t>
  </si>
  <si>
    <t>22851</t>
  </si>
  <si>
    <t xml:space="preserve">SET 20 NAPKINS FAIRY CAKES DESIGN </t>
  </si>
  <si>
    <t>84997d</t>
  </si>
  <si>
    <t>BICYCLE SAFTEY WALL ART</t>
  </si>
  <si>
    <t>23396</t>
  </si>
  <si>
    <t>LE JARDIN BOTANIQUE CUSHION COVER</t>
  </si>
  <si>
    <t>37500</t>
  </si>
  <si>
    <t>TEA TIME TEAPOT IN GIFT BOX</t>
  </si>
  <si>
    <t>22070</t>
  </si>
  <si>
    <t xml:space="preserve">SMALL RED RETROSPOT MUG IN BOX </t>
  </si>
  <si>
    <t>21495</t>
  </si>
  <si>
    <t>SKULLS AND CROSSBONES WRAP</t>
  </si>
  <si>
    <t>23401</t>
  </si>
  <si>
    <t>RUSTIC MIRROR WITH LACE HEART</t>
  </si>
  <si>
    <t>23412</t>
  </si>
  <si>
    <t>HEART MIRROR ANTIQUE WHITE</t>
  </si>
  <si>
    <t>22548</t>
  </si>
  <si>
    <t>HEADS AND TAILS SPORTING FUN</t>
  </si>
  <si>
    <t>22425</t>
  </si>
  <si>
    <t>ENAMEL COLANDER CREAM</t>
  </si>
  <si>
    <t>23437</t>
  </si>
  <si>
    <t xml:space="preserve"> 50'S CHRISTMAS GIFT BAG LARGE</t>
  </si>
  <si>
    <t>21700</t>
  </si>
  <si>
    <t>BIG DOUGHNUT FRIDGE MAGNETS</t>
  </si>
  <si>
    <t>20977</t>
  </si>
  <si>
    <t>36 PENCILS TUBE WOODLAND</t>
  </si>
  <si>
    <t>16156S</t>
  </si>
  <si>
    <t xml:space="preserve">WRAP PINK FAIRY CAKES </t>
  </si>
  <si>
    <t>22829</t>
  </si>
  <si>
    <t>SWEETHEART WIRE WALL TIDY</t>
  </si>
  <si>
    <t>22736</t>
  </si>
  <si>
    <t xml:space="preserve">RIBBON REEL MAKING SNOWMEN </t>
  </si>
  <si>
    <t>22483</t>
  </si>
  <si>
    <t xml:space="preserve">RED GINGHAM TEDDY BEAR </t>
  </si>
  <si>
    <t>23371</t>
  </si>
  <si>
    <t xml:space="preserve">SET 36 COLOUR PENCILS SPACEBOY </t>
  </si>
  <si>
    <t>84950</t>
  </si>
  <si>
    <t>ASSORTED COLOUR T-LIGHT HOLDER</t>
  </si>
  <si>
    <t>21982</t>
  </si>
  <si>
    <t xml:space="preserve">PACK OF 12 SUKI TISSUES </t>
  </si>
  <si>
    <t>22441</t>
  </si>
  <si>
    <t>GROW YOUR OWN BASIL IN ENAMEL MUG</t>
  </si>
  <si>
    <t>23330</t>
  </si>
  <si>
    <t>DECORATIVE WICKER HEART MEDIUM</t>
  </si>
  <si>
    <t>HANGING JAM JAR T-LIGHT HOLDERS</t>
  </si>
  <si>
    <t>85175</t>
  </si>
  <si>
    <t>CACTI T-LIGHT CANDLES</t>
  </si>
  <si>
    <t>22185</t>
  </si>
  <si>
    <t>SLATE TILE NATURAL HANGING</t>
  </si>
  <si>
    <t>84997b</t>
  </si>
  <si>
    <t>23029</t>
  </si>
  <si>
    <t>DRAWER KNOB CRACKLE GLAZE GREEN</t>
  </si>
  <si>
    <t>21813</t>
  </si>
  <si>
    <t>GARLAND WITH STARS AND BELLS</t>
  </si>
  <si>
    <t>21896</t>
  </si>
  <si>
    <t>POTTING SHED TWINE</t>
  </si>
  <si>
    <t>23197</t>
  </si>
  <si>
    <t>SKETCHBOOK MAGNETIC SHOPPING LIST</t>
  </si>
  <si>
    <t>22914</t>
  </si>
  <si>
    <t>BLUE COAT RACK PARIS FASHION</t>
  </si>
  <si>
    <t>22983</t>
  </si>
  <si>
    <t>CARD BILLBOARD FONT</t>
  </si>
  <si>
    <t>46000S</t>
  </si>
  <si>
    <t>POLYESTER FILLER PAD 40x40cm</t>
  </si>
  <si>
    <t>21069</t>
  </si>
  <si>
    <t>VINTAGE BILLBOARD TEA MUG</t>
  </si>
  <si>
    <t>22030</t>
  </si>
  <si>
    <t>SWALLOWS GREETING CARD</t>
  </si>
  <si>
    <t>23252</t>
  </si>
  <si>
    <t xml:space="preserve">VINTAGE RED ENAMEL TRIM JUG </t>
  </si>
  <si>
    <t>23093</t>
  </si>
  <si>
    <t xml:space="preserve">SMALL PARISIENNE HEART PHOTO FRAME </t>
  </si>
  <si>
    <t>23326</t>
  </si>
  <si>
    <t>HANGING MINI COLOURED BOTTLES</t>
  </si>
  <si>
    <t>21989</t>
  </si>
  <si>
    <t>PACK OF 20 SKULL PAPER NAPKINS</t>
  </si>
  <si>
    <t>21471</t>
  </si>
  <si>
    <t>STRAWBERRY RAFFIA FOOD COVER</t>
  </si>
  <si>
    <t>23079</t>
  </si>
  <si>
    <t xml:space="preserve">TOADSTOOL BEDSIDE LIGHT </t>
  </si>
  <si>
    <t>22601</t>
  </si>
  <si>
    <t>CHRISTMAS RETROSPOT ANGEL WOOD</t>
  </si>
  <si>
    <t>23501</t>
  </si>
  <si>
    <t>KEY RING BASEBALL BOOT UNION JACK</t>
  </si>
  <si>
    <t>22478</t>
  </si>
  <si>
    <t xml:space="preserve">BIRDHOUSE GARDEN MARKER </t>
  </si>
  <si>
    <t>84997c</t>
  </si>
  <si>
    <t>37448</t>
  </si>
  <si>
    <t>CERAMIC CAKE DESIGN SPOTTED MUG</t>
  </si>
  <si>
    <t>21794</t>
  </si>
  <si>
    <t>CLASSIC FRENCH STYLE BASKET NATURAL</t>
  </si>
  <si>
    <t>82494l</t>
  </si>
  <si>
    <t>23403</t>
  </si>
  <si>
    <t>LETTER HOLDER HOME SWEET HOME</t>
  </si>
  <si>
    <t>10135</t>
  </si>
  <si>
    <t>COLOURING PENCILS BROWN TUBE</t>
  </si>
  <si>
    <t>21042</t>
  </si>
  <si>
    <t xml:space="preserve">RED RETROSPOT APRON </t>
  </si>
  <si>
    <t>22574</t>
  </si>
  <si>
    <t>HEART WOODEN CHRISTMAS DECORATION</t>
  </si>
  <si>
    <t>21900</t>
  </si>
  <si>
    <t>KEY FOB , SHED</t>
  </si>
  <si>
    <t>23302</t>
  </si>
  <si>
    <t>KNEELING MAT HOUSEWORK  DESIGN</t>
  </si>
  <si>
    <t>22571</t>
  </si>
  <si>
    <t xml:space="preserve">ROCKING HORSE RED CHRISTMAS </t>
  </si>
  <si>
    <t>22763</t>
  </si>
  <si>
    <t>KEY CABINET MA CAMPAGNE</t>
  </si>
  <si>
    <t>23436</t>
  </si>
  <si>
    <t xml:space="preserve">VINTAGE CHRISTMAS GIFT BAG LARGE </t>
  </si>
  <si>
    <t>85038</t>
  </si>
  <si>
    <t>6 CHOCOLATE LOVE HEART T-LIGHTS</t>
  </si>
  <si>
    <t>23445</t>
  </si>
  <si>
    <t>ICE CREAM BUBBLES</t>
  </si>
  <si>
    <t>22357</t>
  </si>
  <si>
    <t>KINGS CHOICE BISCUIT TIN</t>
  </si>
  <si>
    <t>21878</t>
  </si>
  <si>
    <t>PACK OF 6 SANDCASTLE FLAGS ASSORTED</t>
  </si>
  <si>
    <t>22377</t>
  </si>
  <si>
    <t xml:space="preserve">BOTTLE BAG RETROSPOT </t>
  </si>
  <si>
    <t>22704</t>
  </si>
  <si>
    <t xml:space="preserve">WRAP RED APPLES </t>
  </si>
  <si>
    <t>22121</t>
  </si>
  <si>
    <t xml:space="preserve">NOEL WOODEN BLOCK LETTERS </t>
  </si>
  <si>
    <t>21592</t>
  </si>
  <si>
    <t xml:space="preserve">RETROSPOT CIGAR BOX MATCHES </t>
  </si>
  <si>
    <t>22732</t>
  </si>
  <si>
    <t xml:space="preserve">3D VINTAGE CHRISTMAS STICKERS </t>
  </si>
  <si>
    <t>23031</t>
  </si>
  <si>
    <t>DRAWER KNOB CRACKLE GLAZE PINK</t>
  </si>
  <si>
    <t>21249</t>
  </si>
  <si>
    <t xml:space="preserve">WOODLAND  HEIGHT CHART STICKERS </t>
  </si>
  <si>
    <t>22107</t>
  </si>
  <si>
    <t>PIZZA PLATE IN BOX</t>
  </si>
  <si>
    <t>22920</t>
  </si>
  <si>
    <t>HERB MARKER BASIL</t>
  </si>
  <si>
    <t>82581</t>
  </si>
  <si>
    <t>TOILET METAL SIGN</t>
  </si>
  <si>
    <t>22588</t>
  </si>
  <si>
    <t>CARD HOLDER GINGHAM HEART</t>
  </si>
  <si>
    <t>23028</t>
  </si>
  <si>
    <t>DRAWER KNOB CRACKLE GLAZE BLUE</t>
  </si>
  <si>
    <t>23005</t>
  </si>
  <si>
    <t>TRAVEL CARD WALLET I LOVE LONDON</t>
  </si>
  <si>
    <t>22973</t>
  </si>
  <si>
    <t>CHILDREN'S CIRCUS PARADE MUG</t>
  </si>
  <si>
    <t>23161</t>
  </si>
  <si>
    <t>REGENCY CAKE FORK</t>
  </si>
  <si>
    <t>23232</t>
  </si>
  <si>
    <t>WRAP VINTAGE LEAF DESIGN</t>
  </si>
  <si>
    <t>23213</t>
  </si>
  <si>
    <t>STAR WREATH DECORATION WITH BELL</t>
  </si>
  <si>
    <t>40016</t>
  </si>
  <si>
    <t>CHINESE DRAGON PAPER LANTERNS</t>
  </si>
  <si>
    <t>STRAWBERRY CERAMIC TRINKET POT</t>
  </si>
  <si>
    <t>22509</t>
  </si>
  <si>
    <t xml:space="preserve">SEWING BOX RETROSPOT DESIGN </t>
  </si>
  <si>
    <t>22128</t>
  </si>
  <si>
    <t>PARTY CONES CANDY ASSORTED</t>
  </si>
  <si>
    <t>37450</t>
  </si>
  <si>
    <t>CERAMIC CAKE BOWL + HANGING CAKES</t>
  </si>
  <si>
    <t>22891</t>
  </si>
  <si>
    <t>TEA FOR ONE POLKADOT</t>
  </si>
  <si>
    <t>84356</t>
  </si>
  <si>
    <t>POMPOM CURTAIN</t>
  </si>
  <si>
    <t>22498</t>
  </si>
  <si>
    <t>WOODEN REGATTA BUNTING</t>
  </si>
  <si>
    <t>21980</t>
  </si>
  <si>
    <t xml:space="preserve">PACK OF 12 RED RETROSPOT TISSUES </t>
  </si>
  <si>
    <t>22156</t>
  </si>
  <si>
    <t xml:space="preserve">HEART DECORATION WITH PEARLS </t>
  </si>
  <si>
    <t>21718</t>
  </si>
  <si>
    <t xml:space="preserve">RED METAL BEACH SPADE </t>
  </si>
  <si>
    <t>23046</t>
  </si>
  <si>
    <t>PAPER LANTERN 9 POINT DELUXE STAR</t>
  </si>
  <si>
    <t>20751</t>
  </si>
  <si>
    <t>FUNKY WASHING UP GLOVES ASSORTED</t>
  </si>
  <si>
    <t>23438</t>
  </si>
  <si>
    <t xml:space="preserve"> RED SPOT GIFT BAG LARGE</t>
  </si>
  <si>
    <t>23233</t>
  </si>
  <si>
    <t>WRAP POPPIES  DESIGN</t>
  </si>
  <si>
    <t>21506</t>
  </si>
  <si>
    <t xml:space="preserve">FANCY FONT BIRTHDAY CARD, </t>
  </si>
  <si>
    <t>22996</t>
  </si>
  <si>
    <t>TRAVEL CARD WALLET VINTAGE TICKET</t>
  </si>
  <si>
    <t>23152</t>
  </si>
  <si>
    <t xml:space="preserve">IVORY SWEETHEART WIRE LETTER RACK </t>
  </si>
  <si>
    <t>22733</t>
  </si>
  <si>
    <t>3D TRADITIONAL CHRISTMAS STICKERS</t>
  </si>
  <si>
    <t>23315</t>
  </si>
  <si>
    <t>IVORY REFECTORY CLOCK</t>
  </si>
  <si>
    <t>22059</t>
  </si>
  <si>
    <t>CERAMIC STRAWBERRY DESIGN MUG</t>
  </si>
  <si>
    <t>23251</t>
  </si>
  <si>
    <t xml:space="preserve">VINTAGE RED ENAMEL TRIM MUG </t>
  </si>
  <si>
    <t>22744</t>
  </si>
  <si>
    <t>MAKE YOUR OWN MONSOON CARD KIT</t>
  </si>
  <si>
    <t>21609</t>
  </si>
  <si>
    <t>SET 12 LAVENDER  BOTANICAL T-LIGHTS</t>
  </si>
  <si>
    <t>22593</t>
  </si>
  <si>
    <t>CHRISTMAS GINGHAM STAR</t>
  </si>
  <si>
    <t>22747</t>
  </si>
  <si>
    <t>POPPY'S PLAYHOUSE BATHROOM</t>
  </si>
  <si>
    <t>22055</t>
  </si>
  <si>
    <t>MINI CAKE STAND  HANGING STRAWBERY</t>
  </si>
  <si>
    <t>DOG LICENCE WALL ART</t>
  </si>
  <si>
    <t>23360</t>
  </si>
  <si>
    <t>SET 8 CANDLES VINTAGE DOILY</t>
  </si>
  <si>
    <t>22863</t>
  </si>
  <si>
    <t>SOAP DISH BROCANTE</t>
  </si>
  <si>
    <t>23370</t>
  </si>
  <si>
    <t>SET 36 COLOURING PENCILS DOILY</t>
  </si>
  <si>
    <t>23536</t>
  </si>
  <si>
    <t>VILLAGE SHOW WALL ART</t>
  </si>
  <si>
    <t>22831</t>
  </si>
  <si>
    <t>WHITE BROCANTE SOAP DISH</t>
  </si>
  <si>
    <t>22955</t>
  </si>
  <si>
    <t xml:space="preserve">36 FOIL STAR CAKE CASES </t>
  </si>
  <si>
    <t>23227</t>
  </si>
  <si>
    <t xml:space="preserve">FILIGREE HEART BUTTERFLY WHITE </t>
  </si>
  <si>
    <t>22935</t>
  </si>
  <si>
    <t>BAKING MOULD ROSE MILK CHOCOLATE</t>
  </si>
  <si>
    <t>23020</t>
  </si>
  <si>
    <t>GLASS  SONGBIRD STORAGE JAR</t>
  </si>
  <si>
    <t>23291</t>
  </si>
  <si>
    <t>DOLLY GIRL CHILDRENS CUP</t>
  </si>
  <si>
    <t>23490</t>
  </si>
  <si>
    <t>T-LIGHT HOLDER HANGING LOVE BIRD</t>
  </si>
  <si>
    <t>22101</t>
  </si>
  <si>
    <t>MIRROR MOSAIC VOTIVE HOLDER</t>
  </si>
  <si>
    <t>47504K</t>
  </si>
  <si>
    <t>ENGLISH ROSE GARDEN SECATEURS</t>
  </si>
  <si>
    <t>23500</t>
  </si>
  <si>
    <t xml:space="preserve">KEY RING BASEBALL BOOT ASSORTED </t>
  </si>
  <si>
    <t>21864</t>
  </si>
  <si>
    <t xml:space="preserve">UNION JACK FLAG PASSPORT COVER </t>
  </si>
  <si>
    <t>22414</t>
  </si>
  <si>
    <t xml:space="preserve">DOORMAT NEIGHBOURHOOD WITCH </t>
  </si>
  <si>
    <t>22803</t>
  </si>
  <si>
    <t xml:space="preserve">IVORY EMBROIDERED QUILT </t>
  </si>
  <si>
    <t>20674</t>
  </si>
  <si>
    <t>GREEN POLKADOT BOWL</t>
  </si>
  <si>
    <t>22080</t>
  </si>
  <si>
    <t xml:space="preserve">RIBBON REEL POLKADOTS </t>
  </si>
  <si>
    <t>84880</t>
  </si>
  <si>
    <t>WHITE WIRE EGG HOLDER</t>
  </si>
  <si>
    <t>22788</t>
  </si>
  <si>
    <t>BROCANTE COAT RACK</t>
  </si>
  <si>
    <t>22115</t>
  </si>
  <si>
    <t>METAL SIGN EMPIRE TEA</t>
  </si>
  <si>
    <t>23268</t>
  </si>
  <si>
    <t>SET OF 2 CERAMIC CHRISTMAS REINDEER</t>
  </si>
  <si>
    <t>51014A</t>
  </si>
  <si>
    <t>FEATHER PEN,HOT PINK</t>
  </si>
  <si>
    <t>22897</t>
  </si>
  <si>
    <t>OVEN MITT APPLES DESIGN</t>
  </si>
  <si>
    <t xml:space="preserve">KEEP CALM WALL ART </t>
  </si>
  <si>
    <t>22959</t>
  </si>
  <si>
    <t>WRAP CHRISTMAS VILLAGE</t>
  </si>
  <si>
    <t>23289</t>
  </si>
  <si>
    <t>DOLLY GIRL CHILDRENS BOWL</t>
  </si>
  <si>
    <t>22859</t>
  </si>
  <si>
    <t>EASTER TIN BUNNY BOUQUET</t>
  </si>
  <si>
    <t>21622</t>
  </si>
  <si>
    <t>VINTAGE UNION JACK CUSHION COVER</t>
  </si>
  <si>
    <t>23358</t>
  </si>
  <si>
    <t>HOT STUFF HOT WATER BOTTLE</t>
  </si>
  <si>
    <t>22364</t>
  </si>
  <si>
    <t>GLASS JAR DIGESTIVE BISCUITS</t>
  </si>
  <si>
    <t>22503</t>
  </si>
  <si>
    <t>CABIN BAG VINTAGE PAISLEY</t>
  </si>
  <si>
    <t>23274</t>
  </si>
  <si>
    <t>STAR T-LIGHT HOLDER WILLIE WINKIE</t>
  </si>
  <si>
    <t>85049G</t>
  </si>
  <si>
    <t xml:space="preserve">CHOCOLATE BOX RIBBONS </t>
  </si>
  <si>
    <t>23066</t>
  </si>
  <si>
    <t>SMALL DECO JEWELLERY STAND</t>
  </si>
  <si>
    <t>21591</t>
  </si>
  <si>
    <t xml:space="preserve">COSY HOUR CIGAR BOX MATCHES </t>
  </si>
  <si>
    <t>22186</t>
  </si>
  <si>
    <t>RED STAR CARD HOLDER</t>
  </si>
  <si>
    <t>22928</t>
  </si>
  <si>
    <t>YELLOW GIANT GARDEN THERMOMETER</t>
  </si>
  <si>
    <t>23357</t>
  </si>
  <si>
    <t>HOT WATER BOTTLE SEX BOMB</t>
  </si>
  <si>
    <t>72802B</t>
  </si>
  <si>
    <t>OCEAN SCENT CANDLE IN JEWELLED BOX</t>
  </si>
  <si>
    <t>22579</t>
  </si>
  <si>
    <t>WOODEN TREE CHRISTMAS SCANDINAVIAN</t>
  </si>
  <si>
    <t>37446</t>
  </si>
  <si>
    <t>MINI CAKE STAND WITH HANGING CAKES</t>
  </si>
  <si>
    <t>22932</t>
  </si>
  <si>
    <t>BAKING MOULD TOFFEE CUP CHOCOLATE</t>
  </si>
  <si>
    <t>FAIRY TALE COTTAGE NIGHT LIGHT</t>
  </si>
  <si>
    <t>22477</t>
  </si>
  <si>
    <t>WATERING CAN GARDEN MARKER</t>
  </si>
  <si>
    <t>15039</t>
  </si>
  <si>
    <t>SANDALWOOD FAN</t>
  </si>
  <si>
    <t>21916</t>
  </si>
  <si>
    <t>SET 12 RETRO WHITE CHALK STICKS</t>
  </si>
  <si>
    <t>22931</t>
  </si>
  <si>
    <t>BAKING MOULD HEART WHITE CHOCOLATE</t>
  </si>
  <si>
    <t>20992</t>
  </si>
  <si>
    <t>JAZZ HEARTS PURSE NOTEBOOK</t>
  </si>
  <si>
    <t>23374</t>
  </si>
  <si>
    <t>RED SPOT PAPER GIFT BAG</t>
  </si>
  <si>
    <t>22312</t>
  </si>
  <si>
    <t>OFFICE MUG WARMER POLKADOT</t>
  </si>
  <si>
    <t>84031A</t>
  </si>
  <si>
    <t xml:space="preserve">CHARLIE+LOLA RED HOT WATER BOTTLE </t>
  </si>
  <si>
    <t>23228</t>
  </si>
  <si>
    <t xml:space="preserve">FILIGREE HEART BIRD WHITE </t>
  </si>
  <si>
    <t>23145</t>
  </si>
  <si>
    <t>ZINC T-LIGHT HOLDER STAR LARGE</t>
  </si>
  <si>
    <t>85123a</t>
  </si>
  <si>
    <t>84596F</t>
  </si>
  <si>
    <t>SMALL MARSHMALLOWS PINK BOWL</t>
  </si>
  <si>
    <t>22291</t>
  </si>
  <si>
    <t>HANGING CHICK CREAM DECORATION</t>
  </si>
  <si>
    <t>22824</t>
  </si>
  <si>
    <t>3 TIER SWEETHEART GARDEN SHELF</t>
  </si>
  <si>
    <t>22412</t>
  </si>
  <si>
    <t xml:space="preserve">METAL SIGN NEIGHBOURHOOD WITCH </t>
  </si>
  <si>
    <t>22639</t>
  </si>
  <si>
    <t>SET OF 4 NAPKIN CHARMS HEARTS</t>
  </si>
  <si>
    <t>23231</t>
  </si>
  <si>
    <t>WRAP DOILEY DESIGN</t>
  </si>
  <si>
    <t>21192</t>
  </si>
  <si>
    <t xml:space="preserve">WHITE BELL HONEYCOMB PAPER </t>
  </si>
  <si>
    <t>23094</t>
  </si>
  <si>
    <t>LE GRAND TRAY CHIC SET</t>
  </si>
  <si>
    <t>22199</t>
  </si>
  <si>
    <t>FRYING PAN RED RETROSPOT</t>
  </si>
  <si>
    <t>22183</t>
  </si>
  <si>
    <t>CAKE STAND VICTORIAN FILIGREE MED</t>
  </si>
  <si>
    <t>23155</t>
  </si>
  <si>
    <t xml:space="preserve">KNICKERBOCKERGLORY MAGNET ASSORTED </t>
  </si>
  <si>
    <t>21112</t>
  </si>
  <si>
    <t>SWISS ROLL TOWEL PINK  SPOTS</t>
  </si>
  <si>
    <t>20963</t>
  </si>
  <si>
    <t>APPLE BATH SPONGE</t>
  </si>
  <si>
    <t>23128</t>
  </si>
  <si>
    <t>FELTCRAFT BOY JEAN-PAUL KIT</t>
  </si>
  <si>
    <t>21534</t>
  </si>
  <si>
    <t>DAIRY MAID LARGE MILK JUG</t>
  </si>
  <si>
    <t>22594</t>
  </si>
  <si>
    <t>CHRISTMAS GINGHAM TREE</t>
  </si>
  <si>
    <t>84968F</t>
  </si>
  <si>
    <t>SET OF 16 VINTAGE SKY BLUE CUTLERY</t>
  </si>
  <si>
    <t>23068</t>
  </si>
  <si>
    <t>ALUMINIUM STAMPED HEART</t>
  </si>
  <si>
    <t>23491</t>
  </si>
  <si>
    <t>VINTAGE JINGLE BELLS HEART</t>
  </si>
  <si>
    <t>85061W</t>
  </si>
  <si>
    <t>WHITE JEWELLED HEART DECORATION</t>
  </si>
  <si>
    <t>23235</t>
  </si>
  <si>
    <t>STORAGE TIN VINTAGE LEAF</t>
  </si>
  <si>
    <t>16169E</t>
  </si>
  <si>
    <t>WRAP 50'S  CHRISTMAS</t>
  </si>
  <si>
    <t>23434</t>
  </si>
  <si>
    <t xml:space="preserve">3 RAFFIA RIBBONS 50'S CHRISTMAS </t>
  </si>
  <si>
    <t>21068</t>
  </si>
  <si>
    <t>VINTAGE BILLBOARD LOVE/HATE MUG</t>
  </si>
  <si>
    <t>23075</t>
  </si>
  <si>
    <t>PARLOUR CERAMIC WALL HOOK</t>
  </si>
  <si>
    <t>23394</t>
  </si>
  <si>
    <t>POSTE FRANCE CUSHION COVER</t>
  </si>
  <si>
    <t>35004C</t>
  </si>
  <si>
    <t>SET OF 3 COLOURED  FLYING DUCKS</t>
  </si>
  <si>
    <t>22602</t>
  </si>
  <si>
    <t>RETROSPOT WOODEN HEART DECORATION</t>
  </si>
  <si>
    <t>15058B</t>
  </si>
  <si>
    <t>PINK POLKADOT GARDEN PARASOL</t>
  </si>
  <si>
    <t>20982</t>
  </si>
  <si>
    <t>12 PENCILS TALL TUBE SKULLS</t>
  </si>
  <si>
    <t>22027</t>
  </si>
  <si>
    <t>TEA PARTY BIRTHDAY CARD</t>
  </si>
  <si>
    <t>22534</t>
  </si>
  <si>
    <t xml:space="preserve">MAGIC DRAWING SLATE SPACEBOY </t>
  </si>
  <si>
    <t>22198</t>
  </si>
  <si>
    <t xml:space="preserve">LARGE POPCORN HOLDER </t>
  </si>
  <si>
    <t>23090</t>
  </si>
  <si>
    <t>VINTAGE GLASS T-LIGHT HOLDER</t>
  </si>
  <si>
    <t>22858</t>
  </si>
  <si>
    <t>EASTER TIN KEEPSAKE</t>
  </si>
  <si>
    <t>70006</t>
  </si>
  <si>
    <t>LOVE HEART POCKET WARMER</t>
  </si>
  <si>
    <t>21988</t>
  </si>
  <si>
    <t>PACK OF 6 SKULL PAPER PLATES</t>
  </si>
  <si>
    <t>21870</t>
  </si>
  <si>
    <t>I CAN ONLY PLEASE ONE PERSON MUG</t>
  </si>
  <si>
    <t>22220</t>
  </si>
  <si>
    <t>CAKE STAND LOVEBIRD 2 TIER WHITE</t>
  </si>
  <si>
    <t>22428</t>
  </si>
  <si>
    <t>ENAMEL FIRE BUCKET CREAM</t>
  </si>
  <si>
    <t>72807A</t>
  </si>
  <si>
    <t>SET/3 ROSE CANDLE IN JEWELLED BOX</t>
  </si>
  <si>
    <t>22944</t>
  </si>
  <si>
    <t>CHRISTMAS METAL POSTCARD WITH BELLS</t>
  </si>
  <si>
    <t>21557</t>
  </si>
  <si>
    <t>SET OF 6 FUNKY BEAKERS</t>
  </si>
  <si>
    <t>23378</t>
  </si>
  <si>
    <t>PACK OF 12 50'S CHRISTMAS TISSUES</t>
  </si>
  <si>
    <t>22712</t>
  </si>
  <si>
    <t xml:space="preserve">CARD DOLLY GIRL </t>
  </si>
  <si>
    <t>21034</t>
  </si>
  <si>
    <t>REX CASH+CARRY JUMBO SHOPPER</t>
  </si>
  <si>
    <t>21873</t>
  </si>
  <si>
    <t>IF YOU CAN'T STAND THE HEAT MUG</t>
  </si>
  <si>
    <t>22651</t>
  </si>
  <si>
    <t xml:space="preserve">GENTLEMAN SHIRT REPAIR KIT </t>
  </si>
  <si>
    <t>21713</t>
  </si>
  <si>
    <t>CITRONELLA CANDLE FLOWERPOT</t>
  </si>
  <si>
    <t>21564</t>
  </si>
  <si>
    <t xml:space="preserve">PINK  HEART SHAPE LOVE BUCKET </t>
  </si>
  <si>
    <t>22452</t>
  </si>
  <si>
    <t>MEASURING TAPE BABUSHKA PINK</t>
  </si>
  <si>
    <t>72807B</t>
  </si>
  <si>
    <t>SET/3 OCEAN SCENT CANDLE JEWEL BOX</t>
  </si>
  <si>
    <t>LED TEA LIGHTS</t>
  </si>
  <si>
    <t>15044D</t>
  </si>
  <si>
    <t>RED PAPER PARASOL</t>
  </si>
  <si>
    <t>22223</t>
  </si>
  <si>
    <t>CAKE PLATE LOVEBIRD PINK</t>
  </si>
  <si>
    <t>23160</t>
  </si>
  <si>
    <t>REGENCY TEA SPOON</t>
  </si>
  <si>
    <t>22200</t>
  </si>
  <si>
    <t>FRYING PAN PINK POLKADOT</t>
  </si>
  <si>
    <t>21114</t>
  </si>
  <si>
    <t>LAVENDER SCENTED FABRIC HEART</t>
  </si>
  <si>
    <t>15060B</t>
  </si>
  <si>
    <t>FAIRY CAKE DESIGN UMBRELLA</t>
  </si>
  <si>
    <t>22536</t>
  </si>
  <si>
    <t>MAGIC DRAWING SLATE PURDEY</t>
  </si>
  <si>
    <t>85034C</t>
  </si>
  <si>
    <t>3 ROSE MORRIS BOXED CANDLES</t>
  </si>
  <si>
    <t>21832</t>
  </si>
  <si>
    <t>CHOCOLATE CALCULATOR</t>
  </si>
  <si>
    <t>21245</t>
  </si>
  <si>
    <t xml:space="preserve">GREEN POLKADOT PLATE </t>
  </si>
  <si>
    <t>23317</t>
  </si>
  <si>
    <t xml:space="preserve">BLUE REFECTORY CLOCK </t>
  </si>
  <si>
    <t>21055</t>
  </si>
  <si>
    <t xml:space="preserve">TOOL BOX SOFT TOY </t>
  </si>
  <si>
    <t>22832</t>
  </si>
  <si>
    <t>BROCANTE SHELF WITH HOOKS</t>
  </si>
  <si>
    <t>23148</t>
  </si>
  <si>
    <t>MINIATURE ANTIQUE ROSE HOOK IVORY</t>
  </si>
  <si>
    <t>85035C</t>
  </si>
  <si>
    <t>ROSE 3 WICK MORRIS BOX CANDLE</t>
  </si>
  <si>
    <t>22710</t>
  </si>
  <si>
    <t xml:space="preserve">WRAP I LOVE LONDON </t>
  </si>
  <si>
    <t>22562</t>
  </si>
  <si>
    <t>MONSTERS STENCIL CRAFT</t>
  </si>
  <si>
    <t>21439</t>
  </si>
  <si>
    <t>BASKET OF TOADSTOOLS</t>
  </si>
  <si>
    <t>22119</t>
  </si>
  <si>
    <t>PEACE WOODEN BLOCK LETTERS</t>
  </si>
  <si>
    <t>21056</t>
  </si>
  <si>
    <t>DOCTOR'S BAG SOFT TOY</t>
  </si>
  <si>
    <t>22314</t>
  </si>
  <si>
    <t>OFFICE MUG WARMER CHOC+BLUE</t>
  </si>
  <si>
    <t>23096</t>
  </si>
  <si>
    <t>PETIT TRAY CHIC</t>
  </si>
  <si>
    <t>22852</t>
  </si>
  <si>
    <t>DOG BOWL VINTAGE CREAM</t>
  </si>
  <si>
    <t>21584</t>
  </si>
  <si>
    <t>RETROSPOT SMALL TUBE MATCHES</t>
  </si>
  <si>
    <t>23359</t>
  </si>
  <si>
    <t>SET OF 12 T-LIGHTS VINTAGE DOILY</t>
  </si>
  <si>
    <t>23372</t>
  </si>
  <si>
    <t>SET 36 COLOUR PENCILS DOLLY GIRL</t>
  </si>
  <si>
    <t>23399</t>
  </si>
  <si>
    <t>HOME SWEET HOME HANGING HEART</t>
  </si>
  <si>
    <t>21812</t>
  </si>
  <si>
    <t>GARLAND WITH HEARTS AND BELLS</t>
  </si>
  <si>
    <t>20961</t>
  </si>
  <si>
    <t xml:space="preserve">STRAWBERRY BATH SPONGE </t>
  </si>
  <si>
    <t>23101</t>
  </si>
  <si>
    <t>SILVER STARS TABLE DECORATION</t>
  </si>
  <si>
    <t>20981</t>
  </si>
  <si>
    <t>12 PENCILS TALL TUBE WOODLAND</t>
  </si>
  <si>
    <t>23181</t>
  </si>
  <si>
    <t>BULL DOG BOTTLE TOP WALL CLOCK</t>
  </si>
  <si>
    <t>21329</t>
  </si>
  <si>
    <t xml:space="preserve">DINOSAURS  WRITING SET </t>
  </si>
  <si>
    <t>23122</t>
  </si>
  <si>
    <t>PARTY CHARMS 50 PIECES</t>
  </si>
  <si>
    <t>47570B</t>
  </si>
  <si>
    <t>TEA TIME TABLE CLOTH</t>
  </si>
  <si>
    <t>21586</t>
  </si>
  <si>
    <t>KINGS CHOICE GIANT TUBE MATCHES</t>
  </si>
  <si>
    <t>21845</t>
  </si>
  <si>
    <t>DAIRY MAID STRIPE MUG</t>
  </si>
  <si>
    <t>22526</t>
  </si>
  <si>
    <t xml:space="preserve">WHEELBARROW FOR CHILDREN </t>
  </si>
  <si>
    <t>85015</t>
  </si>
  <si>
    <t>SET OF 12  VINTAGE POSTCARD SET</t>
  </si>
  <si>
    <t>23073</t>
  </si>
  <si>
    <t>GEORGIAN TRINKET BOX</t>
  </si>
  <si>
    <t>22544</t>
  </si>
  <si>
    <t>MINI JIGSAW SPACEBOY</t>
  </si>
  <si>
    <t>22037</t>
  </si>
  <si>
    <t>ROBOT BIRTHDAY CARD</t>
  </si>
  <si>
    <t>22227</t>
  </si>
  <si>
    <t xml:space="preserve">HANGING HEART MIRROR DECORATION </t>
  </si>
  <si>
    <t>22934</t>
  </si>
  <si>
    <t>BAKING MOULD EASTER EGG WHITE CHOC</t>
  </si>
  <si>
    <t>22816</t>
  </si>
  <si>
    <t>CARD MOTORBIKE SANTA</t>
  </si>
  <si>
    <t>21917</t>
  </si>
  <si>
    <t>SET 12 KIDS  WHITE CHALK STICKS</t>
  </si>
  <si>
    <t>22674</t>
  </si>
  <si>
    <t>FRENCH TOILET SIGN BLUE METAL</t>
  </si>
  <si>
    <t>37340</t>
  </si>
  <si>
    <t>MULTICOLOUR SPRING FLOWER MUG</t>
  </si>
  <si>
    <t>51008</t>
  </si>
  <si>
    <t>AFGHAN SLIPPER SOCK PAIR</t>
  </si>
  <si>
    <t>21544</t>
  </si>
  <si>
    <t xml:space="preserve">SKULLS  WATER TRANSFER TATTOOS </t>
  </si>
  <si>
    <t>22789</t>
  </si>
  <si>
    <t>T-LIGHT HOLDER SWEETHEART HANGING</t>
  </si>
  <si>
    <t>16161U</t>
  </si>
  <si>
    <t>WRAP SUKI AND FRIENDS</t>
  </si>
  <si>
    <t>21207</t>
  </si>
  <si>
    <t xml:space="preserve">SKULL AND CROSSBONES  GARLAND </t>
  </si>
  <si>
    <t>23368</t>
  </si>
  <si>
    <t xml:space="preserve">SET 12 COLOUR PENCILS DOLLY GIRL </t>
  </si>
  <si>
    <t>23214</t>
  </si>
  <si>
    <t>JINGLE BELL HEART ANTIQUE GOLD</t>
  </si>
  <si>
    <t>22332</t>
  </si>
  <si>
    <t>SKULLS PARTY BAG + STICKER SET</t>
  </si>
  <si>
    <t>22419</t>
  </si>
  <si>
    <t>LIPSTICK PEN RED</t>
  </si>
  <si>
    <t>22913</t>
  </si>
  <si>
    <t>RED COAT RACK PARIS FASHION</t>
  </si>
  <si>
    <t>22335</t>
  </si>
  <si>
    <t xml:space="preserve">HEART DECORATION PAINTED ZINC </t>
  </si>
  <si>
    <t>22076</t>
  </si>
  <si>
    <t xml:space="preserve">6 RIBBONS EMPIRE  </t>
  </si>
  <si>
    <t>15058A</t>
  </si>
  <si>
    <t>BLUE POLKADOT GARDEN PARASOL</t>
  </si>
  <si>
    <t>21577</t>
  </si>
  <si>
    <t>SAVE THE PLANET COTTON TOTE BAG</t>
  </si>
  <si>
    <t>21578</t>
  </si>
  <si>
    <t>WOODLAND DESIGN  COTTON TOTE BAG</t>
  </si>
  <si>
    <t>PINK HANGING HEART T-LIGHT HOLDER</t>
  </si>
  <si>
    <t>84968D</t>
  </si>
  <si>
    <t>SET OF 16 VINTAGE RED CUTLERY</t>
  </si>
  <si>
    <t>23505</t>
  </si>
  <si>
    <t xml:space="preserve">PLAYING CARDS I LOVE LONDON </t>
  </si>
  <si>
    <t>23270</t>
  </si>
  <si>
    <t xml:space="preserve">SET OF 2 CERAMIC PAINTED HEARTS </t>
  </si>
  <si>
    <t>22479</t>
  </si>
  <si>
    <t>DAISY GARDEN MARKER</t>
  </si>
  <si>
    <t>22853</t>
  </si>
  <si>
    <t>CAT BOWL VINTAGE CREAM</t>
  </si>
  <si>
    <t>21981</t>
  </si>
  <si>
    <t xml:space="preserve">PACK OF 12 WOODLAND TISSUES </t>
  </si>
  <si>
    <t>21111</t>
  </si>
  <si>
    <t>SWISS ROLL TOWEL, CHOCOLATE  SPOTS</t>
  </si>
  <si>
    <t>23483</t>
  </si>
  <si>
    <t>HANGING  BUTTERFLY T-LIGHT HOLDER</t>
  </si>
  <si>
    <t>47566b</t>
  </si>
  <si>
    <t>23273</t>
  </si>
  <si>
    <t>HEART T-LIGHT HOLDER WILLIE WINKIE</t>
  </si>
  <si>
    <t>22161</t>
  </si>
  <si>
    <t xml:space="preserve">HEART DECORATION RUSTIC HANGING </t>
  </si>
  <si>
    <t>23348</t>
  </si>
  <si>
    <t>CHILDRENS TOY COOKING UTENSIL SET</t>
  </si>
  <si>
    <t>22284</t>
  </si>
  <si>
    <t>HEN HOUSE DECORATION</t>
  </si>
  <si>
    <t>22375</t>
  </si>
  <si>
    <t>AIRLINE BAG VINTAGE JET SET BROWN</t>
  </si>
  <si>
    <t>23366</t>
  </si>
  <si>
    <t>SET 12 COLOURING PENCILS DOILY</t>
  </si>
  <si>
    <t>22154</t>
  </si>
  <si>
    <t xml:space="preserve">ANGEL DECORATION 3 BUTTONS </t>
  </si>
  <si>
    <t>84510A</t>
  </si>
  <si>
    <t>SET OF 4 ENGLISH ROSE COASTERS</t>
  </si>
  <si>
    <t>22474</t>
  </si>
  <si>
    <t>SPACEBOY TV DINNER TRAY</t>
  </si>
  <si>
    <t>35953</t>
  </si>
  <si>
    <t>FOLKART STAR CHRISTMAS DECORATIONS</t>
  </si>
  <si>
    <t>85034B</t>
  </si>
  <si>
    <t>3 WHITE CHOC MORRIS BOXED CANDLES</t>
  </si>
  <si>
    <t>22799</t>
  </si>
  <si>
    <t>SWEETHEART WIRE FRUIT BOWL</t>
  </si>
  <si>
    <t>23391</t>
  </si>
  <si>
    <t xml:space="preserve"> I LOVE LONDON MINI BACKPACK</t>
  </si>
  <si>
    <t>22445</t>
  </si>
  <si>
    <t>PENCIL CASE LIFE IS BEAUTIFUL</t>
  </si>
  <si>
    <t>22975</t>
  </si>
  <si>
    <t>SPACEBOY CHILDRENS EGG CUP</t>
  </si>
  <si>
    <t>22473</t>
  </si>
  <si>
    <t>TV DINNER TRAY VINTAGE PAISLEY</t>
  </si>
  <si>
    <t>37495</t>
  </si>
  <si>
    <t>FAIRY CAKE BIRTHDAY CANDLE SET</t>
  </si>
  <si>
    <t>21706</t>
  </si>
  <si>
    <t>FOLDING UMBRELLA RED/WHITE POLKADOT</t>
  </si>
  <si>
    <t>22166</t>
  </si>
  <si>
    <t>WALL MIRROR RECTANGLE DIAMANTE PINK</t>
  </si>
  <si>
    <t>23217</t>
  </si>
  <si>
    <t>LAUREL HEART ANTIQUE SILVER</t>
  </si>
  <si>
    <t>23287</t>
  </si>
  <si>
    <t>RED VINTAGE SPOT BEAKER</t>
  </si>
  <si>
    <t>21206</t>
  </si>
  <si>
    <t xml:space="preserve">STRAWBERRY HONEYCOMB  GARLAND </t>
  </si>
  <si>
    <t>85040A</t>
  </si>
  <si>
    <t>S/4 PINK FLOWER CANDLES IN BOWL</t>
  </si>
  <si>
    <t>22095</t>
  </si>
  <si>
    <t>LADS ONLY TISSUE BOX</t>
  </si>
  <si>
    <t>22671</t>
  </si>
  <si>
    <t>FRENCH LAUNDRY SIGN BLUE METAL</t>
  </si>
  <si>
    <t>22292</t>
  </si>
  <si>
    <t>HANGING CHICK  YELLOW DECORATION</t>
  </si>
  <si>
    <t>22475</t>
  </si>
  <si>
    <t>SKULL DESIGN TV DINNER TRAY</t>
  </si>
  <si>
    <t>22948</t>
  </si>
  <si>
    <t xml:space="preserve">METAL DECORATION NAUGHTY CHILDREN </t>
  </si>
  <si>
    <t>22305</t>
  </si>
  <si>
    <t>COFFEE MUG PINK PAISLEY DESIGN</t>
  </si>
  <si>
    <t>21394</t>
  </si>
  <si>
    <t xml:space="preserve">RED POLKADOT BEAKER </t>
  </si>
  <si>
    <t>18097C</t>
  </si>
  <si>
    <t>WHITE TALL PORCELAIN T-LIGHT HOLDER</t>
  </si>
  <si>
    <t>23226</t>
  </si>
  <si>
    <t>FILIGREE HEART DAISY WHITE</t>
  </si>
  <si>
    <t>23244</t>
  </si>
  <si>
    <t>ROUND STORAGE TIN VINTAGE LEAF</t>
  </si>
  <si>
    <t>22398</t>
  </si>
  <si>
    <t>MAGNETS PACK OF 4 SWALLOWS</t>
  </si>
  <si>
    <t>22449</t>
  </si>
  <si>
    <t>SILK PURSE BABUSHKA PINK</t>
  </si>
  <si>
    <t>21626</t>
  </si>
  <si>
    <t>VINTAGE UNION JACK PENNANT</t>
  </si>
  <si>
    <t>15056n</t>
  </si>
  <si>
    <t>21967</t>
  </si>
  <si>
    <t>PACK OF 12 SKULL TISSUES</t>
  </si>
  <si>
    <t>46000M</t>
  </si>
  <si>
    <t>POLYESTER FILLER PAD 45x45cm</t>
  </si>
  <si>
    <t>23369</t>
  </si>
  <si>
    <t>SET 36 COLOUR PENCILS LOVE LONDON</t>
  </si>
  <si>
    <t>22676</t>
  </si>
  <si>
    <t>FRENCH BLUE METAL DOOR SIGN 1</t>
  </si>
  <si>
    <t>22434</t>
  </si>
  <si>
    <t>BALLOON PUMP WITH 10 BALLOONS</t>
  </si>
  <si>
    <t>21528</t>
  </si>
  <si>
    <t xml:space="preserve">DAIRY MAID TRADITIONAL TEAPOT </t>
  </si>
  <si>
    <t>84279P</t>
  </si>
  <si>
    <t>CHERRY BLOSSOM  DECORATIVE FLASK</t>
  </si>
  <si>
    <t>22208</t>
  </si>
  <si>
    <t>WOOD STAMP SET THANK YOU</t>
  </si>
  <si>
    <t>22494</t>
  </si>
  <si>
    <t xml:space="preserve">EMERGENCY FIRST AID TIN </t>
  </si>
  <si>
    <t>22583</t>
  </si>
  <si>
    <t>PACK OF 6 HANDBAG GIFT BOXES</t>
  </si>
  <si>
    <t>21509</t>
  </si>
  <si>
    <t xml:space="preserve">COWBOYS AND INDIANS BIRTHDAY CARD </t>
  </si>
  <si>
    <t>85206A</t>
  </si>
  <si>
    <t>CREAM FELT EASTER EGG BASKET</t>
  </si>
  <si>
    <t>23462</t>
  </si>
  <si>
    <t>ROCOCO WALL MIRROR WHITE</t>
  </si>
  <si>
    <t>22085</t>
  </si>
  <si>
    <t xml:space="preserve">PAPER CHAIN KIT SKULLS </t>
  </si>
  <si>
    <t>21913</t>
  </si>
  <si>
    <t>VINTAGE SEASIDE JIGSAW PUZZLES</t>
  </si>
  <si>
    <t>85132A</t>
  </si>
  <si>
    <t>CHARLIE + LOLA BISCUITS TINS</t>
  </si>
  <si>
    <t>22313</t>
  </si>
  <si>
    <t>OFFICE MUG WARMER PINK</t>
  </si>
  <si>
    <t>21744</t>
  </si>
  <si>
    <t xml:space="preserve">SNOWFLAKE PORTABLE TABLE LIGHT </t>
  </si>
  <si>
    <t>84971S</t>
  </si>
  <si>
    <t xml:space="preserve">SMALL HEART FLOWERS HOOK </t>
  </si>
  <si>
    <t>22818</t>
  </si>
  <si>
    <t>CARD CHRISTMAS VILLAGE</t>
  </si>
  <si>
    <t>22675</t>
  </si>
  <si>
    <t>FRENCH KITCHEN SIGN BLUE METAL</t>
  </si>
  <si>
    <t>20665</t>
  </si>
  <si>
    <t xml:space="preserve">RED RETROSPOT PURSE </t>
  </si>
  <si>
    <t>20985</t>
  </si>
  <si>
    <t>HEART CALCULATOR</t>
  </si>
  <si>
    <t>22982</t>
  </si>
  <si>
    <t>PANTRY PASTRY BRUSH</t>
  </si>
  <si>
    <t>22600</t>
  </si>
  <si>
    <t>CHRISTMAS RETROSPOT STAR WOOD</t>
  </si>
  <si>
    <t>10133</t>
  </si>
  <si>
    <t>22318</t>
  </si>
  <si>
    <t>FIVE HEART HANGING DECORATION</t>
  </si>
  <si>
    <t>21898</t>
  </si>
  <si>
    <t>POTTING SHED ROSE CANDLE</t>
  </si>
  <si>
    <t>22176</t>
  </si>
  <si>
    <t>BLUE OWL SOFT TOY</t>
  </si>
  <si>
    <t>22472</t>
  </si>
  <si>
    <t>TV DINNER TRAY DOLLY GIRL</t>
  </si>
  <si>
    <t>22731</t>
  </si>
  <si>
    <t xml:space="preserve">3D CHRISTMAS STAMPS STICKERS </t>
  </si>
  <si>
    <t>23267</t>
  </si>
  <si>
    <t>SET OF 4 SANTA PLACE SETTINGS</t>
  </si>
  <si>
    <t>21200</t>
  </si>
  <si>
    <t>MULTICOLOUR HONEYCOMB PAPER GARLAND</t>
  </si>
  <si>
    <t>22828</t>
  </si>
  <si>
    <t>REGENCY MIRROR WITH SHUTTERS</t>
  </si>
  <si>
    <t>84968E</t>
  </si>
  <si>
    <t>SET OF 16 VINTAGE BLACK CUTLERY</t>
  </si>
  <si>
    <t>85049C</t>
  </si>
  <si>
    <t xml:space="preserve">ROMANTIC PINKS RIBBONS </t>
  </si>
  <si>
    <t>22530</t>
  </si>
  <si>
    <t xml:space="preserve">MAGIC DRAWING SLATE DOLLY GIRL </t>
  </si>
  <si>
    <t>22770</t>
  </si>
  <si>
    <t>MIRROR CORNICE</t>
  </si>
  <si>
    <t>20668</t>
  </si>
  <si>
    <t>DISCO BALL CHRISTMAS DECORATION</t>
  </si>
  <si>
    <t>21352</t>
  </si>
  <si>
    <t>EUCALYPTUS &amp; PINECONE  WREATH</t>
  </si>
  <si>
    <t>22591</t>
  </si>
  <si>
    <t>CARDHOLDER GINGHAM CHRISTMAS TREE</t>
  </si>
  <si>
    <t>22471</t>
  </si>
  <si>
    <t xml:space="preserve">TV DINNER TRAY AIR HOSTESS </t>
  </si>
  <si>
    <t>21361</t>
  </si>
  <si>
    <t xml:space="preserve">LOVE LARGE WOOD LETTERS </t>
  </si>
  <si>
    <t>22905</t>
  </si>
  <si>
    <t>CALENDAR IN SEASON DESIGN</t>
  </si>
  <si>
    <t>23250</t>
  </si>
  <si>
    <t xml:space="preserve">VINTAGE RED TRIM ENAMEL BOWL </t>
  </si>
  <si>
    <t>21792</t>
  </si>
  <si>
    <t xml:space="preserve">CLASSIC FRENCH STYLE BASKET GREEN </t>
  </si>
  <si>
    <t>23280</t>
  </si>
  <si>
    <t xml:space="preserve">FOLDING BUTTERFLY MIRROR HOT PINK </t>
  </si>
  <si>
    <t>22802</t>
  </si>
  <si>
    <t>FAUX FUR CHOCOLATE THROW</t>
  </si>
  <si>
    <t>23334</t>
  </si>
  <si>
    <t>IVORY WICKER HEART SMALL</t>
  </si>
  <si>
    <t>72349B</t>
  </si>
  <si>
    <t>SET/6 PURPLE BUTTERFLY T-LIGHTS</t>
  </si>
  <si>
    <t>37342</t>
  </si>
  <si>
    <t>POLKADOT COFFEE CUP &amp; SAUCER PINK</t>
  </si>
  <si>
    <t>23559</t>
  </si>
  <si>
    <t>WOODLAND BUNNIES LOLLY MAKERS</t>
  </si>
  <si>
    <t>84580</t>
  </si>
  <si>
    <t>MOUSE TOY WITH PINK T-SHIRT</t>
  </si>
  <si>
    <t>23271</t>
  </si>
  <si>
    <t>CHRISTMAS TABLE SILVER CANDLE SPIKE</t>
  </si>
  <si>
    <t>23392</t>
  </si>
  <si>
    <t>SPACEBOY ROCKET LOLLY MAKERS</t>
  </si>
  <si>
    <t>35924</t>
  </si>
  <si>
    <t>HANGING FAIRY CAKE DECORATION</t>
  </si>
  <si>
    <t>21327</t>
  </si>
  <si>
    <t xml:space="preserve">SKULLS WRITING SET </t>
  </si>
  <si>
    <t>21829</t>
  </si>
  <si>
    <t>DINOSAUR KEYRINGS ASSORTED</t>
  </si>
  <si>
    <t>22203</t>
  </si>
  <si>
    <t>MILK PAN RED RETROSPOT</t>
  </si>
  <si>
    <t>21619</t>
  </si>
  <si>
    <t>4 VANILLA BOTANICAL CANDLES</t>
  </si>
  <si>
    <t>21447</t>
  </si>
  <si>
    <t>12 IVORY ROSE PEG PLACE SETTINGS</t>
  </si>
  <si>
    <t>21470</t>
  </si>
  <si>
    <t>FLOWER VINE RAFFIA FOOD COVER</t>
  </si>
  <si>
    <t>22664</t>
  </si>
  <si>
    <t>TOY TIDY DOLLY GIRL DESIGN</t>
  </si>
  <si>
    <t>23034</t>
  </si>
  <si>
    <t>DRAWER KNOB CERAMIC BLACK</t>
  </si>
  <si>
    <t>23365</t>
  </si>
  <si>
    <t>SET 12 COLOUR PENCILS LOVE LONDON</t>
  </si>
  <si>
    <t>22713</t>
  </si>
  <si>
    <t xml:space="preserve">CARD I LOVE LONDON </t>
  </si>
  <si>
    <t>21705</t>
  </si>
  <si>
    <t>BAG 500g SWIRLY MARBLES</t>
  </si>
  <si>
    <t>84818</t>
  </si>
  <si>
    <t>DANISH ROSE PHOTO FRAME</t>
  </si>
  <si>
    <t>23470</t>
  </si>
  <si>
    <t xml:space="preserve">CARD HOLDER LOVE BIRD LARGE </t>
  </si>
  <si>
    <t>21872</t>
  </si>
  <si>
    <t>GLAMOROUS  MUG</t>
  </si>
  <si>
    <t>15044A</t>
  </si>
  <si>
    <t xml:space="preserve">PINK PAPER PARASOL </t>
  </si>
  <si>
    <t>22939</t>
  </si>
  <si>
    <t>APRON APPLE DELIGHT</t>
  </si>
  <si>
    <t>22696</t>
  </si>
  <si>
    <t>WICKER WREATH LARGE</t>
  </si>
  <si>
    <t>22461</t>
  </si>
  <si>
    <t>SAVOY ART DECO CLOCK</t>
  </si>
  <si>
    <t>21620</t>
  </si>
  <si>
    <t>SET OF 4 ROSE BOTANICAL CANDLES</t>
  </si>
  <si>
    <t>21191</t>
  </si>
  <si>
    <t xml:space="preserve">LARGE WHITE HONEYCOMB PAPER BELL  </t>
  </si>
  <si>
    <t>23086</t>
  </si>
  <si>
    <t xml:space="preserve">ZINC  STAR T-LIGHT HOLDER </t>
  </si>
  <si>
    <t>84031B</t>
  </si>
  <si>
    <t xml:space="preserve">CHARLIE LOLA BLUE HOT WATER BOTTLE </t>
  </si>
  <si>
    <t>85054</t>
  </si>
  <si>
    <t>FRENCH ENAMEL POT W LID</t>
  </si>
  <si>
    <t>23057</t>
  </si>
  <si>
    <t>BEADED CHANDELIER T-LIGHT HOLDER</t>
  </si>
  <si>
    <t>22182</t>
  </si>
  <si>
    <t>CAKE STAND VICTORIAN FILIGREE SMALL</t>
  </si>
  <si>
    <t>15058C</t>
  </si>
  <si>
    <t>ICE CREAM DESIGN GARDEN PARASOL</t>
  </si>
  <si>
    <t>22306</t>
  </si>
  <si>
    <t>SILVER MUG BONE CHINA TREE OF LIFE</t>
  </si>
  <si>
    <t>23249</t>
  </si>
  <si>
    <t>VINTAGE RED ENAMEL TRIM PLATE</t>
  </si>
  <si>
    <t>22922</t>
  </si>
  <si>
    <t>FRIDGE MAGNETS US DINER ASSORTED</t>
  </si>
  <si>
    <t>22458</t>
  </si>
  <si>
    <t>CAST IRON HOOK GARDEN FORK</t>
  </si>
  <si>
    <t>21407</t>
  </si>
  <si>
    <t xml:space="preserve">BROWN CHECK CAT DOORSTOP </t>
  </si>
  <si>
    <t>22285</t>
  </si>
  <si>
    <t>HANGING HEN ON NEST DECORATION</t>
  </si>
  <si>
    <t>22976</t>
  </si>
  <si>
    <t xml:space="preserve">CIRCUS PARADE CHILDRENS EGG CUP </t>
  </si>
  <si>
    <t>22714</t>
  </si>
  <si>
    <t>CARD BIRTHDAY COWBOY</t>
  </si>
  <si>
    <t>22576</t>
  </si>
  <si>
    <t>SWALLOW WOODEN CHRISTMAS DECORATION</t>
  </si>
  <si>
    <t>51014C</t>
  </si>
  <si>
    <t>FEATHER PEN,COAL BLACK</t>
  </si>
  <si>
    <t>21363</t>
  </si>
  <si>
    <t>HOME SMALL WOOD LETTERS</t>
  </si>
  <si>
    <t>22531</t>
  </si>
  <si>
    <t xml:space="preserve">MAGIC DRAWING SLATE CIRCUS PARADE  </t>
  </si>
  <si>
    <t>82567</t>
  </si>
  <si>
    <t>AIRLINE LOUNGE,METAL SIGN</t>
  </si>
  <si>
    <t>22436</t>
  </si>
  <si>
    <t>12 COLOURED PARTY BALLOONS</t>
  </si>
  <si>
    <t>84536A</t>
  </si>
  <si>
    <t>ENGLISH ROSE NOTEBOOK A7 SIZE</t>
  </si>
  <si>
    <t>22915</t>
  </si>
  <si>
    <t xml:space="preserve">ASSORTED BOTTLE TOP  MAGNETS </t>
  </si>
  <si>
    <t>23119</t>
  </si>
  <si>
    <t xml:space="preserve">PACK OF 6 LARGE FRUIT STRAWS </t>
  </si>
  <si>
    <t>23055</t>
  </si>
  <si>
    <t>IVORY CHANDELIER T-LIGHT HOLDER</t>
  </si>
  <si>
    <t>21424</t>
  </si>
  <si>
    <t xml:space="preserve">WOODLAND STORAGE BOX LARGE </t>
  </si>
  <si>
    <t>22443</t>
  </si>
  <si>
    <t>GROW YOUR OWN HERBS SET OF 3</t>
  </si>
  <si>
    <t>22047</t>
  </si>
  <si>
    <t>EMPIRE GIFT WRAP</t>
  </si>
  <si>
    <t>84813</t>
  </si>
  <si>
    <t>SET OF 4 DIAMOND NAPKIN RINGS</t>
  </si>
  <si>
    <t>21537</t>
  </si>
  <si>
    <t>RED RETROSPOT PUDDING BOWL</t>
  </si>
  <si>
    <t>84795B</t>
  </si>
  <si>
    <t>SUNSET CHECK HAMMOCK</t>
  </si>
  <si>
    <t>23376</t>
  </si>
  <si>
    <t>PACK OF 12 VINTAGE CHRISTMAS TISSUE</t>
  </si>
  <si>
    <t>21519</t>
  </si>
  <si>
    <t xml:space="preserve">GIN &amp; TONIC DIET GREETING CARD </t>
  </si>
  <si>
    <t>21382</t>
  </si>
  <si>
    <t>SET/4 SPRING FLOWER DECORATION</t>
  </si>
  <si>
    <t>22677</t>
  </si>
  <si>
    <t>FRENCH BLUE METAL DOOR SIGN 2</t>
  </si>
  <si>
    <t>22063</t>
  </si>
  <si>
    <t>CERAMIC BOWL WITH STRAWBERRY DESIGN</t>
  </si>
  <si>
    <t>22071</t>
  </si>
  <si>
    <t xml:space="preserve">SMALL WHITE RETROSPOT MUG IN BOX </t>
  </si>
  <si>
    <t>22735</t>
  </si>
  <si>
    <t>RIBBON REEL SOCKS AND MITTENS</t>
  </si>
  <si>
    <t>22299</t>
  </si>
  <si>
    <t xml:space="preserve">PIG KEYRING WITH LIGHT &amp; SOUND </t>
  </si>
  <si>
    <t>21071</t>
  </si>
  <si>
    <t>VINTAGE BILLBOARD DRINK ME MUG</t>
  </si>
  <si>
    <t>22363</t>
  </si>
  <si>
    <t xml:space="preserve">GLASS JAR MARMALADE </t>
  </si>
  <si>
    <t>21123</t>
  </si>
  <si>
    <t>SET/10 IVORY POLKADOT PARTY CANDLES</t>
  </si>
  <si>
    <t>22609</t>
  </si>
  <si>
    <t>PENS ASSORTED SPACEBALL</t>
  </si>
  <si>
    <t>23104</t>
  </si>
  <si>
    <t xml:space="preserve">IVORY CAFE HANGING LAMP </t>
  </si>
  <si>
    <t>21820</t>
  </si>
  <si>
    <t xml:space="preserve">GLITTER HEART GARLAND WITH BELLS </t>
  </si>
  <si>
    <t>23414</t>
  </si>
  <si>
    <t>ZINC BOX SIGN HOME</t>
  </si>
  <si>
    <t>23546</t>
  </si>
  <si>
    <t xml:space="preserve">WRAP PAISLEY PARK </t>
  </si>
  <si>
    <t xml:space="preserve">WALL ART VILLAGE SHOW </t>
  </si>
  <si>
    <t>23000</t>
  </si>
  <si>
    <t>TRAVEL CARD WALLET TRANSPORT</t>
  </si>
  <si>
    <t>85227</t>
  </si>
  <si>
    <t>SET OF 6 3D KIT CARDS FOR KIDS</t>
  </si>
  <si>
    <t>22304</t>
  </si>
  <si>
    <t>COFFEE MUG BLUE PAISLEY DESIGN</t>
  </si>
  <si>
    <t>22716</t>
  </si>
  <si>
    <t>CARD CIRCUS PARADE</t>
  </si>
  <si>
    <t>22949</t>
  </si>
  <si>
    <t>36 DOILIES DOLLY GIRL</t>
  </si>
  <si>
    <t>23221</t>
  </si>
  <si>
    <t>REINDEER HEART DECORATION SILVER</t>
  </si>
  <si>
    <t>85232B</t>
  </si>
  <si>
    <t>SET OF 3 BABUSHKA STACKING TINS</t>
  </si>
  <si>
    <t>22911</t>
  </si>
  <si>
    <t>PAPER CHAIN KIT LONDON</t>
  </si>
  <si>
    <t>23469</t>
  </si>
  <si>
    <t>CARD HOLDER LOVE BIRD SMALL</t>
  </si>
  <si>
    <t>21039</t>
  </si>
  <si>
    <t>RED RETROSPOT SHOPPING BAG</t>
  </si>
  <si>
    <t>22754</t>
  </si>
  <si>
    <t xml:space="preserve">SMALL RED BABUSHKA NOTEBOOK </t>
  </si>
  <si>
    <t>21686</t>
  </si>
  <si>
    <t>MEDINA STAMPED METAL STOOL</t>
  </si>
  <si>
    <t>21615</t>
  </si>
  <si>
    <t>4 LAVENDER BOTANICAL DINNER CANDLES</t>
  </si>
  <si>
    <t>22421</t>
  </si>
  <si>
    <t>LIPSTICK PEN FUSCHIA</t>
  </si>
  <si>
    <t>22399</t>
  </si>
  <si>
    <t>MAGNETS PACK OF 4 CHILDHOOD MEMORY</t>
  </si>
  <si>
    <t>21987</t>
  </si>
  <si>
    <t>PACK OF 6 SKULL PAPER CUPS</t>
  </si>
  <si>
    <t>22917</t>
  </si>
  <si>
    <t>HERB MARKER ROSEMARY</t>
  </si>
  <si>
    <t>22073</t>
  </si>
  <si>
    <t>RED RETROSPOT STORAGE JAR</t>
  </si>
  <si>
    <t>22912</t>
  </si>
  <si>
    <t>YELLOW COAT RACK PARIS FASHION</t>
  </si>
  <si>
    <t>22293</t>
  </si>
  <si>
    <t>HANGING CHICK GREEN DECORATION</t>
  </si>
  <si>
    <t>84828</t>
  </si>
  <si>
    <t>JUNGLE POPSICLES ICE LOLLY MOULDS</t>
  </si>
  <si>
    <t>WRAP VINTAGE PETALS  DESIGN</t>
  </si>
  <si>
    <t>21624</t>
  </si>
  <si>
    <t>VINTAGE UNION JACK DOORSTOP</t>
  </si>
  <si>
    <t>21246</t>
  </si>
  <si>
    <t>RED RETROSPOT BIG BOWL</t>
  </si>
  <si>
    <t>23538</t>
  </si>
  <si>
    <t>WALL ART VINTAGE HEART</t>
  </si>
  <si>
    <t>72802A</t>
  </si>
  <si>
    <t>ROSE SCENT CANDLE IN JEWELLED BOX</t>
  </si>
  <si>
    <t>22650</t>
  </si>
  <si>
    <t>CERAMIC PIRATE CHEST MONEY BANK</t>
  </si>
  <si>
    <t>22742</t>
  </si>
  <si>
    <t>MAKE YOUR OWN PLAYTIME CARD KIT</t>
  </si>
  <si>
    <t>22362</t>
  </si>
  <si>
    <t>GLASS JAR PEACOCK BATH SALTS</t>
  </si>
  <si>
    <t>23040</t>
  </si>
  <si>
    <t xml:space="preserve">PAPER LANTERN 9 POINT SNOW STAR </t>
  </si>
  <si>
    <t>85183B</t>
  </si>
  <si>
    <t>CHARLIE &amp; LOLA WASTEPAPER BIN FLORA</t>
  </si>
  <si>
    <t>23405</t>
  </si>
  <si>
    <t>HOME SWEET HOME 2 DRAWER CABINET</t>
  </si>
  <si>
    <t>22916</t>
  </si>
  <si>
    <t>HERB MARKER THYME</t>
  </si>
  <si>
    <t>21179</t>
  </si>
  <si>
    <t>NO JUNK MAIL METAL SIGN</t>
  </si>
  <si>
    <t>23373</t>
  </si>
  <si>
    <t>VINTAGE CHRISTMAS PAPER GIFT BAG</t>
  </si>
  <si>
    <t>37447</t>
  </si>
  <si>
    <t>CERAMIC CAKE DESIGN SPOTTED PLATE</t>
  </si>
  <si>
    <t>90057</t>
  </si>
  <si>
    <t>DIAMANTE RING ASSORTED IN BOX.</t>
  </si>
  <si>
    <t>22028</t>
  </si>
  <si>
    <t>PENNY FARTHING BIRTHDAY CARD</t>
  </si>
  <si>
    <t>21195</t>
  </si>
  <si>
    <t xml:space="preserve">PINK  HONEYCOMB PAPER BALL </t>
  </si>
  <si>
    <t>22686</t>
  </si>
  <si>
    <t>FRENCH BLUE METAL DOOR SIGN No</t>
  </si>
  <si>
    <t>85199S</t>
  </si>
  <si>
    <t>SMALL HANGING IVORY/RED WOOD BIRD</t>
  </si>
  <si>
    <t>21064</t>
  </si>
  <si>
    <t>BOOM BOX SPEAKER BOYS</t>
  </si>
  <si>
    <t>21627</t>
  </si>
  <si>
    <t>ELEPHANT CARNIVAL POUFFE</t>
  </si>
  <si>
    <t>22439</t>
  </si>
  <si>
    <t xml:space="preserve">6 ROCKET BALLOONS </t>
  </si>
  <si>
    <t>21793</t>
  </si>
  <si>
    <t>CLASSIC FRENCH STYLE BASKET BROWN</t>
  </si>
  <si>
    <t>22310</t>
  </si>
  <si>
    <t xml:space="preserve">IVORY KNITTED MUG COSY </t>
  </si>
  <si>
    <t>21866</t>
  </si>
  <si>
    <t>UNION JACK FLAG LUGGAGE TAG</t>
  </si>
  <si>
    <t>21408</t>
  </si>
  <si>
    <t>SPOTTY PINK DUCK DOORSTOP</t>
  </si>
  <si>
    <t>21422</t>
  </si>
  <si>
    <t>PORCELAIN ROSE SMALL</t>
  </si>
  <si>
    <t>22372</t>
  </si>
  <si>
    <t xml:space="preserve">AIRLINE BAG VINTAGE WORLD CHAMPION </t>
  </si>
  <si>
    <t>21616</t>
  </si>
  <si>
    <t>4 PEAR BOTANICAL DINNER CANDLES</t>
  </si>
  <si>
    <t>84012</t>
  </si>
  <si>
    <t>MAGIC SHEEP WOOL GROWING FROM PAPER</t>
  </si>
  <si>
    <t>21901</t>
  </si>
  <si>
    <t xml:space="preserve">KEY FOB , BACK DOOR </t>
  </si>
  <si>
    <t>23061</t>
  </si>
  <si>
    <t>VINTAGE EMBOSSED HEART</t>
  </si>
  <si>
    <t>22918</t>
  </si>
  <si>
    <t>HERB MARKER PARSLEY</t>
  </si>
  <si>
    <t>21090</t>
  </si>
  <si>
    <t>SET/6 COLLAGE PAPER PLATES</t>
  </si>
  <si>
    <t>47480</t>
  </si>
  <si>
    <t>HANGING PHOTO CLIP ROPE LADDER</t>
  </si>
  <si>
    <t>23072</t>
  </si>
  <si>
    <t>MARIE ANTOINETTE TRINKET BOX SILVER</t>
  </si>
  <si>
    <t>85059</t>
  </si>
  <si>
    <t>FRENCH ENAMEL WATER BASIN</t>
  </si>
  <si>
    <t>21211</t>
  </si>
  <si>
    <t>SET OF 72 SKULL PAPER  DOILIES</t>
  </si>
  <si>
    <t>21902</t>
  </si>
  <si>
    <t xml:space="preserve">KEY FOB , FRONT  DOOR </t>
  </si>
  <si>
    <t>21897</t>
  </si>
  <si>
    <t>POTTING SHED CANDLE CITRONELLA</t>
  </si>
  <si>
    <t>47503A</t>
  </si>
  <si>
    <t>ASS FLORAL PRINT MULTI SCREWDRIVER</t>
  </si>
  <si>
    <t>23511</t>
  </si>
  <si>
    <t xml:space="preserve">EMBROIDERED RIBBON REEL EMILY </t>
  </si>
  <si>
    <t>22572</t>
  </si>
  <si>
    <t xml:space="preserve">ROCKING HORSE GREEN CHRISTMAS </t>
  </si>
  <si>
    <t>22977</t>
  </si>
  <si>
    <t>DOLLY GIRL CHILDRENS EGG CUP</t>
  </si>
  <si>
    <t xml:space="preserve">SET OF 4 KNICK KNACK TINS LEAVES </t>
  </si>
  <si>
    <t>23067</t>
  </si>
  <si>
    <t>HANGING ENGRAVED METAL HEART</t>
  </si>
  <si>
    <t>71038</t>
  </si>
  <si>
    <t>WHITE HANGING BEADS CANDLE HOLDER</t>
  </si>
  <si>
    <t>23071</t>
  </si>
  <si>
    <t>MARIE ANTOINETTE TRINKET BOX GOLD</t>
  </si>
  <si>
    <t>21262</t>
  </si>
  <si>
    <t xml:space="preserve">WHITE GOOSE FEATHER CHRISTMAS TREE </t>
  </si>
  <si>
    <t>22074</t>
  </si>
  <si>
    <t xml:space="preserve">6 RIBBONS SHIMMERING PINKS </t>
  </si>
  <si>
    <t>22442</t>
  </si>
  <si>
    <t>GROW YOUR OWN FLOWERS SET OF 3</t>
  </si>
  <si>
    <t>23138</t>
  </si>
  <si>
    <t>SINGLE WIRE HOOK IVORY HEART</t>
  </si>
  <si>
    <t>GIN AND TONIC DIET METAL SIGN</t>
  </si>
  <si>
    <t>22603</t>
  </si>
  <si>
    <t>CHRISTMAS RETROSPOT TREE WOOD</t>
  </si>
  <si>
    <t>22338</t>
  </si>
  <si>
    <t xml:space="preserve">STAR DECORATION PAINTED ZINC </t>
  </si>
  <si>
    <t>72817</t>
  </si>
  <si>
    <t>SET OF 2 CHRISTMAS DECOUPAGE CANDLE</t>
  </si>
  <si>
    <t>22919</t>
  </si>
  <si>
    <t>HERB MARKER MINT</t>
  </si>
  <si>
    <t>22613</t>
  </si>
  <si>
    <t>PACK OF 20 SPACEBOY NAPKINS</t>
  </si>
  <si>
    <t>22575</t>
  </si>
  <si>
    <t>METAL MERRY CHRISTMAS WREATH</t>
  </si>
  <si>
    <t>22315</t>
  </si>
  <si>
    <t>200 RED + WHITE BENDY STRAWS</t>
  </si>
  <si>
    <t>23142</t>
  </si>
  <si>
    <t>IVORY WIRE KITCHEN ORGANISER</t>
  </si>
  <si>
    <t>82578</t>
  </si>
  <si>
    <t>KITCHEN METAL SIGN</t>
  </si>
  <si>
    <t>23598</t>
  </si>
  <si>
    <t>PAPER BUNTING VINTAGE PARTY</t>
  </si>
  <si>
    <t>82599</t>
  </si>
  <si>
    <t>FANNY'S REST STOPMETAL SIGN</t>
  </si>
  <si>
    <t>22711</t>
  </si>
  <si>
    <t>WRAP CIRCUS PARADE</t>
  </si>
  <si>
    <t>72800E</t>
  </si>
  <si>
    <t>4 IVORY DINNER CANDLES SILVER FLOCK</t>
  </si>
  <si>
    <t>22589</t>
  </si>
  <si>
    <t>CARDHOLDER GINGHAM STAR</t>
  </si>
  <si>
    <t>21846</t>
  </si>
  <si>
    <t>PINK DIAMANTE PEN IN GIFT BOX</t>
  </si>
  <si>
    <t>22168</t>
  </si>
  <si>
    <t xml:space="preserve">ORGANISER WOOD ANTIQUE WHITE </t>
  </si>
  <si>
    <t>84884A</t>
  </si>
  <si>
    <t>ANT WHITE WIRE HEART SPIRAL</t>
  </si>
  <si>
    <t>23026</t>
  </si>
  <si>
    <t>DRAWER KNOB VINTAGE GLASS STAR</t>
  </si>
  <si>
    <t>23444</t>
  </si>
  <si>
    <t>Next Day Carriage</t>
  </si>
  <si>
    <t>22929</t>
  </si>
  <si>
    <t xml:space="preserve">SCHOOL DESK AND CHAIR </t>
  </si>
  <si>
    <t>21986</t>
  </si>
  <si>
    <t>PACK OF 12 PINK POLKADOT TISSUES</t>
  </si>
  <si>
    <t>21899</t>
  </si>
  <si>
    <t>KEY FOB , GARAGE DESIGN</t>
  </si>
  <si>
    <t>22081</t>
  </si>
  <si>
    <t xml:space="preserve">RIBBON REEL FLORA + FAUNA </t>
  </si>
  <si>
    <t>22453</t>
  </si>
  <si>
    <t>MEASURING TAPE BABUSHKA BLUE</t>
  </si>
  <si>
    <t>22755</t>
  </si>
  <si>
    <t xml:space="preserve">SMALL PURPLE BABUSHKA NOTEBOOK </t>
  </si>
  <si>
    <t>21070</t>
  </si>
  <si>
    <t xml:space="preserve">VINTAGE BILLBOARD MUG </t>
  </si>
  <si>
    <t>22921</t>
  </si>
  <si>
    <t xml:space="preserve">HERB MARKER CHIVES </t>
  </si>
  <si>
    <t>23539</t>
  </si>
  <si>
    <t xml:space="preserve">WALL ART LOVES' SECRET </t>
  </si>
  <si>
    <t>22597</t>
  </si>
  <si>
    <t xml:space="preserve">MUSICAL ZINC HEART DECORATION </t>
  </si>
  <si>
    <t>23225</t>
  </si>
  <si>
    <t xml:space="preserve">CHERUB HEART DECORATION SILVER </t>
  </si>
  <si>
    <t>21628</t>
  </si>
  <si>
    <t xml:space="preserve">TRIANGULAR POUFFE VINTAGE </t>
  </si>
  <si>
    <t>23431</t>
  </si>
  <si>
    <t xml:space="preserve">NATURAL HANGING QUILTED HEARTS </t>
  </si>
  <si>
    <t>85039B</t>
  </si>
  <si>
    <t>S/4 IVORY MINI ROSE CANDLE IN BOWL</t>
  </si>
  <si>
    <t>20984</t>
  </si>
  <si>
    <t>12 PENCILS TALL TUBE POSY</t>
  </si>
  <si>
    <t>21742</t>
  </si>
  <si>
    <t xml:space="preserve">LARGE ROUND WICKER PLATTER </t>
  </si>
  <si>
    <t>21065</t>
  </si>
  <si>
    <t>BOOM BOX SPEAKER GIRLS</t>
  </si>
  <si>
    <t>22924</t>
  </si>
  <si>
    <t>FRIDGE MAGNETS LA VIE EN ROSE</t>
  </si>
  <si>
    <t>22757</t>
  </si>
  <si>
    <t xml:space="preserve">LARGE RED BABUSHKA NOTEBOOK </t>
  </si>
  <si>
    <t>23418</t>
  </si>
  <si>
    <t>LAVENDER TOILETTE BOTTLE</t>
  </si>
  <si>
    <t>84313C</t>
  </si>
  <si>
    <t xml:space="preserve">ORANGE TV TRAY TABLE </t>
  </si>
  <si>
    <t>23508</t>
  </si>
  <si>
    <t xml:space="preserve">MINI PLAYING CARDS DOLLY GIRL </t>
  </si>
  <si>
    <t>23515</t>
  </si>
  <si>
    <t xml:space="preserve">EMBROIDERED RIBBON REEL DAISY </t>
  </si>
  <si>
    <t>23269</t>
  </si>
  <si>
    <t>SET OF 2 CERAMIC CHRISTMAS TREES</t>
  </si>
  <si>
    <t>22334</t>
  </si>
  <si>
    <t>DINOSAUR PARTY BAG + STICKER SET</t>
  </si>
  <si>
    <t>22680</t>
  </si>
  <si>
    <t>FRENCH BLUE METAL DOOR SIGN 5</t>
  </si>
  <si>
    <t>22708</t>
  </si>
  <si>
    <t>WRAP DOLLY GIRL</t>
  </si>
  <si>
    <t>23566</t>
  </si>
  <si>
    <t>EGG CUP MILKMAID HEIDI</t>
  </si>
  <si>
    <t>20801</t>
  </si>
  <si>
    <t>LARGE PINK GLASS SUNDAE DISH</t>
  </si>
  <si>
    <t>23507</t>
  </si>
  <si>
    <t xml:space="preserve">MINI PLAYING CARDS BUFFALO BILL </t>
  </si>
  <si>
    <t>85132B</t>
  </si>
  <si>
    <t>CHARLIE AND LOLA TABLE TINS</t>
  </si>
  <si>
    <t>21773</t>
  </si>
  <si>
    <t>DECORATIVE ROSE BATHROOM BOTTLE</t>
  </si>
  <si>
    <t>22678</t>
  </si>
  <si>
    <t>FRENCH BLUE METAL DOOR SIGN 3</t>
  </si>
  <si>
    <t>21774</t>
  </si>
  <si>
    <t>DECORATIVE CATS BATHROOM BOTTLE</t>
  </si>
  <si>
    <t>22325</t>
  </si>
  <si>
    <t xml:space="preserve">MOBILE VINTAGE HEARTS </t>
  </si>
  <si>
    <t>20956</t>
  </si>
  <si>
    <t>PORCELAIN T-LIGHT HOLDERS ASSORTED</t>
  </si>
  <si>
    <t>85106</t>
  </si>
  <si>
    <t>CUT GLASS HEXAGON T-LIGHT HOLDER</t>
  </si>
  <si>
    <t>22320</t>
  </si>
  <si>
    <t>BIRDS MOBILE VINTAGE DESIGN</t>
  </si>
  <si>
    <t>22497</t>
  </si>
  <si>
    <t xml:space="preserve">SET OF 2 TINS VINTAGE BATHROOM </t>
  </si>
  <si>
    <t>21043</t>
  </si>
  <si>
    <t>APRON MODERN VINTAGE COTTON</t>
  </si>
  <si>
    <t>21693</t>
  </si>
  <si>
    <t xml:space="preserve">SMALL HAMMERED SILVER CANDLEPOT </t>
  </si>
  <si>
    <t>21947</t>
  </si>
  <si>
    <t>SET OF 6 HEART CHOPSTICKS</t>
  </si>
  <si>
    <t>22376</t>
  </si>
  <si>
    <t>AIRLINE BAG VINTAGE JET SET WHITE</t>
  </si>
  <si>
    <t>21395</t>
  </si>
  <si>
    <t xml:space="preserve">BLUE POLKADOT BEAKER </t>
  </si>
  <si>
    <t>22923</t>
  </si>
  <si>
    <t>FRIDGE MAGNETS LES ENFANTS ASSORTED</t>
  </si>
  <si>
    <t>23506</t>
  </si>
  <si>
    <t xml:space="preserve">MINI PLAYING CARDS SPACEBOY </t>
  </si>
  <si>
    <t>22581</t>
  </si>
  <si>
    <t>WOOD STOCKING CHRISTMAS SCANDISPOT</t>
  </si>
  <si>
    <t>22094</t>
  </si>
  <si>
    <t>RED RETROSPOT TISSUE BOX</t>
  </si>
  <si>
    <t>84912B</t>
  </si>
  <si>
    <t>GREEN ROSE WASHBAG</t>
  </si>
  <si>
    <t>22416</t>
  </si>
  <si>
    <t xml:space="preserve">SET OF 36 DOILIES SPACEBOY DESIGN </t>
  </si>
  <si>
    <t>22446</t>
  </si>
  <si>
    <t>PIN CUSHION BABUSHKA PINK</t>
  </si>
  <si>
    <t>85159B</t>
  </si>
  <si>
    <t>WHITE TEA,COFFEE,SUGAR JARS</t>
  </si>
  <si>
    <t>22155</t>
  </si>
  <si>
    <t>STAR DECORATION RUSTIC</t>
  </si>
  <si>
    <t>22153</t>
  </si>
  <si>
    <t>ANGEL DECORATION STARS ON DRESS</t>
  </si>
  <si>
    <t>22539</t>
  </si>
  <si>
    <t>MINI JIGSAW DOLLY GIRL</t>
  </si>
  <si>
    <t>85087</t>
  </si>
  <si>
    <t>CANDY SPOT CUSHION COVER</t>
  </si>
  <si>
    <t>47585A</t>
  </si>
  <si>
    <t>PINK FAIRY CAKE CUSHION COVER</t>
  </si>
  <si>
    <t>21830</t>
  </si>
  <si>
    <t>ASSORTED CREEPY CRAWLIES</t>
  </si>
  <si>
    <t>22211</t>
  </si>
  <si>
    <t>WOOD STAMP SET FLOWERS</t>
  </si>
  <si>
    <t>22815</t>
  </si>
  <si>
    <t>CARD PSYCHEDELIC APPLES</t>
  </si>
  <si>
    <t>84944</t>
  </si>
  <si>
    <t>SET OF 6 KASHMIR FOLKART BAUBLES</t>
  </si>
  <si>
    <t>47580</t>
  </si>
  <si>
    <t>TEA TIME DES TEA COSY</t>
  </si>
  <si>
    <t>22608</t>
  </si>
  <si>
    <t xml:space="preserve">PENS ASSORTED FUNKY JEWELED </t>
  </si>
  <si>
    <t>21809</t>
  </si>
  <si>
    <t>CHRISTMAS HANGING TREE WITH BELL</t>
  </si>
  <si>
    <t>23510</t>
  </si>
  <si>
    <t>MINI PLAYING CARDS GYMKHANA</t>
  </si>
  <si>
    <t>22060</t>
  </si>
  <si>
    <t>LARGE CAKE STAND HANGING HEARTS</t>
  </si>
  <si>
    <t>23411</t>
  </si>
  <si>
    <t xml:space="preserve"> TRELLIS COAT RACK</t>
  </si>
  <si>
    <t>21984</t>
  </si>
  <si>
    <t xml:space="preserve">PACK OF 12 PINK PAISLEY TISSUES </t>
  </si>
  <si>
    <t>21466</t>
  </si>
  <si>
    <t>RED FLOWER CROCHET FOOD COVER</t>
  </si>
  <si>
    <t>22997</t>
  </si>
  <si>
    <t>TRAVEL CARD WALLET UNION JACK</t>
  </si>
  <si>
    <t>22817</t>
  </si>
  <si>
    <t>CARD SUKI BIRTHDAY</t>
  </si>
  <si>
    <t>23513</t>
  </si>
  <si>
    <t xml:space="preserve">EMBROIDERED RIBBON REEL SUSIE </t>
  </si>
  <si>
    <t>22758</t>
  </si>
  <si>
    <t xml:space="preserve">LARGE PURPLE BABUSHKA NOTEBOOK  </t>
  </si>
  <si>
    <t>22342</t>
  </si>
  <si>
    <t xml:space="preserve">HOME GARLAND PAINTED ZINC </t>
  </si>
  <si>
    <t>23375</t>
  </si>
  <si>
    <t>50'S CHRISTMAS PAPER GIFT BAG</t>
  </si>
  <si>
    <t>23433</t>
  </si>
  <si>
    <t>HANGING QUILTED PATCHWORK APPLES</t>
  </si>
  <si>
    <t>22444</t>
  </si>
  <si>
    <t xml:space="preserve">GROW YOUR OWN PLANT IN A CAN </t>
  </si>
  <si>
    <t>85116</t>
  </si>
  <si>
    <t>BLACK CANDELABRA T-LIGHT HOLDER</t>
  </si>
  <si>
    <t>85127</t>
  </si>
  <si>
    <t>SMALL SQUARE CUT GLASS CANDLESTICK</t>
  </si>
  <si>
    <t>22984</t>
  </si>
  <si>
    <t xml:space="preserve">CARD GINGHAM ROSE </t>
  </si>
  <si>
    <t>85114A</t>
  </si>
  <si>
    <t>BLACK ENCHANTED FOREST PLACEMAT</t>
  </si>
  <si>
    <t>85036C</t>
  </si>
  <si>
    <t>ROSE 1 WICK MORRIS BOXED CANDLE</t>
  </si>
  <si>
    <t>22819</t>
  </si>
  <si>
    <t>BIRTHDAY CARD, RETRO SPOT</t>
  </si>
  <si>
    <t>22221</t>
  </si>
  <si>
    <t>CAKE STAND LOVEBIRD 2 TIER PINK</t>
  </si>
  <si>
    <t>21824</t>
  </si>
  <si>
    <t>PAINTED METAL STAR WITH HOLLY BELLS</t>
  </si>
  <si>
    <t>21688</t>
  </si>
  <si>
    <t>SILVER PLATE CANDLE BOWL SMALL</t>
  </si>
  <si>
    <t>22309</t>
  </si>
  <si>
    <t>TEA COSY RED  STRIPE</t>
  </si>
  <si>
    <t>23087</t>
  </si>
  <si>
    <t>ZINC  HEART T-LIGHT HOLDER</t>
  </si>
  <si>
    <t>23432</t>
  </si>
  <si>
    <t>PRETTY HANGING QUILTED HEARTS</t>
  </si>
  <si>
    <t>21818</t>
  </si>
  <si>
    <t>GLITTER HEART DECORATION</t>
  </si>
  <si>
    <t>15056bl</t>
  </si>
  <si>
    <t>23102</t>
  </si>
  <si>
    <t>SILVER HEARTS TABLE DECORATION</t>
  </si>
  <si>
    <t>21469</t>
  </si>
  <si>
    <t>POLKA DOT RAFFIA FOOD COVER</t>
  </si>
  <si>
    <t>21991</t>
  </si>
  <si>
    <t>BOHEMIAN COLLAGE STATIONERY SET</t>
  </si>
  <si>
    <t>21224</t>
  </si>
  <si>
    <t>SET/4 SKULL BADGES</t>
  </si>
  <si>
    <t>84459B</t>
  </si>
  <si>
    <t xml:space="preserve">YELLOW METAL CHICKEN HEART </t>
  </si>
  <si>
    <t>51014L</t>
  </si>
  <si>
    <t>FEATHER PEN,LIGHT PINK</t>
  </si>
  <si>
    <t>23347</t>
  </si>
  <si>
    <t>I LOVE LONDON BEAKER</t>
  </si>
  <si>
    <t>22611</t>
  </si>
  <si>
    <t>VINTAGE UNION JACK SHOPPING BAG</t>
  </si>
  <si>
    <t>22245</t>
  </si>
  <si>
    <t>HOOK, 1 HANGER ,MAGIC GARDEN</t>
  </si>
  <si>
    <t>23041</t>
  </si>
  <si>
    <t>PAPER LANTERN 9 POINT SNOW STAR</t>
  </si>
  <si>
    <t>21288</t>
  </si>
  <si>
    <t>STRIPEY CHOCOLATE NESTING BOXES</t>
  </si>
  <si>
    <t>22123</t>
  </si>
  <si>
    <t>PING MICROWAVE APRON</t>
  </si>
  <si>
    <t>35648</t>
  </si>
  <si>
    <t xml:space="preserve">VINTAGE BEAD PINK PURSE </t>
  </si>
  <si>
    <t>21819</t>
  </si>
  <si>
    <t xml:space="preserve">GLITTER CHRISTMAS STAR </t>
  </si>
  <si>
    <t>SILVER RECORD COVER FRAME</t>
  </si>
  <si>
    <t>23033</t>
  </si>
  <si>
    <t>DRAWER KNOB CERAMIC RED</t>
  </si>
  <si>
    <t>21391</t>
  </si>
  <si>
    <t>FRENCH LAVENDER SCENT HEART</t>
  </si>
  <si>
    <t>23516</t>
  </si>
  <si>
    <t xml:space="preserve">EMBROIDERED RIBBON REEL SOPHIE  </t>
  </si>
  <si>
    <t>23331</t>
  </si>
  <si>
    <t>DECORATIVE WICKER HEART SMALL</t>
  </si>
  <si>
    <t>22995</t>
  </si>
  <si>
    <t>TRAVEL CARD WALLET SUKI</t>
  </si>
  <si>
    <t>20931</t>
  </si>
  <si>
    <t xml:space="preserve">BLUE POT PLANT CANDLE </t>
  </si>
  <si>
    <t>84459A</t>
  </si>
  <si>
    <t xml:space="preserve">PINK METAL CHICKEN HEART </t>
  </si>
  <si>
    <t>22438</t>
  </si>
  <si>
    <t>BALLOON ART MAKE YOUR OWN FLOWERS</t>
  </si>
  <si>
    <t>85035B</t>
  </si>
  <si>
    <t>CHOCOLATE 3 WICK MORRIS BOX CANDLE</t>
  </si>
  <si>
    <t>22190</t>
  </si>
  <si>
    <t>LOCAL CAFE MUG</t>
  </si>
  <si>
    <t>23402</t>
  </si>
  <si>
    <t xml:space="preserve">HOME SWEET HOME 3 PEG HANGER </t>
  </si>
  <si>
    <t>23529</t>
  </si>
  <si>
    <t>DOLLY GIRL WALL ART</t>
  </si>
  <si>
    <t>21464</t>
  </si>
  <si>
    <t>DISCO BALL ROTATOR BATTERY OPERATED</t>
  </si>
  <si>
    <t>21949</t>
  </si>
  <si>
    <t>SET OF 6 STRAWBERRY CHOPSTICKS</t>
  </si>
  <si>
    <t>22152</t>
  </si>
  <si>
    <t>PLACE SETTING WHITE STAR</t>
  </si>
  <si>
    <t>16016</t>
  </si>
  <si>
    <t>LARGE CHINESE STYLE SCISSOR</t>
  </si>
  <si>
    <t>23327</t>
  </si>
  <si>
    <t>HANGING CLEAR MINI BOTTLE</t>
  </si>
  <si>
    <t>22066</t>
  </si>
  <si>
    <t>LOVE HEART TRINKET POT</t>
  </si>
  <si>
    <t>16237</t>
  </si>
  <si>
    <t>SLEEPING CAT ERASERS</t>
  </si>
  <si>
    <t>21508</t>
  </si>
  <si>
    <t xml:space="preserve">VINTAGE KID DOLLY CARD </t>
  </si>
  <si>
    <t>23419</t>
  </si>
  <si>
    <t xml:space="preserve">HOME SWEET HOME BOTTLE </t>
  </si>
  <si>
    <t>70'S ALPHABET WALL ART</t>
  </si>
  <si>
    <t>22163</t>
  </si>
  <si>
    <t>HEART STRING MEMO HOLDER HANGING</t>
  </si>
  <si>
    <t>85180A</t>
  </si>
  <si>
    <t xml:space="preserve">RED HEARTS LIGHT CHAIN </t>
  </si>
  <si>
    <t xml:space="preserve">WRAP  VINTAGE DOILY </t>
  </si>
  <si>
    <t>22808</t>
  </si>
  <si>
    <t>SET OF 6 T-LIGHTS EASTER CHICKS</t>
  </si>
  <si>
    <t>79302M</t>
  </si>
  <si>
    <t>ART LIGHTS,FUNK MONKEY</t>
  </si>
  <si>
    <t>21821</t>
  </si>
  <si>
    <t xml:space="preserve">GLITTER STAR GARLAND WITH BELLS </t>
  </si>
  <si>
    <t>22402</t>
  </si>
  <si>
    <t>MAGNETS PACK OF 4 VINTAGE COLLAGE</t>
  </si>
  <si>
    <t>22024</t>
  </si>
  <si>
    <t>RAINY LADIES BIRTHDAY CARD</t>
  </si>
  <si>
    <t>23088</t>
  </si>
  <si>
    <t>ZINC HEART FLOWER T-LIGHT HOLDER</t>
  </si>
  <si>
    <t>22091</t>
  </si>
  <si>
    <t>EMPIRE TISSUE BOX</t>
  </si>
  <si>
    <t>21788</t>
  </si>
  <si>
    <t>KIDS RAIN MAC BLUE</t>
  </si>
  <si>
    <t>22860</t>
  </si>
  <si>
    <t>EASTER TIN CHICKS PINK DAISY</t>
  </si>
  <si>
    <t>20967</t>
  </si>
  <si>
    <t>GREY FLORAL FELTCRAFT SHOULDER BAG</t>
  </si>
  <si>
    <t>21803</t>
  </si>
  <si>
    <t>CHRISTMAS TREE STAR DECORATION</t>
  </si>
  <si>
    <t>22231</t>
  </si>
  <si>
    <t>JIGSAW TREE WITH BIRDHOUSE</t>
  </si>
  <si>
    <t>21679</t>
  </si>
  <si>
    <t>SKULLS  STICKERS</t>
  </si>
  <si>
    <t>15044C</t>
  </si>
  <si>
    <t>PURPLE PAPER PARASOL</t>
  </si>
  <si>
    <t>22614</t>
  </si>
  <si>
    <t>PACK OF 12 SPACEBOY TISSUES</t>
  </si>
  <si>
    <t>22679</t>
  </si>
  <si>
    <t>FRENCH BLUE METAL DOOR SIGN 4</t>
  </si>
  <si>
    <t>20966</t>
  </si>
  <si>
    <t>SANDWICH BATH SPONGE</t>
  </si>
  <si>
    <t>21188</t>
  </si>
  <si>
    <t>3D HEARTS  HONEYCOMB PAPER GARLAND</t>
  </si>
  <si>
    <t>23452</t>
  </si>
  <si>
    <t>HEART MINI PORTRAIT FRAME</t>
  </si>
  <si>
    <t>23153</t>
  </si>
  <si>
    <t>ZINC SWEETHEART WIRE LETTER RACK</t>
  </si>
  <si>
    <t>22673</t>
  </si>
  <si>
    <t>FRENCH GARDEN SIGN BLUE METAL</t>
  </si>
  <si>
    <t>22459</t>
  </si>
  <si>
    <t>CAST IRON HOOK GARDEN TROWEL</t>
  </si>
  <si>
    <t>23544</t>
  </si>
  <si>
    <t xml:space="preserve">WALL ART MID CENTURY MODERN </t>
  </si>
  <si>
    <t>23525</t>
  </si>
  <si>
    <t xml:space="preserve">WALL ART BUFFALO BILL </t>
  </si>
  <si>
    <t>85039A</t>
  </si>
  <si>
    <t>SET/4 RED MINI ROSE CANDLE IN BOWL</t>
  </si>
  <si>
    <t>21617</t>
  </si>
  <si>
    <t>4 LILY  BOTANICAL DINNER CANDLES</t>
  </si>
  <si>
    <t>21354</t>
  </si>
  <si>
    <t>TOAST ITS - BEST MUM</t>
  </si>
  <si>
    <t>21198</t>
  </si>
  <si>
    <t>WHITE HEART CONFETTI IN TUBE</t>
  </si>
  <si>
    <t>22279</t>
  </si>
  <si>
    <t>POCKET BAG BLUE PAISLEY RED SPOT</t>
  </si>
  <si>
    <t>23460</t>
  </si>
  <si>
    <t xml:space="preserve">SWEETHEART WALL TIDY </t>
  </si>
  <si>
    <t>72816</t>
  </si>
  <si>
    <t>SET/3 CHRISTMAS DECOUPAGE CANDLES</t>
  </si>
  <si>
    <t>21467</t>
  </si>
  <si>
    <t>CHERRY CROCHET FOOD COVER</t>
  </si>
  <si>
    <t>22098</t>
  </si>
  <si>
    <t>BOUDOIR SQUARE TISSUE BOX</t>
  </si>
  <si>
    <t>23121</t>
  </si>
  <si>
    <t>PACK OF 6 COCKTAIL PARASOL STRAWS</t>
  </si>
  <si>
    <t>22695</t>
  </si>
  <si>
    <t>WICKER WREATH SMALL</t>
  </si>
  <si>
    <t>21355</t>
  </si>
  <si>
    <t xml:space="preserve">TOAST ITS - I LOVE YOU </t>
  </si>
  <si>
    <t>23533</t>
  </si>
  <si>
    <t xml:space="preserve">WALL ART GARDEN HAVEN </t>
  </si>
  <si>
    <t>85232D</t>
  </si>
  <si>
    <t>SET/3 DECOUPAGE STACKING TINS</t>
  </si>
  <si>
    <t>22069</t>
  </si>
  <si>
    <t xml:space="preserve">BROWN  PIRATE TREASURE CHEST </t>
  </si>
  <si>
    <t>23517</t>
  </si>
  <si>
    <t xml:space="preserve">EMBROIDERED RIBBON REEL REBECCA </t>
  </si>
  <si>
    <t>84558A</t>
  </si>
  <si>
    <t>3D DOG PICTURE PLAYING CARDS</t>
  </si>
  <si>
    <t>MISELTOE HEART WREATH CREAM</t>
  </si>
  <si>
    <t>10125</t>
  </si>
  <si>
    <t>MINI FUNKY DESIGN TAPES</t>
  </si>
  <si>
    <t>22242</t>
  </si>
  <si>
    <t>5 HOOK HANGER MAGIC TOADSTOOL</t>
  </si>
  <si>
    <t>21648</t>
  </si>
  <si>
    <t>ASSORTED TUTTI FRUTTI SMALL PURSE</t>
  </si>
  <si>
    <t>20886</t>
  </si>
  <si>
    <t>BOX OF 9 PEBBLE CANDLES</t>
  </si>
  <si>
    <t>23281</t>
  </si>
  <si>
    <t xml:space="preserve">FOLDING BUTTERFLY MIRROR RED  </t>
  </si>
  <si>
    <t>35651</t>
  </si>
  <si>
    <t xml:space="preserve">VINTAGE BEAD PINK SCARF </t>
  </si>
  <si>
    <t>35471D</t>
  </si>
  <si>
    <t xml:space="preserve">SET OF 3 BIRD LIGHT PINK FEATHER </t>
  </si>
  <si>
    <t>20802</t>
  </si>
  <si>
    <t>SMALL GLASS SUNDAE DISH CLEAR</t>
  </si>
  <si>
    <t>23518</t>
  </si>
  <si>
    <t xml:space="preserve">EMBROIDERED RIBBON REEL RACHEL </t>
  </si>
  <si>
    <t>22500</t>
  </si>
  <si>
    <t>SET OF 2 TINS JARDIN DE PROVENCE</t>
  </si>
  <si>
    <t>21948</t>
  </si>
  <si>
    <t>SET OF 6 CAKE CHOPSTICKS</t>
  </si>
  <si>
    <t>22857</t>
  </si>
  <si>
    <t>ASSORTED EASTER GIFT TAGS</t>
  </si>
  <si>
    <t>23514</t>
  </si>
  <si>
    <t xml:space="preserve">EMBROIDERED RIBBON REEL SALLY </t>
  </si>
  <si>
    <t>23512</t>
  </si>
  <si>
    <t>EMBROIDERED RIBBON REEL ROSIE</t>
  </si>
  <si>
    <t>85064</t>
  </si>
  <si>
    <t>CREAM SWEETHEART LETTER RACK</t>
  </si>
  <si>
    <t>22681</t>
  </si>
  <si>
    <t>FRENCH BLUE METAL DOOR SIGN 6</t>
  </si>
  <si>
    <t>SWISS ROLL TOWEL, PINK  SPOTS</t>
  </si>
  <si>
    <t>84843</t>
  </si>
  <si>
    <t>WHITE SOAP RACK WITH 2 BOTTLES</t>
  </si>
  <si>
    <t>22307</t>
  </si>
  <si>
    <t>GOLD MUG BONE CHINA TREE OF LIFE</t>
  </si>
  <si>
    <t>22209</t>
  </si>
  <si>
    <t>WOOD STAMP SET HAPPY BIRTHDAY</t>
  </si>
  <si>
    <t>21058</t>
  </si>
  <si>
    <t>PARTY INVITES WOODLAND</t>
  </si>
  <si>
    <t>22599</t>
  </si>
  <si>
    <t>CHRISTMAS MUSICAL ZINC STAR</t>
  </si>
  <si>
    <t>23183</t>
  </si>
  <si>
    <t xml:space="preserve">MOTHER'S KITCHEN SPOON REST </t>
  </si>
  <si>
    <t>21389</t>
  </si>
  <si>
    <t>IVORY HANGING DECORATION  BIRD</t>
  </si>
  <si>
    <t>47504H</t>
  </si>
  <si>
    <t xml:space="preserve">ENGLISH ROSE SPIRIT LEVEL </t>
  </si>
  <si>
    <t>23107</t>
  </si>
  <si>
    <t>WHITE HEARTS WIRE PLANT POT HOLDER</t>
  </si>
  <si>
    <t>70007</t>
  </si>
  <si>
    <t>HI TEC ALPINE HAND WARMER</t>
  </si>
  <si>
    <t>22540</t>
  </si>
  <si>
    <t xml:space="preserve">MINI JIGSAW CIRCUS PARADE </t>
  </si>
  <si>
    <t>22210</t>
  </si>
  <si>
    <t>WOOD STAMP SET BEST WISHES</t>
  </si>
  <si>
    <t>20846</t>
  </si>
  <si>
    <t>ZINC HEART LATTICE T-LIGHT HOLDER</t>
  </si>
  <si>
    <t>22994</t>
  </si>
  <si>
    <t>TRAVEL CARD WALLET RETROSPOT</t>
  </si>
  <si>
    <t>20733</t>
  </si>
  <si>
    <t xml:space="preserve">GOLD MINI TAPE MEASURE </t>
  </si>
  <si>
    <t xml:space="preserve">WALL ART DOLLY GIRL </t>
  </si>
  <si>
    <t>23380</t>
  </si>
  <si>
    <t>PACK OF 12 VINTAGE DOILY TISSUES</t>
  </si>
  <si>
    <t>22262</t>
  </si>
  <si>
    <t>FELT EGG COSY CHICKEN</t>
  </si>
  <si>
    <t>84913A</t>
  </si>
  <si>
    <t xml:space="preserve">SOFT PINK ROSE TOWEL </t>
  </si>
  <si>
    <t>84819</t>
  </si>
  <si>
    <t>DANISH ROSE ROUND SEWING BOX</t>
  </si>
  <si>
    <t>ADULT APRON APPLE DELIGHT</t>
  </si>
  <si>
    <t>84509G</t>
  </si>
  <si>
    <t xml:space="preserve">SET OF 4 FAIRY CAKE PLACEMATS </t>
  </si>
  <si>
    <t>84596G</t>
  </si>
  <si>
    <t>SMALL CHOCOLATES PINK BOWL</t>
  </si>
  <si>
    <t>21683</t>
  </si>
  <si>
    <t xml:space="preserve">MEDIUM MEDINA STAMPED METAL BOWL </t>
  </si>
  <si>
    <t>21717</t>
  </si>
  <si>
    <t>EASTER TIN BUCKET</t>
  </si>
  <si>
    <t>15044B</t>
  </si>
  <si>
    <t xml:space="preserve">BLUE PAPER PARASOL </t>
  </si>
  <si>
    <t>47593B</t>
  </si>
  <si>
    <t>SCOTTIE DOGS BABY BIB</t>
  </si>
  <si>
    <t>22270</t>
  </si>
  <si>
    <t>HAPPY EASTER HANGING DECORATION</t>
  </si>
  <si>
    <t>21507</t>
  </si>
  <si>
    <t xml:space="preserve">ELEPHANT, BIRTHDAY CARD, </t>
  </si>
  <si>
    <t>23178</t>
  </si>
  <si>
    <t>JAM CLOCK MAGNET</t>
  </si>
  <si>
    <t>22986</t>
  </si>
  <si>
    <t xml:space="preserve">WRAP GINGHAM ROSE </t>
  </si>
  <si>
    <t>22246</t>
  </si>
  <si>
    <t xml:space="preserve">MAGIC GARDEN FELT GARLAND </t>
  </si>
  <si>
    <t>22132</t>
  </si>
  <si>
    <t>RED LOVE HEART SHAPE CUP</t>
  </si>
  <si>
    <t>35646</t>
  </si>
  <si>
    <t>VINTAGE BEAD PINK EVENING BAG</t>
  </si>
  <si>
    <t>22281</t>
  </si>
  <si>
    <t>EASTER TREE YELLOW BIRDS</t>
  </si>
  <si>
    <t>20752</t>
  </si>
  <si>
    <t>BLUE POLKADOT WASHING UP GLOVES</t>
  </si>
  <si>
    <t>23540</t>
  </si>
  <si>
    <t xml:space="preserve">WALL ART THE MAGIC FOREST </t>
  </si>
  <si>
    <t>20686</t>
  </si>
  <si>
    <t>DOLLY MIXTURE CHILDREN'S UMBRELLA</t>
  </si>
  <si>
    <t>21462</t>
  </si>
  <si>
    <t>NURSERY A,B,C PAINTED LETTERS</t>
  </si>
  <si>
    <t>22893</t>
  </si>
  <si>
    <t>MINI CAKE STAND T-LIGHT HOLDER</t>
  </si>
  <si>
    <t>21682</t>
  </si>
  <si>
    <t xml:space="preserve">LARGE MEDINA STAMPED METAL BOWL </t>
  </si>
  <si>
    <t>23179</t>
  </si>
  <si>
    <t>CLOCK MAGNET MUM'S KITCHEN</t>
  </si>
  <si>
    <t>22046</t>
  </si>
  <si>
    <t xml:space="preserve">TEA PARTY  WRAPPING PAPER </t>
  </si>
  <si>
    <t>22103</t>
  </si>
  <si>
    <t>MIRROR MOSAIC T-LIGHT HOLDER ROUND</t>
  </si>
  <si>
    <t>23099</t>
  </si>
  <si>
    <t>FRENCH CARRIAGE LANTERN</t>
  </si>
  <si>
    <t>23002</t>
  </si>
  <si>
    <t>TRAVEL CARD WALLET SKULLS</t>
  </si>
  <si>
    <t>85103</t>
  </si>
  <si>
    <t>SILVER T-LIGHT SETTING</t>
  </si>
  <si>
    <t>23527</t>
  </si>
  <si>
    <t>ANIMALS AND NATURE WALL ART</t>
  </si>
  <si>
    <t>22701</t>
  </si>
  <si>
    <t>PINK DOG BOWL</t>
  </si>
  <si>
    <t>17091J</t>
  </si>
  <si>
    <t>VANILLA INCENSE IN TIN</t>
  </si>
  <si>
    <t>21802</t>
  </si>
  <si>
    <t>CHRISTMAS TREE HEART DECORATION</t>
  </si>
  <si>
    <t>85114C</t>
  </si>
  <si>
    <t>RED ENCHANTED FOREST PLACEMAT</t>
  </si>
  <si>
    <t>72799E</t>
  </si>
  <si>
    <t>IVORY PILLAR CANDLE SILVER FLOCK</t>
  </si>
  <si>
    <t>21786</t>
  </si>
  <si>
    <t xml:space="preserve">POLKADOT RAIN HAT </t>
  </si>
  <si>
    <t>23338</t>
  </si>
  <si>
    <t xml:space="preserve">EGG FRYING PAN RED </t>
  </si>
  <si>
    <t>85034A</t>
  </si>
  <si>
    <t>3 GARDENIA MORRIS BOXED CANDLES</t>
  </si>
  <si>
    <t>23472</t>
  </si>
  <si>
    <t xml:space="preserve"> NINE DRAWER OFFICE TIDY</t>
  </si>
  <si>
    <t>21894</t>
  </si>
  <si>
    <t>POTTING SHED SEED ENVELOPES</t>
  </si>
  <si>
    <t>23004</t>
  </si>
  <si>
    <t>TRAVEL CARD WALLET PANTRY</t>
  </si>
  <si>
    <t>37501</t>
  </si>
  <si>
    <t>TEA TIME TEA SET IN GIFT BOX</t>
  </si>
  <si>
    <t>22519</t>
  </si>
  <si>
    <t>CHILDS GARDEN BRUSH PINK</t>
  </si>
  <si>
    <t>84519A</t>
  </si>
  <si>
    <t>TOMATO CHARLIE+LOLA COASTER SET</t>
  </si>
  <si>
    <t>85114B</t>
  </si>
  <si>
    <t>IVORY ENCHANTED FOREST PLACEMAT</t>
  </si>
  <si>
    <t>23532</t>
  </si>
  <si>
    <t xml:space="preserve">WALL ART WORK REST AND PLAY  </t>
  </si>
  <si>
    <t>85131A</t>
  </si>
  <si>
    <t>BEADED PEARL HEART WHITE ON STICK</t>
  </si>
  <si>
    <t>22118</t>
  </si>
  <si>
    <t>JOY WOODEN BLOCK LETTERS</t>
  </si>
  <si>
    <t>22106</t>
  </si>
  <si>
    <t xml:space="preserve">MIRROR MOSAIC HURRICANE LAMP </t>
  </si>
  <si>
    <t>21465</t>
  </si>
  <si>
    <t>PINK FLOWER CROCHET FOOD COVER</t>
  </si>
  <si>
    <t>22277</t>
  </si>
  <si>
    <t>COSMETIC BAG VINTAGE ROSE PAISLEY</t>
  </si>
  <si>
    <t>22682</t>
  </si>
  <si>
    <t>FRENCH BLUE METAL DOOR SIGN 7</t>
  </si>
  <si>
    <t>21631</t>
  </si>
  <si>
    <t>HIPPY CHIC DECORATIVE PARASOL</t>
  </si>
  <si>
    <t>22936</t>
  </si>
  <si>
    <t>BAKING MOULD ROSE WHITE CHOCOLATE</t>
  </si>
  <si>
    <t>22719</t>
  </si>
  <si>
    <t>GUMBALL MONOCHROME COAT RACK</t>
  </si>
  <si>
    <t>21633</t>
  </si>
  <si>
    <t>SUNFLOWER DECORATIVE PARASOL</t>
  </si>
  <si>
    <t>22761</t>
  </si>
  <si>
    <t>CHEST 7 DRAWER MA CAMPAGNE</t>
  </si>
  <si>
    <t>22814</t>
  </si>
  <si>
    <t xml:space="preserve">CARD PARTY GAMES </t>
  </si>
  <si>
    <t>22251</t>
  </si>
  <si>
    <t>BIRDHOUSE DECORATION MAGIC GARDEN</t>
  </si>
  <si>
    <t>21743</t>
  </si>
  <si>
    <t xml:space="preserve">STAR PORTABLE TABLE LIGHT </t>
  </si>
  <si>
    <t>84823</t>
  </si>
  <si>
    <t>DANISH ROSE FOLDING CHAIR</t>
  </si>
  <si>
    <t>21189</t>
  </si>
  <si>
    <t xml:space="preserve">WHITE HONEYCOMB PAPER GARLAND </t>
  </si>
  <si>
    <t>21199</t>
  </si>
  <si>
    <t>PINK  HEART CONFETTI IN TUBE</t>
  </si>
  <si>
    <t>84536B</t>
  </si>
  <si>
    <t>FAIRY CAKES NOTEBOOK A7 SIZE</t>
  </si>
  <si>
    <t>21209</t>
  </si>
  <si>
    <t>MULTICOLOUR HONEYCOMB FAN</t>
  </si>
  <si>
    <t>23528</t>
  </si>
  <si>
    <t>SPACEBOY WALL ART</t>
  </si>
  <si>
    <t>22524</t>
  </si>
  <si>
    <t>CHILDRENS GARDEN GLOVES BLUE</t>
  </si>
  <si>
    <t>46776F</t>
  </si>
  <si>
    <t xml:space="preserve">WOVEN ROSE GARDEN CUSHION COVER </t>
  </si>
  <si>
    <t>22317</t>
  </si>
  <si>
    <t>FIVE CATS HANGING DECORATION</t>
  </si>
  <si>
    <t>22321</t>
  </si>
  <si>
    <t>BIRD DECORATION RED RETROSPOT</t>
  </si>
  <si>
    <t>85176</t>
  </si>
  <si>
    <t>SEWING SUSAN 21 NEEDLE SET</t>
  </si>
  <si>
    <t>23479</t>
  </si>
  <si>
    <t xml:space="preserve">WIRE EGG BASKET </t>
  </si>
  <si>
    <t>23502</t>
  </si>
  <si>
    <t xml:space="preserve">PLAYING CARDS VINTAGE DOILY </t>
  </si>
  <si>
    <t>84030e</t>
  </si>
  <si>
    <t>22308</t>
  </si>
  <si>
    <t>TEA COSY BLUE STRIPE</t>
  </si>
  <si>
    <t>23423</t>
  </si>
  <si>
    <t>PANTRY 3 HOOK ROLLING PIN HANGER</t>
  </si>
  <si>
    <t>21695</t>
  </si>
  <si>
    <t>SMALL SILVER FLOWER CANDLE POT</t>
  </si>
  <si>
    <t>21399</t>
  </si>
  <si>
    <t>BLUE POLKADOT COFFEE MUG</t>
  </si>
  <si>
    <t>22343</t>
  </si>
  <si>
    <t>PARTY PIZZA DISH RED RETROSPOT</t>
  </si>
  <si>
    <t>22565</t>
  </si>
  <si>
    <t xml:space="preserve">FELTCRAFT HAIRBANDS PINK AND WHITE </t>
  </si>
  <si>
    <t>22683</t>
  </si>
  <si>
    <t>FRENCH BLUE METAL DOOR SIGN 8</t>
  </si>
  <si>
    <t>85049H</t>
  </si>
  <si>
    <t xml:space="preserve">URBAN BLACK RIBBONS </t>
  </si>
  <si>
    <t>23220</t>
  </si>
  <si>
    <t>REINDEER HEART DECORATION GOLD</t>
  </si>
  <si>
    <t>21204</t>
  </si>
  <si>
    <t xml:space="preserve">DAISIES  HONEYCOMB GARLAND </t>
  </si>
  <si>
    <t>21708</t>
  </si>
  <si>
    <t>FOLDING UMBRELLA CREAM POLKADOT</t>
  </si>
  <si>
    <t>23545</t>
  </si>
  <si>
    <t>WRAP RED VINTAGE DOILY</t>
  </si>
  <si>
    <t>22068</t>
  </si>
  <si>
    <t>BLACK PIRATE TREASURE CHEST</t>
  </si>
  <si>
    <t>21359</t>
  </si>
  <si>
    <t>RELAX LARGE WOOD LETTERS</t>
  </si>
  <si>
    <t>84849D</t>
  </si>
  <si>
    <t>HOT BATHS SOAP HOLDER</t>
  </si>
  <si>
    <t>21880</t>
  </si>
  <si>
    <t>RED RETROSPOT TAPE</t>
  </si>
  <si>
    <t>85135C</t>
  </si>
  <si>
    <t>RED DRAGONFLY HELICOPTER</t>
  </si>
  <si>
    <t>21823</t>
  </si>
  <si>
    <t>PAINTED METAL HEART WITH HOLLY BELL</t>
  </si>
  <si>
    <t xml:space="preserve">BUFFALO BILL WALL ART </t>
  </si>
  <si>
    <t>85183A</t>
  </si>
  <si>
    <t>CHARLIE &amp; LOLA WASTEPAPER BIN BLUE</t>
  </si>
  <si>
    <t>84535B</t>
  </si>
  <si>
    <t>FAIRY CAKES NOTEBOOK A6 SIZE</t>
  </si>
  <si>
    <t>84006</t>
  </si>
  <si>
    <t>MAGIC TREE -PAPER FLOWERS</t>
  </si>
  <si>
    <t>22706</t>
  </si>
  <si>
    <t xml:space="preserve">WRAP COWBOYS  </t>
  </si>
  <si>
    <t>22105</t>
  </si>
  <si>
    <t>MIRROR MOSAIC GOBLET CANDLE HOLDER</t>
  </si>
  <si>
    <t>22537</t>
  </si>
  <si>
    <t>MAGIC DRAWING SLATE DINOSAUR</t>
  </si>
  <si>
    <t>22862</t>
  </si>
  <si>
    <t xml:space="preserve">LOVE HEART NAPKIN BOX </t>
  </si>
  <si>
    <t>23564</t>
  </si>
  <si>
    <t>EGG CUP MILKMAID INGRID</t>
  </si>
  <si>
    <t>22162</t>
  </si>
  <si>
    <t>HEART GARLAND RUSTIC PADDED</t>
  </si>
  <si>
    <t>23551</t>
  </si>
  <si>
    <t xml:space="preserve">PACK OF 12 PAISLEY PARK TISSUES </t>
  </si>
  <si>
    <t>37327</t>
  </si>
  <si>
    <t>ASSTD MULTICOLOUR CIRCLES MUG</t>
  </si>
  <si>
    <t>20839</t>
  </si>
  <si>
    <t xml:space="preserve">FRENCH PAISLEY CUSHION COVER </t>
  </si>
  <si>
    <t>21694</t>
  </si>
  <si>
    <t xml:space="preserve">SMALL REGAL  SILVER CANDLEPOT </t>
  </si>
  <si>
    <t>15034</t>
  </si>
  <si>
    <t xml:space="preserve">PAPER POCKET TRAVELING FAN </t>
  </si>
  <si>
    <t>22276</t>
  </si>
  <si>
    <t>WASH BAG VINTAGE ROSE PAISLEY</t>
  </si>
  <si>
    <t>84997a</t>
  </si>
  <si>
    <t>22254</t>
  </si>
  <si>
    <t>FELT TOADSTOOL LARGE</t>
  </si>
  <si>
    <t>21125</t>
  </si>
  <si>
    <t>SET 6 FOOTBALL CELEBRATION CANDLES</t>
  </si>
  <si>
    <t>20986</t>
  </si>
  <si>
    <t>BLUE CALCULATOR RULER</t>
  </si>
  <si>
    <t>23523</t>
  </si>
  <si>
    <t>TREASURE AHOY WALL ART</t>
  </si>
  <si>
    <t>22587</t>
  </si>
  <si>
    <t>FELTCRAFT HAIRBAND RED AND BLUE</t>
  </si>
  <si>
    <t>22217</t>
  </si>
  <si>
    <t>T-LIGHT HOLDER HANGING LACE</t>
  </si>
  <si>
    <t>22102</t>
  </si>
  <si>
    <t xml:space="preserve">MIRROR MOSAIC T-LIGHT HOLDER </t>
  </si>
  <si>
    <t>21642</t>
  </si>
  <si>
    <t>ASSORTED TUTTI FRUTTI PEN</t>
  </si>
  <si>
    <t>21804</t>
  </si>
  <si>
    <t>WHITE CHRISTMAS GARLAND STARS TREES</t>
  </si>
  <si>
    <t>22454</t>
  </si>
  <si>
    <t>MEASURING TAPE BABUSHKA RED</t>
  </si>
  <si>
    <t>22341</t>
  </si>
  <si>
    <t xml:space="preserve">LOVE GARLAND PAINTED ZINC </t>
  </si>
  <si>
    <t>22249</t>
  </si>
  <si>
    <t>DECORATION WHITE CHICK MAGIC GARDEN</t>
  </si>
  <si>
    <t>23017</t>
  </si>
  <si>
    <t>APOTHECARY MEASURING JAR</t>
  </si>
  <si>
    <t>21294</t>
  </si>
  <si>
    <t>ETCHED GLASS COASTER</t>
  </si>
  <si>
    <t>22093</t>
  </si>
  <si>
    <t>MOTORING TISSUE BOX</t>
  </si>
  <si>
    <t>85194L</t>
  </si>
  <si>
    <t>HANGING SPRING FLOWER EGG LARGE</t>
  </si>
  <si>
    <t>21905</t>
  </si>
  <si>
    <t xml:space="preserve">MORE BUTTER METAL SIGN </t>
  </si>
  <si>
    <t>72818</t>
  </si>
  <si>
    <t>CHRISTMAS DECOUPAGE CANDLE</t>
  </si>
  <si>
    <t>21291</t>
  </si>
  <si>
    <t xml:space="preserve">SMALL POLKADOT CHOCOLATE GIFT BAG </t>
  </si>
  <si>
    <t>23186</t>
  </si>
  <si>
    <t xml:space="preserve">FRENCH STYLE STORAGE JAR CAFE </t>
  </si>
  <si>
    <t>85169A</t>
  </si>
  <si>
    <t>IVORY LOVE BIRD CANDLE</t>
  </si>
  <si>
    <t>85049a</t>
  </si>
  <si>
    <t>79191C</t>
  </si>
  <si>
    <t>RETRO PLASTIC ELEPHANT TRAY</t>
  </si>
  <si>
    <t>23022</t>
  </si>
  <si>
    <t>SMALL BONNE JAM JAR  T-LIGHT HOLDER</t>
  </si>
  <si>
    <t>21789</t>
  </si>
  <si>
    <t>KIDS RAIN MAC PINK</t>
  </si>
  <si>
    <t>84509B</t>
  </si>
  <si>
    <t>SET OF 4 FAIRY CAKE PLACEMATS</t>
  </si>
  <si>
    <t>22099</t>
  </si>
  <si>
    <t>CARAVAN SQUARE TISSUE BOX</t>
  </si>
  <si>
    <t>79160</t>
  </si>
  <si>
    <t>HEART SHAPE WIRELESS DOORBELL</t>
  </si>
  <si>
    <t>23409</t>
  </si>
  <si>
    <t>PHOTO FRAME LINEN AND LACE LARGE</t>
  </si>
  <si>
    <t>22705</t>
  </si>
  <si>
    <t xml:space="preserve">WRAP GREEN PEARS </t>
  </si>
  <si>
    <t>22546</t>
  </si>
  <si>
    <t>MINI JIGSAW PURDEY</t>
  </si>
  <si>
    <t>23524</t>
  </si>
  <si>
    <t>HORSE &amp; PONY WALL ART</t>
  </si>
  <si>
    <t>85185B</t>
  </si>
  <si>
    <t>PINK HORSE SOCK PUPPET</t>
  </si>
  <si>
    <t>85170D</t>
  </si>
  <si>
    <t>SET/6 PINK BIRD T-LIGHT CANDLES</t>
  </si>
  <si>
    <t>23487</t>
  </si>
  <si>
    <t>SWEET HEART CAKE CARRIER</t>
  </si>
  <si>
    <t>85035A</t>
  </si>
  <si>
    <t>GARDENIA 3 WICK MORRIS BOXED CANDLE</t>
  </si>
  <si>
    <t>85173</t>
  </si>
  <si>
    <t>SET/6 FROG PRINCE T-LIGHT CANDLES</t>
  </si>
  <si>
    <t>22566</t>
  </si>
  <si>
    <t>FELTCRAFT HAIRBAND PINK AND PURPLE</t>
  </si>
  <si>
    <t>21162</t>
  </si>
  <si>
    <t xml:space="preserve">TOXIC AREA  DOOR HANGER </t>
  </si>
  <si>
    <t>23335</t>
  </si>
  <si>
    <t xml:space="preserve">EGG FRYING PAN IVORY </t>
  </si>
  <si>
    <t>23106</t>
  </si>
  <si>
    <t>ZINC HEARTS PLANT POT HOLDER</t>
  </si>
  <si>
    <t>23519</t>
  </si>
  <si>
    <t>EMBROIDERED RIBBON REEL CLAIRE</t>
  </si>
  <si>
    <t>22340</t>
  </si>
  <si>
    <t xml:space="preserve">NOEL GARLAND PAINTED ZINC </t>
  </si>
  <si>
    <t>21504</t>
  </si>
  <si>
    <t>SKULLS GREETING CARD</t>
  </si>
  <si>
    <t>23568</t>
  </si>
  <si>
    <t xml:space="preserve">EGG CUP HENRIETTA HEN CREAM </t>
  </si>
  <si>
    <t>21680</t>
  </si>
  <si>
    <t>WOODLAND  STICKERS</t>
  </si>
  <si>
    <t>84279B</t>
  </si>
  <si>
    <t>CHERRY BLOSSOM DECORATIVE FLASK</t>
  </si>
  <si>
    <t>23115</t>
  </si>
  <si>
    <t xml:space="preserve">RED APPLES CHOPPING BOARD   </t>
  </si>
  <si>
    <t>21272</t>
  </si>
  <si>
    <t>SALLE DE BAIN HOOK</t>
  </si>
  <si>
    <t>21158</t>
  </si>
  <si>
    <t xml:space="preserve">MOODY GIRL DOOR HANGER </t>
  </si>
  <si>
    <t>85163B</t>
  </si>
  <si>
    <t xml:space="preserve">BLACK BAROQUE WALL CLOCK </t>
  </si>
  <si>
    <t>22518</t>
  </si>
  <si>
    <t>CHILDS GARDEN BRUSH BLUE</t>
  </si>
  <si>
    <t>84660A</t>
  </si>
  <si>
    <t>WHITE STITCHED WALL CLOCK</t>
  </si>
  <si>
    <t>85159A</t>
  </si>
  <si>
    <t>BLACK TEA,COFFEE,SUGAR JARS</t>
  </si>
  <si>
    <t>22685</t>
  </si>
  <si>
    <t>FRENCH BLUE METAL DOOR SIGN 0</t>
  </si>
  <si>
    <t>22451</t>
  </si>
  <si>
    <t>SILK PURSE BABUSHKA RED</t>
  </si>
  <si>
    <t>22228</t>
  </si>
  <si>
    <t xml:space="preserve">BUNNY WOODEN PAINTED WITH BIRD </t>
  </si>
  <si>
    <t>21983</t>
  </si>
  <si>
    <t xml:space="preserve">PACK OF 12 BLUE PAISLEY TISSUES </t>
  </si>
  <si>
    <t>85231B</t>
  </si>
  <si>
    <t>CINAMMON SET OF 9 T-LIGHTS</t>
  </si>
  <si>
    <t>85032A</t>
  </si>
  <si>
    <t>ROMANTIC IMAGES GIFT WRAP SET</t>
  </si>
  <si>
    <t>22422</t>
  </si>
  <si>
    <t>TOOTHPASTE TUBE PEN</t>
  </si>
  <si>
    <t>84509a</t>
  </si>
  <si>
    <t>22586</t>
  </si>
  <si>
    <t>FELTCRAFT HAIRBAND PINK AND BLUE</t>
  </si>
  <si>
    <t>84519B</t>
  </si>
  <si>
    <t>CARROT CHARLIE+LOLA COASTER SET</t>
  </si>
  <si>
    <t>22522</t>
  </si>
  <si>
    <t xml:space="preserve">CHILDS GARDEN FORK BLUE </t>
  </si>
  <si>
    <t>21084</t>
  </si>
  <si>
    <t>SET/6 COLLAGE PAPER CUPS</t>
  </si>
  <si>
    <t>21927</t>
  </si>
  <si>
    <t xml:space="preserve">BLUE/CREAM STRIPE CUSHION COVER </t>
  </si>
  <si>
    <t>21618</t>
  </si>
  <si>
    <t>4 WILDFLOWER BOTANICAL CANDLES</t>
  </si>
  <si>
    <t>22133</t>
  </si>
  <si>
    <t>PINK LOVE HEART SHAPE CUP</t>
  </si>
  <si>
    <t>84609</t>
  </si>
  <si>
    <t>TALL ROCOCO CANDLE HOLDER</t>
  </si>
  <si>
    <t>22252</t>
  </si>
  <si>
    <t>BIRDCAGE DECORATION TEALIGHT HOLDER</t>
  </si>
  <si>
    <t>85125</t>
  </si>
  <si>
    <t>SMALL ROUND CUT GLASS CANDLESTICK</t>
  </si>
  <si>
    <t>21530</t>
  </si>
  <si>
    <t>DAIRY MAID TOASTRACK</t>
  </si>
  <si>
    <t>22985</t>
  </si>
  <si>
    <t>WRAP BILLBOARD FONTS DESIGN</t>
  </si>
  <si>
    <t>GINGHAM ROSE WRAP</t>
  </si>
  <si>
    <t>23140</t>
  </si>
  <si>
    <t>TRIPLE WIRE HOOK IVORY HEART</t>
  </si>
  <si>
    <t>22025</t>
  </si>
  <si>
    <t>RING OF ROSES BIRTHDAY CARD</t>
  </si>
  <si>
    <t>23006</t>
  </si>
  <si>
    <t>TRAVEL CARD WALLET FLOWER MEADOW</t>
  </si>
  <si>
    <t>22786</t>
  </si>
  <si>
    <t>CUSHION COVER PINK UNION JACK</t>
  </si>
  <si>
    <t>21707</t>
  </si>
  <si>
    <t>FOLDING UMBRELLA BLACKBLUE POLKADOT</t>
  </si>
  <si>
    <t>23550</t>
  </si>
  <si>
    <t xml:space="preserve">WRAP ALPHABET POSTER  </t>
  </si>
  <si>
    <t>23458</t>
  </si>
  <si>
    <t xml:space="preserve">DOLLY CABINET 3 DRAWERS </t>
  </si>
  <si>
    <t>85212</t>
  </si>
  <si>
    <t xml:space="preserve">MINI PAINTED GARDEN DECORATION </t>
  </si>
  <si>
    <t>23025</t>
  </si>
  <si>
    <t>DRAWER KNOB VINTAGE GLASS BALL</t>
  </si>
  <si>
    <t>85130B</t>
  </si>
  <si>
    <t>BEADED CRYSTAL HEART GREEN LARGE</t>
  </si>
  <si>
    <t>23123</t>
  </si>
  <si>
    <t>COCKTAIL SWORDS 50 PIECES</t>
  </si>
  <si>
    <t xml:space="preserve">WALL ART HORSE &amp; PONY </t>
  </si>
  <si>
    <t>17084R</t>
  </si>
  <si>
    <t>ASSORTED INCENSE PACK</t>
  </si>
  <si>
    <t>21287</t>
  </si>
  <si>
    <t xml:space="preserve">SCENTED VELVET LOUNGE CANDLE </t>
  </si>
  <si>
    <t>10002</t>
  </si>
  <si>
    <t xml:space="preserve">INFLATABLE POLITICAL GLOBE </t>
  </si>
  <si>
    <t>21822</t>
  </si>
  <si>
    <t>GLITTER CHRISTMAS TREE WITH BELLS</t>
  </si>
  <si>
    <t>85036A</t>
  </si>
  <si>
    <t>GARDENIA 1 WICK MORRIS BOXED CANDLE</t>
  </si>
  <si>
    <t>22753</t>
  </si>
  <si>
    <t xml:space="preserve">SMALL YELLOW BABUSHKA NOTEBOOK </t>
  </si>
  <si>
    <t>22480</t>
  </si>
  <si>
    <t>RED TEA TOWEL CLASSIC DESIGN</t>
  </si>
  <si>
    <t>21383</t>
  </si>
  <si>
    <t>PACK OF 12 STICKY BUNNIES</t>
  </si>
  <si>
    <t>22336</t>
  </si>
  <si>
    <t xml:space="preserve">DOVE DECORATION PAINTED ZINC </t>
  </si>
  <si>
    <t>84913B</t>
  </si>
  <si>
    <t>MINT GREEN ROSE TOWEL</t>
  </si>
  <si>
    <t>23223</t>
  </si>
  <si>
    <t xml:space="preserve">CHRISTMAS TREE HANGING SILVER </t>
  </si>
  <si>
    <t>22495</t>
  </si>
  <si>
    <t xml:space="preserve">SET OF 2 ROUND TINS CAMEMBERT </t>
  </si>
  <si>
    <t>22523</t>
  </si>
  <si>
    <t>CHILDS GARDEN FORK PINK</t>
  </si>
  <si>
    <t>23124</t>
  </si>
  <si>
    <t>18PC WOODEN CUTLERY SET DISPOSABLE</t>
  </si>
  <si>
    <t>20748</t>
  </si>
  <si>
    <t>KENSINGTON COFFEE SET</t>
  </si>
  <si>
    <t>21126</t>
  </si>
  <si>
    <t>SET OF 6 GIRLS CELEBRATION CANDLES</t>
  </si>
  <si>
    <t>84763</t>
  </si>
  <si>
    <t>ZINC FINISH 15CM PLANTER POTS</t>
  </si>
  <si>
    <t>22481</t>
  </si>
  <si>
    <t>BLACK TEA TOWEL CLASSIC DESIGN</t>
  </si>
  <si>
    <t>22322</t>
  </si>
  <si>
    <t>BIRD DECORATION GREEN POLKADOT</t>
  </si>
  <si>
    <t>85032B</t>
  </si>
  <si>
    <t>BLOSSOM IMAGES GIFT WRAP SET</t>
  </si>
  <si>
    <t>21215</t>
  </si>
  <si>
    <t xml:space="preserve">IVORY PAPER CUP CAKE CASES </t>
  </si>
  <si>
    <t>22258</t>
  </si>
  <si>
    <t>FELT FARM ANIMAL RABBIT</t>
  </si>
  <si>
    <t>22316</t>
  </si>
  <si>
    <t>200 BENDY SKULL STRAWS</t>
  </si>
  <si>
    <t>21643</t>
  </si>
  <si>
    <t>ASSORTED TUTTI FRUTTI MIRROR</t>
  </si>
  <si>
    <t>23282</t>
  </si>
  <si>
    <t xml:space="preserve">FOLDING BUTTERFLY MIRROR IVORY </t>
  </si>
  <si>
    <t>22393</t>
  </si>
  <si>
    <t>PAPERWEIGHT VINTAGE COLLAGE</t>
  </si>
  <si>
    <t>22097</t>
  </si>
  <si>
    <t>SWALLOW SQUARE TISSUE BOX</t>
  </si>
  <si>
    <t>22264</t>
  </si>
  <si>
    <t xml:space="preserve">FELT FARM ANIMAL WHITE BUNNY </t>
  </si>
  <si>
    <t>23114</t>
  </si>
  <si>
    <t xml:space="preserve">VINTAGE LEAF CHOPPING BOARD  </t>
  </si>
  <si>
    <t>21677</t>
  </si>
  <si>
    <t>HEARTS  STICKERS</t>
  </si>
  <si>
    <t>84660B</t>
  </si>
  <si>
    <t>BLACK STITCHED WALL CLOCK</t>
  </si>
  <si>
    <t>23435</t>
  </si>
  <si>
    <t>3 RAFFIA RIBBONS VINTAGE CHRISTMAS</t>
  </si>
  <si>
    <t>SET/5 RED SPOTTY LID GLASS BOWLS</t>
  </si>
  <si>
    <t>22250</t>
  </si>
  <si>
    <t>DECORATION  BUTTERFLY  MAGIC GARDEN</t>
  </si>
  <si>
    <t>22400</t>
  </si>
  <si>
    <t>MAGNETS PACK OF 4 HOME SWEET HOME</t>
  </si>
  <si>
    <t>WRAP, BILLBOARD FONTS DESIGN</t>
  </si>
  <si>
    <t>72803A</t>
  </si>
  <si>
    <t>ROSE SCENT CANDLE JEWELLED DRAWER</t>
  </si>
  <si>
    <t>22821</t>
  </si>
  <si>
    <t>GIFT BAG PSYCHEDELIC APPLES</t>
  </si>
  <si>
    <t>23562</t>
  </si>
  <si>
    <t xml:space="preserve">SET OF 6 RIBBONS PERFECTLY PRETTY  </t>
  </si>
  <si>
    <t>21398</t>
  </si>
  <si>
    <t>RED POLKADOT COFFEE  MUG</t>
  </si>
  <si>
    <t>90200D</t>
  </si>
  <si>
    <t>PINK SWEETHEART BRACELET</t>
  </si>
  <si>
    <t>22856</t>
  </si>
  <si>
    <t>ASSORTED EASTER DECORATIONS  BELLS</t>
  </si>
  <si>
    <t>22684</t>
  </si>
  <si>
    <t>FRENCH BLUE METAL DOOR SIGN 9</t>
  </si>
  <si>
    <t>20996</t>
  </si>
  <si>
    <t>JAZZ HEARTS ADDRESS BOOK</t>
  </si>
  <si>
    <t>22718</t>
  </si>
  <si>
    <t xml:space="preserve">CARD CAT AND TREE </t>
  </si>
  <si>
    <t>84754</t>
  </si>
  <si>
    <t>S/15 SILVER GLASS BAUBLES IN BAG</t>
  </si>
  <si>
    <t>21883</t>
  </si>
  <si>
    <t xml:space="preserve">STARS GIFT TAPE </t>
  </si>
  <si>
    <t>85131D</t>
  </si>
  <si>
    <t>BEADED CRYSTAL HEART PINK ON STICK</t>
  </si>
  <si>
    <t>46775D</t>
  </si>
  <si>
    <t>SUNSET COLOUR CHUNKY KNITTED THROW</t>
  </si>
  <si>
    <t>85032C</t>
  </si>
  <si>
    <t>CURIOUS IMAGES GIFT WRAP SET</t>
  </si>
  <si>
    <t>79067</t>
  </si>
  <si>
    <t>CORONA MEXICAN TRAY</t>
  </si>
  <si>
    <t>23222</t>
  </si>
  <si>
    <t>CHRISTMAS TREE HANGING GOLD</t>
  </si>
  <si>
    <t>21630</t>
  </si>
  <si>
    <t>FLOOR CUSHION ELEPHANT CARNIVAL</t>
  </si>
  <si>
    <t>84581</t>
  </si>
  <si>
    <t>DOG TOY WITH PINK CROCHET SKIRT</t>
  </si>
  <si>
    <t>22026</t>
  </si>
  <si>
    <t xml:space="preserve">BANQUET BIRTHDAY  CARD  </t>
  </si>
  <si>
    <t>21775</t>
  </si>
  <si>
    <t>DECORATIVE FLORE BATHROOM BOTTLE</t>
  </si>
  <si>
    <t>22201</t>
  </si>
  <si>
    <t>FRYING PAN BLUE POLKADOT</t>
  </si>
  <si>
    <t>23042</t>
  </si>
  <si>
    <t>PAPER LANTERN 7 POINT SNOW STAR</t>
  </si>
  <si>
    <t>20866</t>
  </si>
  <si>
    <t>BLUE ROSE FABRIC MIRROR</t>
  </si>
  <si>
    <t>84817</t>
  </si>
  <si>
    <t>DANISH ROSE DECORATIVE PLATE</t>
  </si>
  <si>
    <t>21636</t>
  </si>
  <si>
    <t>MADRAS NOTEBOOK MEDIUM</t>
  </si>
  <si>
    <t>23070</t>
  </si>
  <si>
    <t>EDWARDIAN HEART PHOTO FRAME</t>
  </si>
  <si>
    <t>21143</t>
  </si>
  <si>
    <t xml:space="preserve">ANTIQUE GLASS HEART DECORATION </t>
  </si>
  <si>
    <t>21739</t>
  </si>
  <si>
    <t>COSY SLIPPER SHOES SMALL GREEN</t>
  </si>
  <si>
    <t>21289</t>
  </si>
  <si>
    <t>LARGE STRIPES CHOCOLATE GIFT BAG</t>
  </si>
  <si>
    <t>22514</t>
  </si>
  <si>
    <t>CHILDS GARDEN SPADE BLUE</t>
  </si>
  <si>
    <t>22981</t>
  </si>
  <si>
    <t>PANTRY APPLE CORER</t>
  </si>
  <si>
    <t>21356</t>
  </si>
  <si>
    <t>TOAST ITS - FAIRY FLOWER</t>
  </si>
  <si>
    <t>16235</t>
  </si>
  <si>
    <t>RECYCLED PENCIL WITH RABBIT ERASER</t>
  </si>
  <si>
    <t>21106</t>
  </si>
  <si>
    <t xml:space="preserve">CREAM SLICE FLANNEL CHOCOLATE SPOT </t>
  </si>
  <si>
    <t>79164</t>
  </si>
  <si>
    <t>BLACK WINE GLASS</t>
  </si>
  <si>
    <t>21476</t>
  </si>
  <si>
    <t>STEEL SWEETHEART ROUND TABLE CREAM</t>
  </si>
  <si>
    <t>21208</t>
  </si>
  <si>
    <t>PASTEL COLOUR HONEYCOMB FAN</t>
  </si>
  <si>
    <t>20704</t>
  </si>
  <si>
    <t>MR ROBOT SOFT TOY</t>
  </si>
  <si>
    <t>85049D</t>
  </si>
  <si>
    <t xml:space="preserve">BRIGHT BLUES RIBBONS </t>
  </si>
  <si>
    <t>85078</t>
  </si>
  <si>
    <t>SCANDINAVIAN 3 HEARTS NAPKIN RING</t>
  </si>
  <si>
    <t>23120</t>
  </si>
  <si>
    <t>PACK OF 6 SMALL FRUIT STRAWS</t>
  </si>
  <si>
    <t>84707A</t>
  </si>
  <si>
    <t>SILVER JEWELLED MIRROR TRINKET TRAY</t>
  </si>
  <si>
    <t>23187</t>
  </si>
  <si>
    <t>FRENCH STYLE STORAGE JAR BONBONS</t>
  </si>
  <si>
    <t>21066</t>
  </si>
  <si>
    <t>VINTAGE RED MUG</t>
  </si>
  <si>
    <t>84660C</t>
  </si>
  <si>
    <t>PINK STITCHED WALL CLOCK</t>
  </si>
  <si>
    <t>21650</t>
  </si>
  <si>
    <t>ASSORTED TUTTI FRUTTI BRACELET</t>
  </si>
  <si>
    <t>16225</t>
  </si>
  <si>
    <t>RATTLE SNAKE EGGS</t>
  </si>
  <si>
    <t>35923</t>
  </si>
  <si>
    <t>CANDY HEART HANGING DECORATION</t>
  </si>
  <si>
    <t>21696</t>
  </si>
  <si>
    <t>SMALL SILVER TRELLIS CANDLEPOT</t>
  </si>
  <si>
    <t>22403</t>
  </si>
  <si>
    <t xml:space="preserve">MAGNETS PACK OF 4 VINTAGE LABELS </t>
  </si>
  <si>
    <t>21317</t>
  </si>
  <si>
    <t>GLASS SPHERE CANDLE STAND MEDIUM</t>
  </si>
  <si>
    <t>79066K</t>
  </si>
  <si>
    <t>RETRO MOD TRAY</t>
  </si>
  <si>
    <t>85071B</t>
  </si>
  <si>
    <t>RED CHARLIE+LOLA PERSONAL DOORSIGN</t>
  </si>
  <si>
    <t>22324</t>
  </si>
  <si>
    <t>BLUE POLKADOT KIDS BAG</t>
  </si>
  <si>
    <t>21629</t>
  </si>
  <si>
    <t>SQUARE FLOOR CUSHION VINTAGE RED</t>
  </si>
  <si>
    <t>20902</t>
  </si>
  <si>
    <t>VINTAGE KEEPSAKE BOX PARIS DAYS</t>
  </si>
  <si>
    <t>23597</t>
  </si>
  <si>
    <t>PAPER BUNTING PAISLEY PARK</t>
  </si>
  <si>
    <t>21163</t>
  </si>
  <si>
    <t xml:space="preserve">DO NOT TOUCH MY STUFF DOOR HANGER </t>
  </si>
  <si>
    <t>22339</t>
  </si>
  <si>
    <t xml:space="preserve">CHRISTMAS TREE PAINTED ZINC </t>
  </si>
  <si>
    <t>85019B</t>
  </si>
  <si>
    <t>BLOSSOM  IMAGES NOTEBOOK SET</t>
  </si>
  <si>
    <t>22062</t>
  </si>
  <si>
    <t>CERAMIC BOWL WITH LOVE HEART DESIGN</t>
  </si>
  <si>
    <t>35001G</t>
  </si>
  <si>
    <t>HAND OPEN SHAPE GOLD</t>
  </si>
  <si>
    <t>23325</t>
  </si>
  <si>
    <t>RUSTIC STRAWBERRY JAM POT SMALL</t>
  </si>
  <si>
    <t>22136</t>
  </si>
  <si>
    <t>LOVE HEART SOCK HANGER</t>
  </si>
  <si>
    <t>46776B</t>
  </si>
  <si>
    <t xml:space="preserve">WOVEN BERRIES CUSHION COVER </t>
  </si>
  <si>
    <t>21205</t>
  </si>
  <si>
    <t>MULTICOLOUR 3D BALLS GARLAND</t>
  </si>
  <si>
    <t>22806</t>
  </si>
  <si>
    <t xml:space="preserve">SET OF 6 T-LIGHTS WEDDING CAKE </t>
  </si>
  <si>
    <t>84659A</t>
  </si>
  <si>
    <t>WHITE TRAVEL ALARM CLOCK</t>
  </si>
  <si>
    <t>23428</t>
  </si>
  <si>
    <t>IVORY RETRO KITCHEN WALL CLOCK</t>
  </si>
  <si>
    <t>40001</t>
  </si>
  <si>
    <t>WHITE BAMBOO RIBS LAMPSHADE</t>
  </si>
  <si>
    <t>22999</t>
  </si>
  <si>
    <t>TRAVEL CARD WALLET RETRO PETALS</t>
  </si>
  <si>
    <t>22267</t>
  </si>
  <si>
    <t xml:space="preserve">EASTER DECORATION EGG BUNNY </t>
  </si>
  <si>
    <t>21351</t>
  </si>
  <si>
    <t>CINAMMON &amp; ORANGE WREATH</t>
  </si>
  <si>
    <t>47591d</t>
  </si>
  <si>
    <t>21261</t>
  </si>
  <si>
    <t xml:space="preserve">GREEN GOOSE FEATHER CHRISTMAS TREE </t>
  </si>
  <si>
    <t>37475</t>
  </si>
  <si>
    <t>SET/4 COLOURFUL MIXING BOWLS</t>
  </si>
  <si>
    <t>84923</t>
  </si>
  <si>
    <t>PINK BUTTERFLY HANDBAG W BOBBLES</t>
  </si>
  <si>
    <t>22618</t>
  </si>
  <si>
    <t>COOKING SET RETROSPOT</t>
  </si>
  <si>
    <t>22535</t>
  </si>
  <si>
    <t xml:space="preserve">MAGIC DRAWING SLATE BUNNIES </t>
  </si>
  <si>
    <t>22204</t>
  </si>
  <si>
    <t>MILK PAN BLUE POLKADOT</t>
  </si>
  <si>
    <t>22057</t>
  </si>
  <si>
    <t>CERAMIC PLATE STRAWBERRY DESIGN</t>
  </si>
  <si>
    <t>23024</t>
  </si>
  <si>
    <t>LARGE BONNE JAM JAR  T-LIGHT HOLDER</t>
  </si>
  <si>
    <t>47574A</t>
  </si>
  <si>
    <t>ENGLISH ROSE SCENTED HANGING FLOWER</t>
  </si>
  <si>
    <t>20767</t>
  </si>
  <si>
    <t xml:space="preserve">BLUE PAISLEY JOURNAL </t>
  </si>
  <si>
    <t>85199L</t>
  </si>
  <si>
    <t>LARGE HANGING IVORY &amp; RED WOOD BIRD</t>
  </si>
  <si>
    <t>21613</t>
  </si>
  <si>
    <t>S/12 VANILLA  BOTANICAL T-LIGHTS</t>
  </si>
  <si>
    <t>23547</t>
  </si>
  <si>
    <t xml:space="preserve">WRAP FLOWER SHOP  </t>
  </si>
  <si>
    <t>22450</t>
  </si>
  <si>
    <t>SILK PURSE BABUSHKA BLUE</t>
  </si>
  <si>
    <t>23482</t>
  </si>
  <si>
    <t xml:space="preserve">PEARLISED IVORY HEART LARGE </t>
  </si>
  <si>
    <t>22615</t>
  </si>
  <si>
    <t xml:space="preserve">PACK OF 12 CIRCUS PARADE TISSUES </t>
  </si>
  <si>
    <t>18098C</t>
  </si>
  <si>
    <t>PORCELAIN BUTTERFLY OIL BURNER</t>
  </si>
  <si>
    <t>72349b</t>
  </si>
  <si>
    <t>22756</t>
  </si>
  <si>
    <t xml:space="preserve">LARGE YELLOW BABUSHKA NOTEBOOK </t>
  </si>
  <si>
    <t>22448</t>
  </si>
  <si>
    <t>PIN CUSHION BABUSHKA RED</t>
  </si>
  <si>
    <t>20658</t>
  </si>
  <si>
    <t>RED RETROSPOT LUGGAGE TAG</t>
  </si>
  <si>
    <t>46776A</t>
  </si>
  <si>
    <t>WOVEN BUBBLE GUM CUSHION COVER</t>
  </si>
  <si>
    <t>21187</t>
  </si>
  <si>
    <t xml:space="preserve">WHITE BELL HONEYCOMB PAPER GARLAND </t>
  </si>
  <si>
    <t>23224</t>
  </si>
  <si>
    <t>CHERUB HEART DECORATION GOLD</t>
  </si>
  <si>
    <t>22525</t>
  </si>
  <si>
    <t>CHILDRENS GARDEN GLOVES PINK</t>
  </si>
  <si>
    <t>22533</t>
  </si>
  <si>
    <t xml:space="preserve">MAGIC DRAWING SLATE BAKE A CAKE </t>
  </si>
  <si>
    <t>22715</t>
  </si>
  <si>
    <t>CARD WEDDING DAY</t>
  </si>
  <si>
    <t>21747</t>
  </si>
  <si>
    <t>SMALL SKULL WINDMILL</t>
  </si>
  <si>
    <t>22067</t>
  </si>
  <si>
    <t xml:space="preserve">CHOC TRUFFLE GOLD TRINKET POT </t>
  </si>
  <si>
    <t>85177</t>
  </si>
  <si>
    <t>BASKET OF FLOWERS SEWING KIT</t>
  </si>
  <si>
    <t>23408</t>
  </si>
  <si>
    <t>PHOTO FRAME LINEN AND LACE SMALL</t>
  </si>
  <si>
    <t>84789</t>
  </si>
  <si>
    <t>ENCHANTED BIRD PLANT CAGE</t>
  </si>
  <si>
    <t>21640</t>
  </si>
  <si>
    <t>ASSORTED TUTTI FRUTTI  FOB NOTEBOOK</t>
  </si>
  <si>
    <t>17021</t>
  </si>
  <si>
    <t>NAMASTE SWAGAT INCENSE</t>
  </si>
  <si>
    <t>21808</t>
  </si>
  <si>
    <t>CHRISTMAS GARLAND STARS,TREES</t>
  </si>
  <si>
    <t>22389</t>
  </si>
  <si>
    <t>PAPERWEIGHT SAVE THE PLANET</t>
  </si>
  <si>
    <t>21446</t>
  </si>
  <si>
    <t>12 RED ROSE PEG PLACE SETTINGS</t>
  </si>
  <si>
    <t>35810A</t>
  </si>
  <si>
    <t>ENAMEL PINK COFFEE CONTAINER</t>
  </si>
  <si>
    <t>84800L</t>
  </si>
  <si>
    <t>LARGE WHITE/PINK ROSE ART FLOWER</t>
  </si>
  <si>
    <t>84929</t>
  </si>
  <si>
    <t>ASSTD FRUIT+FLOWERS FRIDGE MAGNETS</t>
  </si>
  <si>
    <t>85141</t>
  </si>
  <si>
    <t>JARDIN ETCHED GLASS FRUITBOWL</t>
  </si>
  <si>
    <t>23492</t>
  </si>
  <si>
    <t>VINTAGE JINGLE BELLS WREATH</t>
  </si>
  <si>
    <t xml:space="preserve">BUNTING , SPOTTY </t>
  </si>
  <si>
    <t>21054</t>
  </si>
  <si>
    <t>NURSE'S BAG SOFT TOY</t>
  </si>
  <si>
    <t>22396</t>
  </si>
  <si>
    <t>MAGNETS PACK OF 4 RETRO PHOTO</t>
  </si>
  <si>
    <t>84086C</t>
  </si>
  <si>
    <t>PINK/PURPLE RETRO RADIO</t>
  </si>
  <si>
    <t>21784</t>
  </si>
  <si>
    <t xml:space="preserve">SHOE SHINE BOX </t>
  </si>
  <si>
    <t>20840</t>
  </si>
  <si>
    <t xml:space="preserve">FRENCH FLORAL CUSHION COVER </t>
  </si>
  <si>
    <t>23453</t>
  </si>
  <si>
    <t>OVAL  MINI PORTRAIT FRAME</t>
  </si>
  <si>
    <t>23454</t>
  </si>
  <si>
    <t>THREE MINI HANGING FRAMES</t>
  </si>
  <si>
    <t>23216</t>
  </si>
  <si>
    <t>LAUREL HEART ANTIQUE GOLD</t>
  </si>
  <si>
    <t>72232</t>
  </si>
  <si>
    <t>FENG SHUI PILLAR CANDLE</t>
  </si>
  <si>
    <t>21417</t>
  </si>
  <si>
    <t>COCKLE SHELL DISH</t>
  </si>
  <si>
    <t>84596L</t>
  </si>
  <si>
    <t>BISCUITS SMALL BOWL LIGHT BLUE</t>
  </si>
  <si>
    <t>23019</t>
  </si>
  <si>
    <t xml:space="preserve">SMALL APOTHECARY MEASURING JAR </t>
  </si>
  <si>
    <t>20932</t>
  </si>
  <si>
    <t>PINK POT PLANT CANDLE</t>
  </si>
  <si>
    <t>23027</t>
  </si>
  <si>
    <t>DRAWER KNOB VINTAGE GLASS HEXAGON</t>
  </si>
  <si>
    <t>23471</t>
  </si>
  <si>
    <t>SIX DRAWER OFFICE TIDY</t>
  </si>
  <si>
    <t>79163</t>
  </si>
  <si>
    <t>BLACK CHAMPAGNE GLASS</t>
  </si>
  <si>
    <t>22559</t>
  </si>
  <si>
    <t>SEASIDE FLYING DISC</t>
  </si>
  <si>
    <t>20735</t>
  </si>
  <si>
    <t xml:space="preserve">BLACK MINI TAPE MEASURE </t>
  </si>
  <si>
    <t>22194</t>
  </si>
  <si>
    <t>BLACK DINER WALL CLOCK</t>
  </si>
  <si>
    <t>21865</t>
  </si>
  <si>
    <t xml:space="preserve">PINK UNION JACK  PASSPORT COVER </t>
  </si>
  <si>
    <t>84665</t>
  </si>
  <si>
    <t>SQUARE CHERRY BLOSSOM CABINET</t>
  </si>
  <si>
    <t>21426</t>
  </si>
  <si>
    <t>WOODLAND STORAGE BOX SMALL</t>
  </si>
  <si>
    <t>22269</t>
  </si>
  <si>
    <t>EGG CUP NATURAL CHICKEN</t>
  </si>
  <si>
    <t>22035</t>
  </si>
  <si>
    <t xml:space="preserve">VINTAGE CARAVAN GREETING CARD </t>
  </si>
  <si>
    <t>21684</t>
  </si>
  <si>
    <t xml:space="preserve">SMALL MEDINA STAMPED METAL BOWL </t>
  </si>
  <si>
    <t>22520</t>
  </si>
  <si>
    <t xml:space="preserve">CHILDS GARDEN TROWEL BLUE </t>
  </si>
  <si>
    <t>22129</t>
  </si>
  <si>
    <t>PARTY CONES CANDY DECORATION</t>
  </si>
  <si>
    <t>23425</t>
  </si>
  <si>
    <t>STORAGE TIN HOME SWEET HOME</t>
  </si>
  <si>
    <t>20772</t>
  </si>
  <si>
    <t>GARDEN PATH JOURNAL</t>
  </si>
  <si>
    <t>23180</t>
  </si>
  <si>
    <t>MUM'S KITCHEN CLOCK</t>
  </si>
  <si>
    <t>22116</t>
  </si>
  <si>
    <t>METAL SIGN HIS DINNER IS SERVED</t>
  </si>
  <si>
    <t>84637</t>
  </si>
  <si>
    <t>KITCHEN FLOWER POTS WALL PLAQUE</t>
  </si>
  <si>
    <t>21473</t>
  </si>
  <si>
    <t>SWEETHEART CREAM STEEL TABLE RECT</t>
  </si>
  <si>
    <t>WALL ART SPACEBOY</t>
  </si>
  <si>
    <t>22288</t>
  </si>
  <si>
    <t>HANGING METAL RABBIT DECORATION</t>
  </si>
  <si>
    <t>22953</t>
  </si>
  <si>
    <t>BIRTHDAY PARTY CORDON BARRIER TAPE</t>
  </si>
  <si>
    <t>21171</t>
  </si>
  <si>
    <t xml:space="preserve">BATHROOM METAL SIGN </t>
  </si>
  <si>
    <t>23018</t>
  </si>
  <si>
    <t xml:space="preserve">LARGE APOTHECARY MEASURING JAR </t>
  </si>
  <si>
    <t>22420</t>
  </si>
  <si>
    <t>LIPSTICK PEN BABY PINK</t>
  </si>
  <si>
    <t>20893</t>
  </si>
  <si>
    <t>HANGING BAUBLE T-LIGHT HOLDER SMALL</t>
  </si>
  <si>
    <t>20764</t>
  </si>
  <si>
    <t xml:space="preserve">ABSTRACT CIRCLES SKETCHBOOK </t>
  </si>
  <si>
    <t>22021</t>
  </si>
  <si>
    <t>BLUE FELT EASTER EGG BASKET</t>
  </si>
  <si>
    <t>PARTY CONES CANDY TREE DECORATION</t>
  </si>
  <si>
    <t>85036B</t>
  </si>
  <si>
    <t>CHOCOLATE 1 WICK MORRIS BOX CANDLE</t>
  </si>
  <si>
    <t>22515</t>
  </si>
  <si>
    <t>CHILDS GARDEN SPADE PINK</t>
  </si>
  <si>
    <t>22359</t>
  </si>
  <si>
    <t>GLASS JAR KINGS CHOICE</t>
  </si>
  <si>
    <t>85170C</t>
  </si>
  <si>
    <t>SET/6 EAU DE NIL BIRD T-LIGHTS</t>
  </si>
  <si>
    <t>22233</t>
  </si>
  <si>
    <t>JIGSAW RABBIT AND BIRDHOUSE</t>
  </si>
  <si>
    <t>21769</t>
  </si>
  <si>
    <t>VINTAGE POST OFFICE CABINET</t>
  </si>
  <si>
    <t>21709</t>
  </si>
  <si>
    <t>FOLDING UMBRELLA CHOCOLATE POLKADOT</t>
  </si>
  <si>
    <t>72598</t>
  </si>
  <si>
    <t>SET/12 TAPER CANDLES</t>
  </si>
  <si>
    <t>CHRISTMAS GINGHAM HEART</t>
  </si>
  <si>
    <t>TRAVEL CARD WALLET VINTAGE LEAF</t>
  </si>
  <si>
    <t>84625A</t>
  </si>
  <si>
    <t>PINK NEW BAROQUECANDLESTICK CANDLE</t>
  </si>
  <si>
    <t>22232</t>
  </si>
  <si>
    <t>JIGSAW TOADSTOOLS 3 PIECE</t>
  </si>
  <si>
    <t>23520</t>
  </si>
  <si>
    <t xml:space="preserve">EMBROIDERED RIBBON REEL RUBY </t>
  </si>
  <si>
    <t>22255</t>
  </si>
  <si>
    <t>FELT TOADSTOOL  SMALL</t>
  </si>
  <si>
    <t>21159</t>
  </si>
  <si>
    <t xml:space="preserve">MOODY BOY  DOOR HANGER </t>
  </si>
  <si>
    <t>35971</t>
  </si>
  <si>
    <t>ROSE FOLKART HEART DECORATIONS</t>
  </si>
  <si>
    <t>21448</t>
  </si>
  <si>
    <t>12 DAISY PEGS IN WOOD BOX</t>
  </si>
  <si>
    <t>85017B</t>
  </si>
  <si>
    <t>ENVELOPE 50 BLOSSOM IMAGES</t>
  </si>
  <si>
    <t>21014</t>
  </si>
  <si>
    <t xml:space="preserve">SWISS CHALET TREE DECORATION </t>
  </si>
  <si>
    <t>22266</t>
  </si>
  <si>
    <t>EASTER DECORATION HANGING BUNNY</t>
  </si>
  <si>
    <t>22642</t>
  </si>
  <si>
    <t xml:space="preserve">SET OF 4 NAPKIN CHARMS STARS   </t>
  </si>
  <si>
    <t>17012B</t>
  </si>
  <si>
    <t>ORIGAMI JASMINE INCENSE/CANDLE SET</t>
  </si>
  <si>
    <t>21292</t>
  </si>
  <si>
    <t xml:space="preserve">SMALL STRIPES CHOCOLATE GIFT BAG </t>
  </si>
  <si>
    <t>23377</t>
  </si>
  <si>
    <t>PACK OF 12 DOLLY GIRL TISSUES</t>
  </si>
  <si>
    <t>21253</t>
  </si>
  <si>
    <t>SET OF PICTURE FRAME  STICKERS</t>
  </si>
  <si>
    <t>22247</t>
  </si>
  <si>
    <t>BUNNY DECORATION MAGIC GARDEN</t>
  </si>
  <si>
    <t>21581</t>
  </si>
  <si>
    <t>SKULLS  DESIGN  COTTON TOTE BAG</t>
  </si>
  <si>
    <t>21015</t>
  </si>
  <si>
    <t>DARK BIRD HOUSE TREE DECORATION</t>
  </si>
  <si>
    <t>22319</t>
  </si>
  <si>
    <t>HAIRCLIPS FORTIES FABRIC ASSORTED</t>
  </si>
  <si>
    <t>23499</t>
  </si>
  <si>
    <t xml:space="preserve">SET 12 VINTAGE DOILY CHALK </t>
  </si>
  <si>
    <t>85180B</t>
  </si>
  <si>
    <t xml:space="preserve">PINK HEARTS LIGHT CHAIN </t>
  </si>
  <si>
    <t>22096</t>
  </si>
  <si>
    <t xml:space="preserve">PINK PAISLEY SQUARE TISSUE BOX </t>
  </si>
  <si>
    <t>23565</t>
  </si>
  <si>
    <t xml:space="preserve">EGG CUP MILKMAID HELGA </t>
  </si>
  <si>
    <t>84748</t>
  </si>
  <si>
    <t>FOLK FELT HANGING MULTICOL GARLAND</t>
  </si>
  <si>
    <t>21576</t>
  </si>
  <si>
    <t>LETS GO SHOPPING COTTON TOTE BAG</t>
  </si>
  <si>
    <t>22825</t>
  </si>
  <si>
    <t>DECORATIVE PLANT POT WITH FRIEZE</t>
  </si>
  <si>
    <t>22703</t>
  </si>
  <si>
    <t>PINK CAT BOWL</t>
  </si>
  <si>
    <t>85071A</t>
  </si>
  <si>
    <t>BLUE CHARLIE+LOLA PERSONAL DOORSIGN</t>
  </si>
  <si>
    <t>85172</t>
  </si>
  <si>
    <t>HYACINTH BULB T-LIGHT CANDLES</t>
  </si>
  <si>
    <t>20832</t>
  </si>
  <si>
    <t>RED FLOCK LOVE HEART PHOTO FRAME</t>
  </si>
  <si>
    <t>82001s</t>
  </si>
  <si>
    <t>22785</t>
  </si>
  <si>
    <t>SQUARECUSHION COVER PINK UNION JACK</t>
  </si>
  <si>
    <t>21096</t>
  </si>
  <si>
    <t>SET/6 FRUIT SALAD  PAPER PLATES</t>
  </si>
  <si>
    <t>85136A</t>
  </si>
  <si>
    <t>YELLOW SHARK HELICOPTER</t>
  </si>
  <si>
    <t>85144</t>
  </si>
  <si>
    <t>JARDIN ETCHED GLASS CHEESE DISH</t>
  </si>
  <si>
    <t>20702</t>
  </si>
  <si>
    <t>PINK PADDED MOBILE</t>
  </si>
  <si>
    <t>23324</t>
  </si>
  <si>
    <t xml:space="preserve">RUSTIC STRAWBERRY JAM POT LARGE </t>
  </si>
  <si>
    <t>22260</t>
  </si>
  <si>
    <t xml:space="preserve">FELT EGG COSY BLUE RABBIT </t>
  </si>
  <si>
    <t>84352</t>
  </si>
  <si>
    <t xml:space="preserve">SILVER CHRISTMAS TREE BAUBLE STAND </t>
  </si>
  <si>
    <t>21264</t>
  </si>
  <si>
    <t xml:space="preserve">WHITE GOOSE FEATHER TREE 60CM </t>
  </si>
  <si>
    <t>22820</t>
  </si>
  <si>
    <t>GIFT BAG BIRTHDAY</t>
  </si>
  <si>
    <t>23016</t>
  </si>
  <si>
    <t>GLASS TWIST BON BON JAR</t>
  </si>
  <si>
    <t>23125</t>
  </si>
  <si>
    <t>6PC WOOD PLATE SET DISPOSABLE</t>
  </si>
  <si>
    <t>22337</t>
  </si>
  <si>
    <t xml:space="preserve">ANGEL DECORATION PAINTED ZINC </t>
  </si>
  <si>
    <t>21675</t>
  </si>
  <si>
    <t>BUTTERFLIES STICKERS</t>
  </si>
  <si>
    <t>21468</t>
  </si>
  <si>
    <t>BUTTERFLY CROCHET FOOD COVER</t>
  </si>
  <si>
    <t>21277</t>
  </si>
  <si>
    <t>FRENCH STYLE EMBOSSED HEART CABINET</t>
  </si>
  <si>
    <t>85130D</t>
  </si>
  <si>
    <t>BEADED CRYSTAL HEART PINK LARGE</t>
  </si>
  <si>
    <t>21251</t>
  </si>
  <si>
    <t>DINOSAUR HEIGHT CHART STICKER SET</t>
  </si>
  <si>
    <t>23069</t>
  </si>
  <si>
    <t>EDWARDIAN PHOTO FRAME</t>
  </si>
  <si>
    <t>85161</t>
  </si>
  <si>
    <t>ACRYLIC GEOMETRIC LAMP</t>
  </si>
  <si>
    <t>23219</t>
  </si>
  <si>
    <t xml:space="preserve">LAUREL STAR ANTIQUE SILVER </t>
  </si>
  <si>
    <t>84796A</t>
  </si>
  <si>
    <t>PINK HAWAIIAN PICNIC HAMPER FOR 2</t>
  </si>
  <si>
    <t>23381</t>
  </si>
  <si>
    <t xml:space="preserve">PACK OF 12 VINTAGE LEAF TISSUES </t>
  </si>
  <si>
    <t>GARAGE KEY FOB</t>
  </si>
  <si>
    <t>23413</t>
  </si>
  <si>
    <t>VINTAGE COFFEE GRINDER BOX</t>
  </si>
  <si>
    <t>21488</t>
  </si>
  <si>
    <t>RED WHITE SCARF  HOT WATER BOTTLE</t>
  </si>
  <si>
    <t>22482</t>
  </si>
  <si>
    <t>BLUE TEA TOWEL CLASSIC DESIGN</t>
  </si>
  <si>
    <t>22272</t>
  </si>
  <si>
    <t>FELTCRAFT DOLL MARIA</t>
  </si>
  <si>
    <t>85019A</t>
  </si>
  <si>
    <t>ROMANTIC IMAGES NOTEBOOK SET</t>
  </si>
  <si>
    <t>23272</t>
  </si>
  <si>
    <t>TREE T-LIGHT HOLDER WILLIE WINKIE</t>
  </si>
  <si>
    <t>84569D</t>
  </si>
  <si>
    <t>PACK 6 HEART/ICE-CREAM PATCHES</t>
  </si>
  <si>
    <t>21219</t>
  </si>
  <si>
    <t>SET/4 BADGES BALLOON GIRL</t>
  </si>
  <si>
    <t>85032D</t>
  </si>
  <si>
    <t>YULETIDE IMAGES GIFT WRAP SET</t>
  </si>
  <si>
    <t>71279</t>
  </si>
  <si>
    <t>PINK GLASS CANDLEHOLDER</t>
  </si>
  <si>
    <t>22286</t>
  </si>
  <si>
    <t xml:space="preserve">DECORATION , WOBBLY RABBIT , METAL </t>
  </si>
  <si>
    <t>84912A</t>
  </si>
  <si>
    <t>PINK ROSE WASHBAG</t>
  </si>
  <si>
    <t>85016</t>
  </si>
  <si>
    <t>SET OF 6 VINTAGE NOTELETS KIT</t>
  </si>
  <si>
    <t>85163A</t>
  </si>
  <si>
    <t xml:space="preserve">WHITE BAROQUE WALL CLOCK </t>
  </si>
  <si>
    <t>21849</t>
  </si>
  <si>
    <t>SILVER DIAMANTE PEN IN GIFT BOX</t>
  </si>
  <si>
    <t>85025B</t>
  </si>
  <si>
    <t>EAU DE NILE HEART SHAPE PHOTO FRAME</t>
  </si>
  <si>
    <t>23451</t>
  </si>
  <si>
    <t>SQUARE MINI PORTRAIT FRAME</t>
  </si>
  <si>
    <t>21194</t>
  </si>
  <si>
    <t>PINK  HONEYCOMB PAPER FAN</t>
  </si>
  <si>
    <t>90062</t>
  </si>
  <si>
    <t>CARNIVAL BRACELET</t>
  </si>
  <si>
    <t>21662</t>
  </si>
  <si>
    <t>VINTAGE GLASS COFFEE CADDY</t>
  </si>
  <si>
    <t>85187</t>
  </si>
  <si>
    <t>S/12 MINI RABBIT EASTER</t>
  </si>
  <si>
    <t>23074</t>
  </si>
  <si>
    <t>EMBOSSED HEART TRINKET BOX</t>
  </si>
  <si>
    <t>84951B</t>
  </si>
  <si>
    <t>SET OF 4 BLACK LOVEBIRD COASTERS</t>
  </si>
  <si>
    <t>SET 4 VALENTINE DECOUPAGE HEART BOX</t>
  </si>
  <si>
    <t>17129F</t>
  </si>
  <si>
    <t>BLUE GLASS GEMS IN BAG</t>
  </si>
  <si>
    <t>84951A</t>
  </si>
  <si>
    <t>SET OF 4 PISTACHIO LOVEBIRD COASTER</t>
  </si>
  <si>
    <t>79030G</t>
  </si>
  <si>
    <t>TUMBLER NEW ENGLAND</t>
  </si>
  <si>
    <t>35599D</t>
  </si>
  <si>
    <t>PINK AND WHITE CHRISTMAS TREE 120CM</t>
  </si>
  <si>
    <t>23473</t>
  </si>
  <si>
    <t>WOODLAND SMALL RED FELT HEART</t>
  </si>
  <si>
    <t>47563A</t>
  </si>
  <si>
    <t>RETRO LONGBOARD IRONING BOARD COVER</t>
  </si>
  <si>
    <t>21638</t>
  </si>
  <si>
    <t>ASSORTED TUTTI FRUTTI NOTEBOOK</t>
  </si>
  <si>
    <t>35965</t>
  </si>
  <si>
    <t>FOLKART HEART NAPKIN RINGS</t>
  </si>
  <si>
    <t>35599B</t>
  </si>
  <si>
    <t>BLACK CHRISTMAS TREE 120CM</t>
  </si>
  <si>
    <t>17012D</t>
  </si>
  <si>
    <t xml:space="preserve">ORIGAMI ROSE INCENSE/CANDLE SET </t>
  </si>
  <si>
    <t>22903</t>
  </si>
  <si>
    <t>CALENDAR FAMILY FAVOURITES</t>
  </si>
  <si>
    <t>21397</t>
  </si>
  <si>
    <t xml:space="preserve">BLUE POLKADOT EGG CUP </t>
  </si>
  <si>
    <t>23456</t>
  </si>
  <si>
    <t xml:space="preserve">MEDIUM PARLOUR PICTURE FRAME </t>
  </si>
  <si>
    <t>22261</t>
  </si>
  <si>
    <t xml:space="preserve">FELT EGG COSY WHITE RABBIT </t>
  </si>
  <si>
    <t>PACK OF 6 PANETTONE GIFT BOXES</t>
  </si>
  <si>
    <t>23549</t>
  </si>
  <si>
    <t xml:space="preserve">WRAP BIRD GARDEN </t>
  </si>
  <si>
    <t>21128</t>
  </si>
  <si>
    <t>GOLD FISHING GNOME</t>
  </si>
  <si>
    <t>85107</t>
  </si>
  <si>
    <t>CUT GLASS T-LIGHT HOLDER OCTAGON</t>
  </si>
  <si>
    <t>84598</t>
  </si>
  <si>
    <t>BOYS ALPHABET IRON ON PATCHES</t>
  </si>
  <si>
    <t>22023</t>
  </si>
  <si>
    <t>EMPIRE BIRTHDAY CARD</t>
  </si>
  <si>
    <t>22513</t>
  </si>
  <si>
    <t>DOORSTOP FOOTBALL DESIGN</t>
  </si>
  <si>
    <t>23398</t>
  </si>
  <si>
    <t>HANGING HEART BONHEUR</t>
  </si>
  <si>
    <t>22496</t>
  </si>
  <si>
    <t>SET OF 2 ROUND TINS DUTCH CHEESE</t>
  </si>
  <si>
    <t>84625C</t>
  </si>
  <si>
    <t>BLUE NEW BAROQUE CANDLESTICK CANDLE</t>
  </si>
  <si>
    <t>22717</t>
  </si>
  <si>
    <t xml:space="preserve">CARD DOG AND BALL </t>
  </si>
  <si>
    <t>82613D</t>
  </si>
  <si>
    <t>METAL SIGN CUPCAKE SINGLE HOOK</t>
  </si>
  <si>
    <t>85088</t>
  </si>
  <si>
    <t>CANDY SPOT HAND BAG</t>
  </si>
  <si>
    <t>23660</t>
  </si>
  <si>
    <t xml:space="preserve">HENRIETTA HEN MUG </t>
  </si>
  <si>
    <t>85114c</t>
  </si>
  <si>
    <t>22521</t>
  </si>
  <si>
    <t>CHILDS GARDEN TROWEL PINK</t>
  </si>
  <si>
    <t>22543</t>
  </si>
  <si>
    <t xml:space="preserve">MINI JIGSAW BAKE A CAKE </t>
  </si>
  <si>
    <t>17012F</t>
  </si>
  <si>
    <t>ORIGAMI SANDLEWOOD INCENSE/CAND SET</t>
  </si>
  <si>
    <t>35241</t>
  </si>
  <si>
    <t>ENAMEL BLUE RIM BISCUIT BIN</t>
  </si>
  <si>
    <t>21801</t>
  </si>
  <si>
    <t>CHRISTMAS TREE DECORATION WITH BELL</t>
  </si>
  <si>
    <t>21270</t>
  </si>
  <si>
    <t>ANTIQUE CREAM CUTLERY CUPBOARD</t>
  </si>
  <si>
    <t>23139</t>
  </si>
  <si>
    <t>SINGLE WIRE HOOK PINK HEART</t>
  </si>
  <si>
    <t>75131</t>
  </si>
  <si>
    <t>METAL TUBE CHIME ON BAMBOO</t>
  </si>
  <si>
    <t>22709</t>
  </si>
  <si>
    <t>WRAP WEDDING DAY</t>
  </si>
  <si>
    <t>21059</t>
  </si>
  <si>
    <t>PARTY INVITES DINOSAURS</t>
  </si>
  <si>
    <t>23060</t>
  </si>
  <si>
    <t>HEART BEADED TRELLIS DECORATION</t>
  </si>
  <si>
    <t>22707</t>
  </si>
  <si>
    <t xml:space="preserve">WRAP MONSTER FUN </t>
  </si>
  <si>
    <t>22275</t>
  </si>
  <si>
    <t>WEEKEND BAG VINTAGE ROSE PAISLEY</t>
  </si>
  <si>
    <t>22248</t>
  </si>
  <si>
    <t>DECORATION  PINK CHICK MAGIC GARDEN</t>
  </si>
  <si>
    <t>85104</t>
  </si>
  <si>
    <t>SILVER GLASS T-LIGHT SET</t>
  </si>
  <si>
    <t>85135B</t>
  </si>
  <si>
    <t>BLUE DRAGONFLY HELICOPTER</t>
  </si>
  <si>
    <t>20785</t>
  </si>
  <si>
    <t>FUSCHIA RETRO BAR STOOL</t>
  </si>
  <si>
    <t>22861</t>
  </si>
  <si>
    <t>EASTER TIN CHICKS IN GARDEN</t>
  </si>
  <si>
    <t>85025C</t>
  </si>
  <si>
    <t>PINK HEART SHAPE PHOTO FRAME</t>
  </si>
  <si>
    <t>23537</t>
  </si>
  <si>
    <t xml:space="preserve">WALL ART I LOVE LONDON </t>
  </si>
  <si>
    <t>23336</t>
  </si>
  <si>
    <t xml:space="preserve">EGG FRYING PAN PINK </t>
  </si>
  <si>
    <t>85131B</t>
  </si>
  <si>
    <t>BEADED CRYSTAL HEART GREEN ON STICK</t>
  </si>
  <si>
    <t>84816</t>
  </si>
  <si>
    <t>DANISH ROSE BEDSIDE CABINET</t>
  </si>
  <si>
    <t>84313B</t>
  </si>
  <si>
    <t xml:space="preserve">BLUE TV TRAY TABLE </t>
  </si>
  <si>
    <t>20761</t>
  </si>
  <si>
    <t>BLUE PAISLEY SKETCHBOOK</t>
  </si>
  <si>
    <t>21455</t>
  </si>
  <si>
    <t>PAINTED YELLOW WOODEN DAISY</t>
  </si>
  <si>
    <t>21711</t>
  </si>
  <si>
    <t>FOLDING UMBRELLA WHITE/RED POLKADOT</t>
  </si>
  <si>
    <t>22216</t>
  </si>
  <si>
    <t>T-LIGHT HOLDER WHITE LACE</t>
  </si>
  <si>
    <t>23136</t>
  </si>
  <si>
    <t>IVORY WIRE SWEETHEART LETTER TRAY</t>
  </si>
  <si>
    <t>22280</t>
  </si>
  <si>
    <t>POCKET BAG PINK PAISELY BROWN SPOT</t>
  </si>
  <si>
    <t>21926</t>
  </si>
  <si>
    <t xml:space="preserve">RED/CREAM STRIPE CUSHION COVER </t>
  </si>
  <si>
    <t>21654</t>
  </si>
  <si>
    <t>RIDGED GLASS FINGER BOWL</t>
  </si>
  <si>
    <t>72819</t>
  </si>
  <si>
    <t>CUPID DESIGN SCENTED CANDLES</t>
  </si>
  <si>
    <t>84520B</t>
  </si>
  <si>
    <t>PACK 20 ENGLISH ROSE PAPER NAPKINS</t>
  </si>
  <si>
    <t xml:space="preserve">WALL ART ANIMALS AND NATURE </t>
  </si>
  <si>
    <t>20681</t>
  </si>
  <si>
    <t>PINK POLKADOT CHILDRENS UMBRELLA</t>
  </si>
  <si>
    <t>21067</t>
  </si>
  <si>
    <t>VINTAGE RED TEATIME MUG</t>
  </si>
  <si>
    <t>SQUARECUSHION COVER PINK UNION FLAG</t>
  </si>
  <si>
    <t>23043</t>
  </si>
  <si>
    <t>PAPER LANTERN 9 POINT HOLLY STAR L</t>
  </si>
  <si>
    <t>82616B</t>
  </si>
  <si>
    <t>FRAPPUCINO SCARF KNITTING KIT</t>
  </si>
  <si>
    <t>20998</t>
  </si>
  <si>
    <t>ROSE DU SUD OVEN GLOVE</t>
  </si>
  <si>
    <t>23021</t>
  </si>
  <si>
    <t>GLASS BONNE JAM JAR</t>
  </si>
  <si>
    <t>22127</t>
  </si>
  <si>
    <t>PARTY CONES CARNIVAL ASSORTED</t>
  </si>
  <si>
    <t xml:space="preserve">DECORATION WOBBLY RABBIT METAL </t>
  </si>
  <si>
    <t>84687</t>
  </si>
  <si>
    <t>BEACH HUT SHELF W 3 DRAWERS</t>
  </si>
  <si>
    <t>84616</t>
  </si>
  <si>
    <t>SILVER ROCCOCO CHANDELIER</t>
  </si>
  <si>
    <t>21925</t>
  </si>
  <si>
    <t xml:space="preserve">UNION STRIPE CUSHION COVER </t>
  </si>
  <si>
    <t>84509C</t>
  </si>
  <si>
    <t xml:space="preserve">SET OF 4 POLKADOT PLACEMATS </t>
  </si>
  <si>
    <t>23560</t>
  </si>
  <si>
    <t>SET OF 6 RIBBONS COUNTRY STYLE</t>
  </si>
  <si>
    <t>21710</t>
  </si>
  <si>
    <t>FOLDING UMBRELLA PINKWHITE POLKADOT</t>
  </si>
  <si>
    <t>82613B</t>
  </si>
  <si>
    <t>METAL SIGN,CUPCAKE SINGLE HOOK</t>
  </si>
  <si>
    <t>82616C</t>
  </si>
  <si>
    <t>MIDNIGHT GLAMOUR SCARF KNITTING KIT</t>
  </si>
  <si>
    <t>85231G</t>
  </si>
  <si>
    <t>ORANGE SCENTED SET/9 T-LIGHTS</t>
  </si>
  <si>
    <t>23117</t>
  </si>
  <si>
    <t>POPPY FIELDS CHOPPING BOARD</t>
  </si>
  <si>
    <t>20766</t>
  </si>
  <si>
    <t>GARDEN PATH SKETCHBOOK</t>
  </si>
  <si>
    <t>22181</t>
  </si>
  <si>
    <t>SNOWSTORM PHOTO FRAME FRIDGE MAGNET</t>
  </si>
  <si>
    <t>21972</t>
  </si>
  <si>
    <t>SET OF 36 DINOSAUR PAPER DOILIES</t>
  </si>
  <si>
    <t>22050</t>
  </si>
  <si>
    <t>PINK PAISLEY ROSE GIFT WRAP</t>
  </si>
  <si>
    <t>22516</t>
  </si>
  <si>
    <t>CHILDS GARDEN RAKE BLUE</t>
  </si>
  <si>
    <t>84970s</t>
  </si>
  <si>
    <t>22511</t>
  </si>
  <si>
    <t>RETROSPOT BABUSHKA DOORSTOP</t>
  </si>
  <si>
    <t>21358</t>
  </si>
  <si>
    <t>TOAST ITS - HAPPY BIRTHDAY</t>
  </si>
  <si>
    <t>21850</t>
  </si>
  <si>
    <t>BLUE  DIAMANTE PEN IN GIFT BOX</t>
  </si>
  <si>
    <t>35598D</t>
  </si>
  <si>
    <t>PINK/WHITE CHRISTMAS TREE 60CM</t>
  </si>
  <si>
    <t>46776C</t>
  </si>
  <si>
    <t>WOVEN FROST CUSHION COVER</t>
  </si>
  <si>
    <t>21632</t>
  </si>
  <si>
    <t>VINTAGE PINK DECORATIVE PARASOL</t>
  </si>
  <si>
    <t>85194S</t>
  </si>
  <si>
    <t>HANGING SPRING FLOWER EGG SMALL</t>
  </si>
  <si>
    <t>35809A</t>
  </si>
  <si>
    <t>ENAMEL PINK TEA CONTAINER</t>
  </si>
  <si>
    <t>21202</t>
  </si>
  <si>
    <t>DOLLY HONEYCOMB GARLAND</t>
  </si>
  <si>
    <t>21867</t>
  </si>
  <si>
    <t>PINK UNION JACK  LUGGAGE TAG</t>
  </si>
  <si>
    <t>21454</t>
  </si>
  <si>
    <t xml:space="preserve">PAINTED PINK RABBIT </t>
  </si>
  <si>
    <t>84820</t>
  </si>
  <si>
    <t>DANISH ROSE TRINKET TRAYS</t>
  </si>
  <si>
    <t>17012C</t>
  </si>
  <si>
    <t xml:space="preserve">ORIGAMI LAVENDER INCENSE/CANDL SET </t>
  </si>
  <si>
    <t>23218</t>
  </si>
  <si>
    <t>LAUREL STAR ANTIQUE GOLD</t>
  </si>
  <si>
    <t>21634</t>
  </si>
  <si>
    <t>ASSORTED MINI MADRAS NOTEBOOK</t>
  </si>
  <si>
    <t>22638</t>
  </si>
  <si>
    <t xml:space="preserve">SET OF 4 NAPKIN CHARMS CROWNS </t>
  </si>
  <si>
    <t>22230</t>
  </si>
  <si>
    <t>JIGSAW TREE WITH WATERING CAN</t>
  </si>
  <si>
    <t>21587</t>
  </si>
  <si>
    <t>COSY HOUR GIANT TUBE MATCHES</t>
  </si>
  <si>
    <t>90209C</t>
  </si>
  <si>
    <t>PINK ENAMEL+GLASS HAIR COMB</t>
  </si>
  <si>
    <t>21741</t>
  </si>
  <si>
    <t>COSY SLIPPER SHOES LARGE GREEN</t>
  </si>
  <si>
    <t xml:space="preserve">ELEPHANT BIRTHDAY CARD </t>
  </si>
  <si>
    <t>CLASSIC GLASS SWEET JAR</t>
  </si>
  <si>
    <t>84849B</t>
  </si>
  <si>
    <t>FAIRY SOAP SOAP HOLDER</t>
  </si>
  <si>
    <t>20803</t>
  </si>
  <si>
    <t>SMALL PINK GLASS SUNDAE DISH</t>
  </si>
  <si>
    <t>23422</t>
  </si>
  <si>
    <t xml:space="preserve">PANTRY HOOK BALLOON WHISK </t>
  </si>
  <si>
    <t>85049F</t>
  </si>
  <si>
    <t xml:space="preserve">BABY BOOM RIBBONS </t>
  </si>
  <si>
    <t>21472</t>
  </si>
  <si>
    <t>LADYBIRD + BEE RAFFIA FOOD COVER</t>
  </si>
  <si>
    <t>23561</t>
  </si>
  <si>
    <t>SET OF 6 RIBBONS PARTY</t>
  </si>
  <si>
    <t>85093</t>
  </si>
  <si>
    <t>CANDY SPOT EGG WARMER HARE</t>
  </si>
  <si>
    <t>22184</t>
  </si>
  <si>
    <t>CAKE STAND VICTORIAN FILIGREE LARGE</t>
  </si>
  <si>
    <t>21366</t>
  </si>
  <si>
    <t>MIRRORED WALL ART PHOTO FRAMES</t>
  </si>
  <si>
    <t>84674</t>
  </si>
  <si>
    <t>FLYING PIG WATERING CAN</t>
  </si>
  <si>
    <t>23521</t>
  </si>
  <si>
    <t xml:space="preserve">WALL ART CAT AND BIRD </t>
  </si>
  <si>
    <t>20716</t>
  </si>
  <si>
    <t>PARTY FOOD SHOPPER BAG</t>
  </si>
  <si>
    <t>20707</t>
  </si>
  <si>
    <t>CRAZY DAISY HEART DECORATION</t>
  </si>
  <si>
    <t>20615</t>
  </si>
  <si>
    <t>BLUE POLKADOT PASSPORT COVER</t>
  </si>
  <si>
    <t>20831</t>
  </si>
  <si>
    <t>GOLD PHOTO FRAME</t>
  </si>
  <si>
    <t>84917</t>
  </si>
  <si>
    <t>WHITE HAND TOWEL WITH BUTTERFLY</t>
  </si>
  <si>
    <t>22647</t>
  </si>
  <si>
    <t>CERAMIC LOVE HEART MONEY BANK</t>
  </si>
  <si>
    <t>23379</t>
  </si>
  <si>
    <t>PACK OF 12 RED APPLE TISSUES</t>
  </si>
  <si>
    <t>21374</t>
  </si>
  <si>
    <t>MIRRORED WALL ART SKULLS</t>
  </si>
  <si>
    <t>23455</t>
  </si>
  <si>
    <t>SMALL PARLOUR PICTURE FRAME</t>
  </si>
  <si>
    <t>22517</t>
  </si>
  <si>
    <t>CHILDS GARDEN RAKE PINK</t>
  </si>
  <si>
    <t>20838</t>
  </si>
  <si>
    <t xml:space="preserve">FRENCH LATTICE CUSHION COVER </t>
  </si>
  <si>
    <t>35598B</t>
  </si>
  <si>
    <t>BLACK CHRISTMAS TREE 60CM</t>
  </si>
  <si>
    <t>21003</t>
  </si>
  <si>
    <t>ROSE DU SUD CUSHION COVER</t>
  </si>
  <si>
    <t>23691</t>
  </si>
  <si>
    <t>WRAP KEEP CALM BIRTHDAY</t>
  </si>
  <si>
    <t>22344</t>
  </si>
  <si>
    <t>PARTY PIZZA DISH PINK POLKADOT</t>
  </si>
  <si>
    <t>21063</t>
  </si>
  <si>
    <t>PARTY INVITES JAZZ HEARTS</t>
  </si>
  <si>
    <t>21062</t>
  </si>
  <si>
    <t>PARTY INVITES SPACEMAN</t>
  </si>
  <si>
    <t>23023</t>
  </si>
  <si>
    <t>RIDGED BONNE JAM JAR T-LIGHT HOLDER</t>
  </si>
  <si>
    <t>21220</t>
  </si>
  <si>
    <t>SET/4 BADGES DOGS</t>
  </si>
  <si>
    <t>23045</t>
  </si>
  <si>
    <t xml:space="preserve">PAPER LANTERN 5 POINT STAR MOON </t>
  </si>
  <si>
    <t>17096</t>
  </si>
  <si>
    <t>ASSORTED LAQUERED INCENSE HOLDERS</t>
  </si>
  <si>
    <t>21851</t>
  </si>
  <si>
    <t>LILAC DIAMANTE PEN IN GIFT BOX</t>
  </si>
  <si>
    <t>35004G</t>
  </si>
  <si>
    <t>SET OF 3 GOLD FLYING DUCKS</t>
  </si>
  <si>
    <t>22268</t>
  </si>
  <si>
    <t>EASTER DECORATION SITTING BUNNY</t>
  </si>
  <si>
    <t>21415</t>
  </si>
  <si>
    <t xml:space="preserve">CLAM SHELL SMALL </t>
  </si>
  <si>
    <t>84920</t>
  </si>
  <si>
    <t>PINK FLOWER FABRIC PONY</t>
  </si>
  <si>
    <t>84916</t>
  </si>
  <si>
    <t>HAND TOWEL PALE BLUE W FLOWERS</t>
  </si>
  <si>
    <t>85169C</t>
  </si>
  <si>
    <t>EAU DE NIL LOVE BIRD CANDLE</t>
  </si>
  <si>
    <t>23509</t>
  </si>
  <si>
    <t xml:space="preserve">MINI PLAYING CARDS FUN FAIR </t>
  </si>
  <si>
    <t xml:space="preserve">PACK 3 BOXES BIRD PANETTONE </t>
  </si>
  <si>
    <t>21061</t>
  </si>
  <si>
    <t>PARTY INVITES FOOTBALL</t>
  </si>
  <si>
    <t>21641</t>
  </si>
  <si>
    <t>ASSORTED TUTTI FRUTTI KEYRING BALL</t>
  </si>
  <si>
    <t>23548</t>
  </si>
  <si>
    <t xml:space="preserve">WRAP MAGIC FOREST </t>
  </si>
  <si>
    <t>48189</t>
  </si>
  <si>
    <t xml:space="preserve">DOORMAT FRIENDSHIP </t>
  </si>
  <si>
    <t>84872A</t>
  </si>
  <si>
    <t>TEATIME FUNKY FLOWER BACKPACK FOR 2</t>
  </si>
  <si>
    <t>20770</t>
  </si>
  <si>
    <t xml:space="preserve">ABSTRACT CIRCLE JOURNAL </t>
  </si>
  <si>
    <t>22640</t>
  </si>
  <si>
    <t xml:space="preserve">SET OF 4 NAPKIN CHARMS 3 KEYS </t>
  </si>
  <si>
    <t>22598</t>
  </si>
  <si>
    <t>CHRISTMAS MUSICAL ZINC TREE</t>
  </si>
  <si>
    <t>20669</t>
  </si>
  <si>
    <t>RED HEART LUGGAGE TAG</t>
  </si>
  <si>
    <t>21365</t>
  </si>
  <si>
    <t>MIRRORED WALL ART STARS</t>
  </si>
  <si>
    <t>84600</t>
  </si>
  <si>
    <t xml:space="preserve">NEW BAROQUE JEWELLERY BOX </t>
  </si>
  <si>
    <t>22486</t>
  </si>
  <si>
    <t>PLASMATRONIC LAMP</t>
  </si>
  <si>
    <t>84976</t>
  </si>
  <si>
    <t>RECTANGULAR SHAPED MIRROR</t>
  </si>
  <si>
    <t>22390</t>
  </si>
  <si>
    <t>PAPERWEIGHT CHILDHOOD MEMORIES</t>
  </si>
  <si>
    <t>22643</t>
  </si>
  <si>
    <t xml:space="preserve">SET OF 4 NAPKIN CHARMS LEAVES   </t>
  </si>
  <si>
    <t>82613C</t>
  </si>
  <si>
    <t>21656</t>
  </si>
  <si>
    <t xml:space="preserve">RIDGED GLASS POSY VASE </t>
  </si>
  <si>
    <t>21580</t>
  </si>
  <si>
    <t>RABBIT  DESIGN  COTTON TOTE BAG</t>
  </si>
  <si>
    <t>20903</t>
  </si>
  <si>
    <t>VINTAGE KEEPSAKE BOX TRAVELOGUE</t>
  </si>
  <si>
    <t>20768</t>
  </si>
  <si>
    <t xml:space="preserve">GREEN FERN JOURNAL </t>
  </si>
  <si>
    <t>85111</t>
  </si>
  <si>
    <t>SILVER GLITTER FLOWER VOTIVE HOLDER</t>
  </si>
  <si>
    <t>35637A</t>
  </si>
  <si>
    <t xml:space="preserve">IVORY STRING CURTAIN WITH POLE </t>
  </si>
  <si>
    <t>20619</t>
  </si>
  <si>
    <t xml:space="preserve">TROPICAL PASSPORT COVER </t>
  </si>
  <si>
    <t>21828</t>
  </si>
  <si>
    <t>EIGHT PIECE SNAKE  SET</t>
  </si>
  <si>
    <t>85130C</t>
  </si>
  <si>
    <t>BEADED CRYSTAL HEART BLUE  LARGE</t>
  </si>
  <si>
    <t>22545</t>
  </si>
  <si>
    <t>MINI JIGSAW BUNNIES</t>
  </si>
  <si>
    <t>84360</t>
  </si>
  <si>
    <t>TABLE LAMP WHITE SHADE WOOD BASE</t>
  </si>
  <si>
    <t>35653</t>
  </si>
  <si>
    <t>VINTAGE BEAD NOTEBOOK</t>
  </si>
  <si>
    <t>85168B</t>
  </si>
  <si>
    <t>BLACK BAROQUE CARRIAGE CLOCK</t>
  </si>
  <si>
    <t>22229</t>
  </si>
  <si>
    <t xml:space="preserve">BUNNY WOODEN PAINTED WITH FLOWER </t>
  </si>
  <si>
    <t>23457</t>
  </si>
  <si>
    <t>LARGE PARLOUR PICTURE FRAME</t>
  </si>
  <si>
    <t>84931B</t>
  </si>
  <si>
    <t>BLUE SCOTTIE DOG W FLOWER PATTERN</t>
  </si>
  <si>
    <t>23058</t>
  </si>
  <si>
    <t>CHRISTMAS HANGING SNOWFLAKE</t>
  </si>
  <si>
    <t>20705</t>
  </si>
  <si>
    <t>MRS ROBOT SOFT TOY</t>
  </si>
  <si>
    <t>21002</t>
  </si>
  <si>
    <t>ROSE DU SUD DRAWSTRING BAG</t>
  </si>
  <si>
    <t>21088</t>
  </si>
  <si>
    <t>SET/6 FRUIT SALAD PAPER CUPS</t>
  </si>
  <si>
    <t>77101A</t>
  </si>
  <si>
    <t>UNION FLAG WINDSOCK</t>
  </si>
  <si>
    <t>85071C</t>
  </si>
  <si>
    <t>CHARLIE+LOLA"EXTREMELY BUSY" SIGN</t>
  </si>
  <si>
    <t>21758</t>
  </si>
  <si>
    <t>VINTAGE SHELLS PRINT</t>
  </si>
  <si>
    <t>84658</t>
  </si>
  <si>
    <t>WHITE STITCHED CUSHION COVER</t>
  </si>
  <si>
    <t>23522</t>
  </si>
  <si>
    <t>DOG AND BALL WALL ART</t>
  </si>
  <si>
    <t>21318</t>
  </si>
  <si>
    <t xml:space="preserve">GLASS CHALICE BLUE SMALL </t>
  </si>
  <si>
    <t>20934</t>
  </si>
  <si>
    <t>SET/3 POT PLANT CANDLES</t>
  </si>
  <si>
    <t>72799F</t>
  </si>
  <si>
    <t>IVORY PILLAR CANDLE GOLD FLOCK</t>
  </si>
  <si>
    <t>20765</t>
  </si>
  <si>
    <t xml:space="preserve">CHRYSANTHEMUM SKETCHBOOK </t>
  </si>
  <si>
    <t>90200E</t>
  </si>
  <si>
    <t>GREEN SWEETHEART BRACELET</t>
  </si>
  <si>
    <t>90154</t>
  </si>
  <si>
    <t>LAZER CUT NECKLACE W PASTEL BEADS</t>
  </si>
  <si>
    <t>85136C</t>
  </si>
  <si>
    <t>RED SHARK HELICOPTER</t>
  </si>
  <si>
    <t>20762</t>
  </si>
  <si>
    <t xml:space="preserve">GREEN FERN SKETCHBOOK </t>
  </si>
  <si>
    <t>22051</t>
  </si>
  <si>
    <t>BLUE SCANDINAVIAN PAISLEY WRAP</t>
  </si>
  <si>
    <t>21129</t>
  </si>
  <si>
    <t xml:space="preserve">SILVER FISHING GNOME </t>
  </si>
  <si>
    <t>85208</t>
  </si>
  <si>
    <t>SET/12 FUNKY FELT FLOWER PEG IN BAG</t>
  </si>
  <si>
    <t>84970l</t>
  </si>
  <si>
    <t>90114</t>
  </si>
  <si>
    <t>SUMMER DAISIES BAG CHARM</t>
  </si>
  <si>
    <t>22405</t>
  </si>
  <si>
    <t>MONEY BOX POCKET MONEY DESIGN</t>
  </si>
  <si>
    <t>84821</t>
  </si>
  <si>
    <t>DANISH ROSE DELUXE COASTER</t>
  </si>
  <si>
    <t>22214</t>
  </si>
  <si>
    <t>CANDLE PLATE LACE WHITE</t>
  </si>
  <si>
    <t>21147</t>
  </si>
  <si>
    <t>JINGLE BELLS TREE DECORATION</t>
  </si>
  <si>
    <t>22108</t>
  </si>
  <si>
    <t>PING! MICROWAVE PLATE</t>
  </si>
  <si>
    <t>21817</t>
  </si>
  <si>
    <t>GLITTER CHRISTMAS TREE</t>
  </si>
  <si>
    <t>21579</t>
  </si>
  <si>
    <t>LOLITA  DESIGN  COTTON TOTE BAG</t>
  </si>
  <si>
    <t>21285</t>
  </si>
  <si>
    <t>RETROSPOT CANDLE  MEDIUM</t>
  </si>
  <si>
    <t>21884</t>
  </si>
  <si>
    <t>CAKES AND BOWS GIFT  TAPE</t>
  </si>
  <si>
    <t>90161C</t>
  </si>
  <si>
    <t>ANT COPPER LIME BOUDICCA BRACELET</t>
  </si>
  <si>
    <t>23459</t>
  </si>
  <si>
    <t xml:space="preserve">DOLLY CABINET 2 DRAWERS </t>
  </si>
  <si>
    <t>15056p</t>
  </si>
  <si>
    <t>23415</t>
  </si>
  <si>
    <t>HOME SWEET HOME HOOK</t>
  </si>
  <si>
    <t>84596E</t>
  </si>
  <si>
    <t>SMALL LICORICE DES PINK BOWL</t>
  </si>
  <si>
    <t>84806B</t>
  </si>
  <si>
    <t>WHITE CANDYSTUFT ARTIFICIAL FLOWER</t>
  </si>
  <si>
    <t>22447</t>
  </si>
  <si>
    <t>PIN CUSHION BABUSHKA BLUE</t>
  </si>
  <si>
    <t>20830</t>
  </si>
  <si>
    <t>SILVER PHOTO FRAME</t>
  </si>
  <si>
    <t>85203</t>
  </si>
  <si>
    <t xml:space="preserve">HANGING WOOD AND FELT BUTTERFLY </t>
  </si>
  <si>
    <t>16219</t>
  </si>
  <si>
    <t>HOUSE SHAPE PENCIL SHARPENER</t>
  </si>
  <si>
    <t>22510</t>
  </si>
  <si>
    <t>GINGHAM BABUSHKA DOORSTOP</t>
  </si>
  <si>
    <t>35964</t>
  </si>
  <si>
    <t>FOLKART CLIP ON STARS</t>
  </si>
  <si>
    <t>23339</t>
  </si>
  <si>
    <t xml:space="preserve">EGG FRYING PAN BLUE </t>
  </si>
  <si>
    <t>22406</t>
  </si>
  <si>
    <t>MONEY BOX KINGS CHOICE DESIGN</t>
  </si>
  <si>
    <t>22134</t>
  </si>
  <si>
    <t xml:space="preserve">MINI LADLE LOVE HEART RED </t>
  </si>
  <si>
    <t>22287</t>
  </si>
  <si>
    <t xml:space="preserve">DECORATION , WOBBLY CHICKEN, METAL </t>
  </si>
  <si>
    <t>23576</t>
  </si>
  <si>
    <t>SNACK TRAY RED VINTAGE DOILY</t>
  </si>
  <si>
    <t>23429</t>
  </si>
  <si>
    <t>RED RETRO KITCHEN WALL CLOCK</t>
  </si>
  <si>
    <t>23039</t>
  </si>
  <si>
    <t>T-LIGHT HOLDER SILVER HEART HANDLE</t>
  </si>
  <si>
    <t>22345</t>
  </si>
  <si>
    <t>PARTY PIZZA DISH BLUE POLKADOT</t>
  </si>
  <si>
    <t>23466</t>
  </si>
  <si>
    <t>TUSCAN VILLA DOVECOTE BIRD FEEDER</t>
  </si>
  <si>
    <t>37476</t>
  </si>
  <si>
    <t>CONDIMENT TRAY 4 BOWLS AND 4 SPOONS</t>
  </si>
  <si>
    <t>21131</t>
  </si>
  <si>
    <t>GOLD STANDING GNOME</t>
  </si>
  <si>
    <t>84974</t>
  </si>
  <si>
    <t>S/2 ZINC HEART DESIGN PLANTERS</t>
  </si>
  <si>
    <t>18007</t>
  </si>
  <si>
    <t>ESSENTIAL BALM 3.5g TIN IN ENVELOPE</t>
  </si>
  <si>
    <t>23484</t>
  </si>
  <si>
    <t>HEART TRELLIS TRIPLE T-LIGHT HOLDER</t>
  </si>
  <si>
    <t>47421</t>
  </si>
  <si>
    <t>ASSORTED COLOUR LIZARD SUCTION HOOK</t>
  </si>
  <si>
    <t>22256</t>
  </si>
  <si>
    <t>FELT FARM ANIMAL CHICKEN</t>
  </si>
  <si>
    <t>23661</t>
  </si>
  <si>
    <t xml:space="preserve">MILK MAIDS MUG </t>
  </si>
  <si>
    <t>22048</t>
  </si>
  <si>
    <t>BIRTHDAY BANQUET GIFT WRAP</t>
  </si>
  <si>
    <t>20867</t>
  </si>
  <si>
    <t>PINK ROSE FABRIC MIRROR</t>
  </si>
  <si>
    <t>90200B</t>
  </si>
  <si>
    <t>BLACK SWEETHEART BRACELET</t>
  </si>
  <si>
    <t>23116</t>
  </si>
  <si>
    <t>VEGETABLE GARDEN CHOPPING BOARD</t>
  </si>
  <si>
    <t>84826</t>
  </si>
  <si>
    <t>ASSTD DESIGN 3D PAPER STICKERS</t>
  </si>
  <si>
    <t>23150</t>
  </si>
  <si>
    <t>IVORY SWEETHEART SOAP DISH</t>
  </si>
  <si>
    <t>85232A</t>
  </si>
  <si>
    <t>SET/3 POLKADOT STACKING TINS</t>
  </si>
  <si>
    <t>21373</t>
  </si>
  <si>
    <t>MIRRORED WALL ART SNOWFLAKES</t>
  </si>
  <si>
    <t>23337</t>
  </si>
  <si>
    <t xml:space="preserve">EGG FRYING PAN MINT </t>
  </si>
  <si>
    <t>35095A</t>
  </si>
  <si>
    <t>BLUE VICTORIAN FABRIC OVAL BOX</t>
  </si>
  <si>
    <t>BELL HEART DECORATION</t>
  </si>
  <si>
    <t>21879</t>
  </si>
  <si>
    <t>HEARTS GIFT TAPE</t>
  </si>
  <si>
    <t>20854</t>
  </si>
  <si>
    <t>BLUE PATCH PURSE PINK HEART</t>
  </si>
  <si>
    <t>WHITE MOROCCAN METAL LANTERN</t>
  </si>
  <si>
    <t>21881</t>
  </si>
  <si>
    <t>CUTE CATS TAPE</t>
  </si>
  <si>
    <t>21197</t>
  </si>
  <si>
    <t>MULTICOLOUR  CONFETTI IN TUBE</t>
  </si>
  <si>
    <t>84919</t>
  </si>
  <si>
    <t>BLUE CUSHION COVER WITH FLOWER</t>
  </si>
  <si>
    <t>22346</t>
  </si>
  <si>
    <t>PARTY PIZZA DISH GREEN POLKADOT</t>
  </si>
  <si>
    <t>85179A</t>
  </si>
  <si>
    <t>GREEN BITTY LIGHT CHAIN</t>
  </si>
  <si>
    <t>21562</t>
  </si>
  <si>
    <t xml:space="preserve">HAWAIIAN GRASS SKIRT </t>
  </si>
  <si>
    <t>16045</t>
  </si>
  <si>
    <t>POPART WOODEN PENCILS ASST</t>
  </si>
  <si>
    <t>LA JARDIN BOTANIQUE CUSHION COVER</t>
  </si>
  <si>
    <t>46776D</t>
  </si>
  <si>
    <t xml:space="preserve">WOVEN SUNSET CUSHION COVER </t>
  </si>
  <si>
    <t>90161B</t>
  </si>
  <si>
    <t>ANT COPPER TURQ BOUDICCA BRACELET</t>
  </si>
  <si>
    <t xml:space="preserve">PINK POLKADOT PLATE </t>
  </si>
  <si>
    <t>21051</t>
  </si>
  <si>
    <t xml:space="preserve">RIBBONS PURSE </t>
  </si>
  <si>
    <t>90160C</t>
  </si>
  <si>
    <t>TURQ+RED BOUDICCA LARGE BRACELET</t>
  </si>
  <si>
    <t>47367B</t>
  </si>
  <si>
    <t>PAIR PADDED HANGERS PINK CHECK</t>
  </si>
  <si>
    <t>21284</t>
  </si>
  <si>
    <t>RETROSPOT CANDLE  SMALL</t>
  </si>
  <si>
    <t>17012A</t>
  </si>
  <si>
    <t xml:space="preserve">ORIGAMI VANILLA INCENSE/CANDLE SET </t>
  </si>
  <si>
    <t>84559A</t>
  </si>
  <si>
    <t>3D SHEET OF DOG STICKERS</t>
  </si>
  <si>
    <t>21635</t>
  </si>
  <si>
    <t xml:space="preserve">MADRAS NOTEBOOK LARGE </t>
  </si>
  <si>
    <t>84663A</t>
  </si>
  <si>
    <t xml:space="preserve">GRASS HOPPER WOODEN WALL CLOCK </t>
  </si>
  <si>
    <t xml:space="preserve">DOLLCRAFT BOY JEAN-PAUL </t>
  </si>
  <si>
    <t>20782</t>
  </si>
  <si>
    <t>CAMOUFLAGE EAR MUFF HEADPHONES</t>
  </si>
  <si>
    <t>21945</t>
  </si>
  <si>
    <t xml:space="preserve">STRAWBERRIES  DESIGN FLANNEL </t>
  </si>
  <si>
    <t>16011</t>
  </si>
  <si>
    <t>ANIMAL STICKERS</t>
  </si>
  <si>
    <t>84915</t>
  </si>
  <si>
    <t>HAND TOWEL PINK FLOWER AND DAISY</t>
  </si>
  <si>
    <t>21689</t>
  </si>
  <si>
    <t>SILVER VANILLA  FLOWER CANDLE POT</t>
  </si>
  <si>
    <t>84563A</t>
  </si>
  <si>
    <t>PINK &amp; WHITE BREAKFAST TRAY</t>
  </si>
  <si>
    <t>23575</t>
  </si>
  <si>
    <t>SNACK TRAY PAISLEY PARK</t>
  </si>
  <si>
    <t>22532</t>
  </si>
  <si>
    <t xml:space="preserve">MAGIC DRAWING SLATE LEAP FROG </t>
  </si>
  <si>
    <t>22769</t>
  </si>
  <si>
    <t>CHALKBOARD KITCHEN ORGANISER</t>
  </si>
  <si>
    <t>22265</t>
  </si>
  <si>
    <t>EASTER DECORATION NATURAL CHICK</t>
  </si>
  <si>
    <t>21000</t>
  </si>
  <si>
    <t>ROSE DU SUD COSMETICS BAG</t>
  </si>
  <si>
    <t>21320</t>
  </si>
  <si>
    <t xml:space="preserve">GLASS CHALICE GREEN  LARGE </t>
  </si>
  <si>
    <t>23579</t>
  </si>
  <si>
    <t>SNACK TRAY I LOVE LONDON</t>
  </si>
  <si>
    <t>21286</t>
  </si>
  <si>
    <t>RETROSPOT CANDLE  LARGE</t>
  </si>
  <si>
    <t>35957</t>
  </si>
  <si>
    <t>SMALLFOLKART BAUBLE CHRISTMAS DEC</t>
  </si>
  <si>
    <t>21348</t>
  </si>
  <si>
    <t xml:space="preserve">PINK SPOTS CHOCOLATE NESTING BOXES </t>
  </si>
  <si>
    <t>23044</t>
  </si>
  <si>
    <t>PAPER LANTERN 9 POINT HOLLY STAR S</t>
  </si>
  <si>
    <t>85049e</t>
  </si>
  <si>
    <t>16008</t>
  </si>
  <si>
    <t>SMALL FOLDING SCISSOR(POINTED EDGE)</t>
  </si>
  <si>
    <t>84632</t>
  </si>
  <si>
    <t>DECORATIVE HANGING SHELVING UNIT</t>
  </si>
  <si>
    <t>35954</t>
  </si>
  <si>
    <t>SMALL FOLKART STAR CHRISTMAS DEC</t>
  </si>
  <si>
    <t>21060</t>
  </si>
  <si>
    <t>PARTY INVITES BALLOON GIRL</t>
  </si>
  <si>
    <t>84563B</t>
  </si>
  <si>
    <t>BLUE &amp; WHITE BREAKFAST TRAY</t>
  </si>
  <si>
    <t>90209B</t>
  </si>
  <si>
    <t>GREEN ENAMEL+GLASS HAIR COMB</t>
  </si>
  <si>
    <t>20856</t>
  </si>
  <si>
    <t>DENIM PATCH PURSE PINK BUTTERFLY</t>
  </si>
  <si>
    <t>21263</t>
  </si>
  <si>
    <t>GREEN GOOSE FEATHER TREE 60CM</t>
  </si>
  <si>
    <t>22100</t>
  </si>
  <si>
    <t>SKULLS SQUARE TISSUE BOX</t>
  </si>
  <si>
    <t>82095</t>
  </si>
  <si>
    <t>HEART BUTTONS JEWELLERY BOX</t>
  </si>
  <si>
    <t>85169D</t>
  </si>
  <si>
    <t>PINK LOVE BIRD CANDLE</t>
  </si>
  <si>
    <t>85169B</t>
  </si>
  <si>
    <t>BLACK LOVE BIRD CANDLE</t>
  </si>
  <si>
    <t>84569A</t>
  </si>
  <si>
    <t>PACK 3 IRON ON DOG PATCHES</t>
  </si>
  <si>
    <t>21724</t>
  </si>
  <si>
    <t>PANDA AND BUNNIES STICKER SHEET</t>
  </si>
  <si>
    <t>21001</t>
  </si>
  <si>
    <t xml:space="preserve">ROSE DU SUD WASHBAG </t>
  </si>
  <si>
    <t>37482P</t>
  </si>
  <si>
    <t>CUBIC MUG PINK POLKADOT</t>
  </si>
  <si>
    <t>47310M</t>
  </si>
  <si>
    <t>SMALL POP BOX FUNKY MONKEY</t>
  </si>
  <si>
    <t>21664</t>
  </si>
  <si>
    <t>RIDGED GLASS STORAGE JAR CREAM LID</t>
  </si>
  <si>
    <t>21723</t>
  </si>
  <si>
    <t>ALPHABET HEARTS STICKER SHEET</t>
  </si>
  <si>
    <t>23420</t>
  </si>
  <si>
    <t xml:space="preserve">PANTRY HOOK TEA STRAINER </t>
  </si>
  <si>
    <t>23421</t>
  </si>
  <si>
    <t>PANTRY HOOK SPATULA</t>
  </si>
  <si>
    <t>21222</t>
  </si>
  <si>
    <t>SET/4 BADGES BEETLES</t>
  </si>
  <si>
    <t>35095B</t>
  </si>
  <si>
    <t>RED VICTORIAN FABRIC OVAL BOX</t>
  </si>
  <si>
    <t>20652</t>
  </si>
  <si>
    <t xml:space="preserve">BLUE POLKADOT LUGGAGE TAG </t>
  </si>
  <si>
    <t>21555</t>
  </si>
  <si>
    <t>CERAMIC STRAWBERRY TRINKET TRAY</t>
  </si>
  <si>
    <t>22529</t>
  </si>
  <si>
    <t xml:space="preserve">MAGIC DRAWING SLATE GO TO THE FAIR </t>
  </si>
  <si>
    <t>DECORATION SITTING BUNNY</t>
  </si>
  <si>
    <t>84924A</t>
  </si>
  <si>
    <t xml:space="preserve">WAKE UP COCKEREL CALENDAR SIGN </t>
  </si>
  <si>
    <t>84631</t>
  </si>
  <si>
    <t>FRUIT TREE AND BIRDS WALL PLAQUE</t>
  </si>
  <si>
    <t>21421</t>
  </si>
  <si>
    <t xml:space="preserve">PORCELAIN ROSE LARGE </t>
  </si>
  <si>
    <t>GEMSTONE CHANDELIER T-LIGHT HOLDER</t>
  </si>
  <si>
    <t>20700</t>
  </si>
  <si>
    <t xml:space="preserve">GREEN CAT FLORAL CUSHION COVER </t>
  </si>
  <si>
    <t>47591B</t>
  </si>
  <si>
    <t>SCOTTIES CHILDRENS APRON</t>
  </si>
  <si>
    <t>84849A</t>
  </si>
  <si>
    <t>HELLO SAILOR BLUE SOAP HOLDER</t>
  </si>
  <si>
    <t>85129D</t>
  </si>
  <si>
    <t>BEADED CRYSTAL HEART PINK SMALL</t>
  </si>
  <si>
    <t>22104</t>
  </si>
  <si>
    <t>MIRROR MOSAIC CANDLE PLATE</t>
  </si>
  <si>
    <t>90149</t>
  </si>
  <si>
    <t>SILVER FLOWR PINK SHELL NECKLACE</t>
  </si>
  <si>
    <t>47559b</t>
  </si>
  <si>
    <t>84766</t>
  </si>
  <si>
    <t>SILVER ROCOCO CANDLE STICK</t>
  </si>
  <si>
    <t xml:space="preserve">WALL ART TREASURE AHOY </t>
  </si>
  <si>
    <t>21221</t>
  </si>
  <si>
    <t>SET/4 BADGES CUTE CREATURES</t>
  </si>
  <si>
    <t>71270</t>
  </si>
  <si>
    <t>PHOTO CLIP LINE</t>
  </si>
  <si>
    <t>22547</t>
  </si>
  <si>
    <t xml:space="preserve">MINI JIGSAW DINOSAUR </t>
  </si>
  <si>
    <t>21167</t>
  </si>
  <si>
    <t>WHITE SAGE INCENSE</t>
  </si>
  <si>
    <t>72122</t>
  </si>
  <si>
    <t>COFFEE SCENT PILLAR CANDLE</t>
  </si>
  <si>
    <t>DOLLCRAFT GIRL NICOLE</t>
  </si>
  <si>
    <t>84926E</t>
  </si>
  <si>
    <t>FLOWERS TILE COASTER</t>
  </si>
  <si>
    <t>85213</t>
  </si>
  <si>
    <t xml:space="preserve">MINI  ZINC GARDEN DECORATIONS </t>
  </si>
  <si>
    <t>85230B</t>
  </si>
  <si>
    <t>CINNAMON SCENTED VOTIVE CANDLE</t>
  </si>
  <si>
    <t>22259</t>
  </si>
  <si>
    <t>FELT FARM ANIMAL HEN</t>
  </si>
  <si>
    <t>84952B</t>
  </si>
  <si>
    <t>BLACK LOVE BIRD T-LIGHT HOLDER</t>
  </si>
  <si>
    <t>84638</t>
  </si>
  <si>
    <t>SMALL KITCHEN FLOWER POTS PLAQUE</t>
  </si>
  <si>
    <t>21248</t>
  </si>
  <si>
    <t>DOOR HANGER  MUM + DADS ROOM</t>
  </si>
  <si>
    <t>90200A</t>
  </si>
  <si>
    <t>PURPLE SWEETHEART BRACELET</t>
  </si>
  <si>
    <t>DOILEY BISCUIT TIN</t>
  </si>
  <si>
    <t>16259</t>
  </si>
  <si>
    <t>PIECE OF CAMO STATIONERY SET</t>
  </si>
  <si>
    <t>84708B</t>
  </si>
  <si>
    <t xml:space="preserve">PINK JEWELLED PHOTO FRAME </t>
  </si>
  <si>
    <t>85204</t>
  </si>
  <si>
    <t>HANGING WOOD AND FELT FLOWER</t>
  </si>
  <si>
    <t>23037</t>
  </si>
  <si>
    <t>CANDLE HOLDER SILVER MADELINE</t>
  </si>
  <si>
    <t>23478</t>
  </si>
  <si>
    <t>WOODLAND LARGE PINK FELT HEART</t>
  </si>
  <si>
    <t>90147</t>
  </si>
  <si>
    <t>CHUNKY SILVER NECKLACE PASTEL FLOWE</t>
  </si>
  <si>
    <t>CAT AND BIRD WALL ART</t>
  </si>
  <si>
    <t>23695</t>
  </si>
  <si>
    <t>DOILY THANK YOU CARD</t>
  </si>
  <si>
    <t>85205B</t>
  </si>
  <si>
    <t>PINK FELT EASTER RABBIT GARLAND</t>
  </si>
  <si>
    <t>84931A</t>
  </si>
  <si>
    <t>PINK SCOTTIE DOG W FLOWER PATTERN</t>
  </si>
  <si>
    <t>84509c</t>
  </si>
  <si>
    <t>22092</t>
  </si>
  <si>
    <t>BLUE PAISLEY TISSUE BOX</t>
  </si>
  <si>
    <t>21403</t>
  </si>
  <si>
    <t>BLUE EGG  SPOON</t>
  </si>
  <si>
    <t>16238</t>
  </si>
  <si>
    <t>PARTY TIME PENCIL ERASERS</t>
  </si>
  <si>
    <t>CHARLOTTE BAG ALPHABET  DESIGN</t>
  </si>
  <si>
    <t>21425</t>
  </si>
  <si>
    <t>SKULLS STORAGE BOX LARGE</t>
  </si>
  <si>
    <t>16236</t>
  </si>
  <si>
    <t>KITTY PENCIL ERASERS</t>
  </si>
  <si>
    <t>21371</t>
  </si>
  <si>
    <t>MIRRORED WALL ART POPPIES</t>
  </si>
  <si>
    <t>20936</t>
  </si>
  <si>
    <t>FORKED CACTUS CANDLE</t>
  </si>
  <si>
    <t>21026</t>
  </si>
  <si>
    <t>SPACE OWL</t>
  </si>
  <si>
    <t>22202</t>
  </si>
  <si>
    <t>MILK PAN PINK POLKADOT</t>
  </si>
  <si>
    <t>DECORATION WOBBLY CHICKEN</t>
  </si>
  <si>
    <t>90161D</t>
  </si>
  <si>
    <t>ANT COPPER PINK BOUDICCA BRACELET</t>
  </si>
  <si>
    <t>72586</t>
  </si>
  <si>
    <t>SET OF 6 HALLOWEEN GHOST T-LIGHTS</t>
  </si>
  <si>
    <t>84876B</t>
  </si>
  <si>
    <t>GREEN HEART COMPACT MIRROR</t>
  </si>
  <si>
    <t>20780</t>
  </si>
  <si>
    <t>BLACK EAR MUFF HEADPHONES</t>
  </si>
  <si>
    <t>84884a</t>
  </si>
  <si>
    <t>46118</t>
  </si>
  <si>
    <t>FUNKY MONKEY CUSHION COVER</t>
  </si>
  <si>
    <t>22765</t>
  </si>
  <si>
    <t>NEWSPAPER STAND</t>
  </si>
  <si>
    <t>85170B</t>
  </si>
  <si>
    <t>SET/6 BLACK BIRD T-LIGHT CANDLES</t>
  </si>
  <si>
    <t>35915C</t>
  </si>
  <si>
    <t xml:space="preserve">PEACH KNITTED HEN </t>
  </si>
  <si>
    <t>90198A</t>
  </si>
  <si>
    <t>VINTAGE ROSE BEAD BRACELET RASPBERR</t>
  </si>
  <si>
    <t>21375</t>
  </si>
  <si>
    <t xml:space="preserve">LARGE CAMPHOR WOOD FIELD MUSHROOM </t>
  </si>
  <si>
    <t>85202</t>
  </si>
  <si>
    <t>HANGING WOOD AND FELT HEART</t>
  </si>
  <si>
    <t>47594B</t>
  </si>
  <si>
    <t>SCOTTIES DESIGN WASHBAG</t>
  </si>
  <si>
    <t>84584</t>
  </si>
  <si>
    <t>PINK GINGHAM CAT WITH SCARF</t>
  </si>
  <si>
    <t>21841</t>
  </si>
  <si>
    <t>BABY MOUSE RED GINGHAM DRESS</t>
  </si>
  <si>
    <t>17084N</t>
  </si>
  <si>
    <t xml:space="preserve">FAIRY DREAMS INCENSE </t>
  </si>
  <si>
    <t>85014b</t>
  </si>
  <si>
    <t>21942</t>
  </si>
  <si>
    <t>SKULLS DESIGN FLANNEL</t>
  </si>
  <si>
    <t xml:space="preserve">MISELTOE HEART WREATH </t>
  </si>
  <si>
    <t>84358</t>
  </si>
  <si>
    <t>FLOOR LAMP SHADE WOOD BASE</t>
  </si>
  <si>
    <t>CHRISTMAS HANGING HEART WITH BELL</t>
  </si>
  <si>
    <t>21442</t>
  </si>
  <si>
    <t>GREEN BIRDHOUSE DECORATION</t>
  </si>
  <si>
    <t>21944</t>
  </si>
  <si>
    <t>KITTENS DESIGN FLANNEL</t>
  </si>
  <si>
    <t>47021G</t>
  </si>
  <si>
    <t>SET/6 BEAD COASTERS GAUZE BAG GOLD</t>
  </si>
  <si>
    <t>22124</t>
  </si>
  <si>
    <t>SET OF 2 TEA TOWELS PING MICROWAVE</t>
  </si>
  <si>
    <t>21719</t>
  </si>
  <si>
    <t>LOVELY BONBON STICKER SHEET</t>
  </si>
  <si>
    <t>23495</t>
  </si>
  <si>
    <t>SET OF 3 PANTRY WOODEN SPOONS</t>
  </si>
  <si>
    <t>MISELTOE HEART WREATH WHITE</t>
  </si>
  <si>
    <t>22043</t>
  </si>
  <si>
    <t xml:space="preserve">CHRISTMAS CARD SCREEN PRINT </t>
  </si>
  <si>
    <t>22040</t>
  </si>
  <si>
    <t>BOTANICAL ROSE GIFT WRAP</t>
  </si>
  <si>
    <t>3 TRADITIONAL COOKIE CUTTERS  SET</t>
  </si>
  <si>
    <t>22641</t>
  </si>
  <si>
    <t>SET OF 4 NAPKIN CHARMS INSTRUMENT</t>
  </si>
  <si>
    <t>23430</t>
  </si>
  <si>
    <t>BLUE RETRO KITCHEN WALL CLOCK</t>
  </si>
  <si>
    <t xml:space="preserve">WALL ART DOG AND BALL </t>
  </si>
  <si>
    <t>35912B</t>
  </si>
  <si>
    <t>WHITE/PINK CHICK DECORATION</t>
  </si>
  <si>
    <t>84661B</t>
  </si>
  <si>
    <t>BLACK SQUARE TABLE CLOCK</t>
  </si>
  <si>
    <t>22409</t>
  </si>
  <si>
    <t>MONEY BOX BISCUITS DESIGN</t>
  </si>
  <si>
    <t>21761</t>
  </si>
  <si>
    <t>WOOD AND GLASS MEDICINE CABINET</t>
  </si>
  <si>
    <t>23440</t>
  </si>
  <si>
    <t>PAINT YOUR OWN EGGS IN CRATE</t>
  </si>
  <si>
    <t>20897</t>
  </si>
  <si>
    <t>VINTAGE NOTEBOOK PARIS DAYS</t>
  </si>
  <si>
    <t>90184B</t>
  </si>
  <si>
    <t>AMETHYST CHUNKY BEAD BRACELET W STR</t>
  </si>
  <si>
    <t>22135</t>
  </si>
  <si>
    <t>MINI LADLE LOVE HEART PINK</t>
  </si>
  <si>
    <t>23015</t>
  </si>
  <si>
    <t>CORDIAL GLASS JUG</t>
  </si>
  <si>
    <t>84596J</t>
  </si>
  <si>
    <t>MIXED NUTS LIGHT GREEN BOWL</t>
  </si>
  <si>
    <t>22049</t>
  </si>
  <si>
    <t>WRAP CHRISTMAS SCREEN PRINT</t>
  </si>
  <si>
    <t>DOLLCRAFT GIRL AMELIE KIT</t>
  </si>
  <si>
    <t>85186A</t>
  </si>
  <si>
    <t>EASTER BUNNY GARLAND OF FLOWERS</t>
  </si>
  <si>
    <t>20655</t>
  </si>
  <si>
    <t>QUEEN OF SKIES LUGGAGE TAG</t>
  </si>
  <si>
    <t>35911A</t>
  </si>
  <si>
    <t>MULTICOLOUR RABBIT EGG WARMER</t>
  </si>
  <si>
    <t>21441</t>
  </si>
  <si>
    <t>BLUE BIRDHOUSE DECORATION</t>
  </si>
  <si>
    <t>DECORATIVE VINTAGE COFFEE  BOX</t>
  </si>
  <si>
    <t>23567</t>
  </si>
  <si>
    <t>EGG CUP HENRIETTA HEN PINK</t>
  </si>
  <si>
    <t>72800B</t>
  </si>
  <si>
    <t xml:space="preserve"> 4 PURPLE FLOCK DINNER CANDLES</t>
  </si>
  <si>
    <t>21386</t>
  </si>
  <si>
    <t>IVORY HANGING DECORATION  EGG</t>
  </si>
  <si>
    <t>23410</t>
  </si>
  <si>
    <t xml:space="preserve">CURIO CABINET LINEN AND LACE </t>
  </si>
  <si>
    <t>LUNCH BAG RED SPOTTY</t>
  </si>
  <si>
    <t>16015</t>
  </si>
  <si>
    <t>MEDIUM CHINESE STYLE SCISSOR</t>
  </si>
  <si>
    <t>84247E</t>
  </si>
  <si>
    <t>PACK OF 12 CHRISTMAS FUN CARDS</t>
  </si>
  <si>
    <t>85024B</t>
  </si>
  <si>
    <t>EAU DE NILE JEWELLED PHOTOFRAME</t>
  </si>
  <si>
    <t>21503</t>
  </si>
  <si>
    <t xml:space="preserve">TOYBOX  WRAP </t>
  </si>
  <si>
    <t>46776E</t>
  </si>
  <si>
    <t xml:space="preserve">WOVEN CANDY CUSHION COVER </t>
  </si>
  <si>
    <t>79190B</t>
  </si>
  <si>
    <t>RETRO PLASTIC POLKA TRAY</t>
  </si>
  <si>
    <t>23047</t>
  </si>
  <si>
    <t>PAPER LANTERN 5 POINT SEQUIN STAR</t>
  </si>
  <si>
    <t>71403</t>
  </si>
  <si>
    <t>PINK/WHITE "KEEP CLEAN" BULLET BIN</t>
  </si>
  <si>
    <t>20618</t>
  </si>
  <si>
    <t xml:space="preserve">QUEEN OF THE SKIES PASSPORT COVER </t>
  </si>
  <si>
    <t>37413</t>
  </si>
  <si>
    <t>ICON MUG REVOLUTIONARY</t>
  </si>
  <si>
    <t>18094C</t>
  </si>
  <si>
    <t>WHITE AND BLUE CERAMIC OIL BURNER</t>
  </si>
  <si>
    <t>21666</t>
  </si>
  <si>
    <t>RIDGED GLASS T-LIGHT HOLDER</t>
  </si>
  <si>
    <t>16218</t>
  </si>
  <si>
    <t>CARTOON  PENCIL SHARPENERS</t>
  </si>
  <si>
    <t>20794</t>
  </si>
  <si>
    <t>BLUE  TILE HOOK</t>
  </si>
  <si>
    <t>20777</t>
  </si>
  <si>
    <t>CHRYSANTHEMUM NOTEBOOK</t>
  </si>
  <si>
    <t>84341B</t>
  </si>
  <si>
    <t>SMALL PINK MAGIC CHRISTMAS TREE</t>
  </si>
  <si>
    <t>84872a</t>
  </si>
  <si>
    <t>23481</t>
  </si>
  <si>
    <t xml:space="preserve">PEARLISED IVORY HEART SMALL </t>
  </si>
  <si>
    <t>22257</t>
  </si>
  <si>
    <t>FELT FARM ANIMAL SHEEP</t>
  </si>
  <si>
    <t>71101E</t>
  </si>
  <si>
    <t xml:space="preserve">STANDING FAIRY POLE SUPPORT </t>
  </si>
  <si>
    <t>85188A</t>
  </si>
  <si>
    <t>GREEN METAL SWINGING BUNNY</t>
  </si>
  <si>
    <t>21725</t>
  </si>
  <si>
    <t>SWEETIES  STICKERS</t>
  </si>
  <si>
    <t>16169M</t>
  </si>
  <si>
    <t xml:space="preserve">WRAP DAISY CARPET </t>
  </si>
  <si>
    <t>21293</t>
  </si>
  <si>
    <t>MIRRORED DOVE WALL DECORATION</t>
  </si>
  <si>
    <t>84926D</t>
  </si>
  <si>
    <t>LA PALMIERA TILE COASTER</t>
  </si>
  <si>
    <t>85049g</t>
  </si>
  <si>
    <t>23137</t>
  </si>
  <si>
    <t>ZINC WIRE SWEETHEART LETTER TRAY</t>
  </si>
  <si>
    <t>21250</t>
  </si>
  <si>
    <t>SET OF SKULL WALL STICKERS</t>
  </si>
  <si>
    <t>20684</t>
  </si>
  <si>
    <t>STRAWBERRY DREAM CHILDS UMBRELLA</t>
  </si>
  <si>
    <t>22512</t>
  </si>
  <si>
    <t>DOORSTOP RACING CAR DESIGN</t>
  </si>
  <si>
    <t>22052</t>
  </si>
  <si>
    <t>VINTAGE CARAVAN GIFT WRAP</t>
  </si>
  <si>
    <t>84859A</t>
  </si>
  <si>
    <t>SILVER DISCO HANDBAG</t>
  </si>
  <si>
    <t>23141</t>
  </si>
  <si>
    <t>TRIPLE WIRE HOOK PINK HEART</t>
  </si>
  <si>
    <t xml:space="preserve">JUMBO BAG VINTAGE DOILEY </t>
  </si>
  <si>
    <t>22889</t>
  </si>
  <si>
    <t xml:space="preserve">NUMBER TILE VINTAGE FONT No </t>
  </si>
  <si>
    <t>20755</t>
  </si>
  <si>
    <t>BLUE PAISLEY POCKET BOOK</t>
  </si>
  <si>
    <t>21815</t>
  </si>
  <si>
    <t xml:space="preserve">STAR  T-LIGHT HOLDER </t>
  </si>
  <si>
    <t>20734</t>
  </si>
  <si>
    <t xml:space="preserve">SILVER MINI TAPE MEASURE </t>
  </si>
  <si>
    <t>85214</t>
  </si>
  <si>
    <t>TUB 24 PINK FLOWER PEGS</t>
  </si>
  <si>
    <t>23474</t>
  </si>
  <si>
    <t>WOODLAND SMALL BLUE FELT HEART</t>
  </si>
  <si>
    <t>85019C</t>
  </si>
  <si>
    <t>CURIOUS  IMAGES NOTEBOOK SET</t>
  </si>
  <si>
    <t>21275</t>
  </si>
  <si>
    <t xml:space="preserve">ZINC TOP  2 DOOR WOODEN SHELF </t>
  </si>
  <si>
    <t>35001W</t>
  </si>
  <si>
    <t>HAND OPEN SHAPE DECO.WHITE</t>
  </si>
  <si>
    <t>20771</t>
  </si>
  <si>
    <t>CHRYSANTHEMUM  JOURNAL</t>
  </si>
  <si>
    <t>21785</t>
  </si>
  <si>
    <t xml:space="preserve">RAIN PONCHO </t>
  </si>
  <si>
    <t>85186C</t>
  </si>
  <si>
    <t>BUNNY EGG GARLAND</t>
  </si>
  <si>
    <t>21644</t>
  </si>
  <si>
    <t>ASSORTED TUTTI FRUTTI HEART BOX</t>
  </si>
  <si>
    <t>79030D</t>
  </si>
  <si>
    <t>TUMBLER BAROQUE</t>
  </si>
  <si>
    <t>DOORKNOB CRACKED GLAZE IVORY</t>
  </si>
  <si>
    <t>21332</t>
  </si>
  <si>
    <t>MOROCCAN BEATEN METAL MIRROR</t>
  </si>
  <si>
    <t>17013D</t>
  </si>
  <si>
    <t>ORIGAMI ROSE INCENSE IN TUBE</t>
  </si>
  <si>
    <t>17107D</t>
  </si>
  <si>
    <t>FLOWER FAIRY,5 SUMMER B'DRAW LINERS</t>
  </si>
  <si>
    <t>21445</t>
  </si>
  <si>
    <t>12 PINK ROSE PEG PLACE SETTINGS</t>
  </si>
  <si>
    <t>85230E</t>
  </si>
  <si>
    <t>STRAWBRY SCENTED VOTIVE CANDLE</t>
  </si>
  <si>
    <t>21265</t>
  </si>
  <si>
    <t>PINK GOOSE FEATHER TREE 60CM</t>
  </si>
  <si>
    <t>84795b</t>
  </si>
  <si>
    <t>21279</t>
  </si>
  <si>
    <t>VINTAGE KITCHEN PRINT FRUITS</t>
  </si>
  <si>
    <t>20699</t>
  </si>
  <si>
    <t>MOUSEY LONG LEGS SOFT TOY</t>
  </si>
  <si>
    <t>GARLAND, VINTAGE BELLS</t>
  </si>
  <si>
    <t>85039C</t>
  </si>
  <si>
    <t>S/4 BLACK MINI ROSE CANDLE IN BOWL</t>
  </si>
  <si>
    <t>90160A</t>
  </si>
  <si>
    <t>PURPLE BOUDICCA LARGE BRACELET</t>
  </si>
  <si>
    <t>72800C</t>
  </si>
  <si>
    <t>4 PINK DINNER CANDLE SILVER FLOCK</t>
  </si>
  <si>
    <t>23476</t>
  </si>
  <si>
    <t>WOODLAND LARGE RED FELT HEART</t>
  </si>
  <si>
    <t>90160D</t>
  </si>
  <si>
    <t>PINK BOUDICCA LARGE BRACELET</t>
  </si>
  <si>
    <t>84952A</t>
  </si>
  <si>
    <t>CLEAR LOVE BIRD T-LIGHT HOLDER</t>
  </si>
  <si>
    <t>85124B</t>
  </si>
  <si>
    <t>BLUE JUICY FRUIT PHOTO FRAME</t>
  </si>
  <si>
    <t>18098c</t>
  </si>
  <si>
    <t>85124C</t>
  </si>
  <si>
    <t>GREEN JUICY FRUIT PHOTO FRAME</t>
  </si>
  <si>
    <t>GYMKHANNA TREASURE BOOK BOX</t>
  </si>
  <si>
    <t>84858C</t>
  </si>
  <si>
    <t>PINK RIVIERA HANDBAG</t>
  </si>
  <si>
    <t>47422</t>
  </si>
  <si>
    <t>ASSORTED MONKEY SUCTION CUP HOOK</t>
  </si>
  <si>
    <t>16012</t>
  </si>
  <si>
    <t>FOOD/DRINK SPONGE STICKERS</t>
  </si>
  <si>
    <t>79337</t>
  </si>
  <si>
    <t>BLUE FLOCK GLASS CANDLEHOLDER</t>
  </si>
  <si>
    <t>21324</t>
  </si>
  <si>
    <t>HANGING MEDINA LANTERN SMALL</t>
  </si>
  <si>
    <t>78124</t>
  </si>
  <si>
    <t xml:space="preserve">MAGAZINE RACK GEBRA ASSORTED </t>
  </si>
  <si>
    <t>20997</t>
  </si>
  <si>
    <t xml:space="preserve">ROSE DU SUD CUSHION COVER </t>
  </si>
  <si>
    <t>35915B</t>
  </si>
  <si>
    <t xml:space="preserve">BLUE KNITTED HEN </t>
  </si>
  <si>
    <t>85230G</t>
  </si>
  <si>
    <t>ORANGE VOTIVE CANDLE</t>
  </si>
  <si>
    <t>21458</t>
  </si>
  <si>
    <t>2 PICTURE BOOK EGGS EASTER BUNNY</t>
  </si>
  <si>
    <t>21427</t>
  </si>
  <si>
    <t>SKULLS STORAGE BOX SMALL</t>
  </si>
  <si>
    <t>84952C</t>
  </si>
  <si>
    <t>MIRROR LOVE BIRD T-LIGHT HOLDER</t>
  </si>
  <si>
    <t>21269</t>
  </si>
  <si>
    <t xml:space="preserve">ANTIQUE CREAM CUTLERY SHELF </t>
  </si>
  <si>
    <t>21379</t>
  </si>
  <si>
    <t>CAMPHOR WOOD PORTOBELLO MUSHROOM</t>
  </si>
  <si>
    <t>21547</t>
  </si>
  <si>
    <t>CERAMIC BIRDHOUSE CRESTED TIT SMALL</t>
  </si>
  <si>
    <t>48173c</t>
  </si>
  <si>
    <t>90201B</t>
  </si>
  <si>
    <t>BLACK ENAMEL FLOWER RING</t>
  </si>
  <si>
    <t>21882</t>
  </si>
  <si>
    <t>SKULLS TAPE</t>
  </si>
  <si>
    <t>35967</t>
  </si>
  <si>
    <t>FOLK ART METAL STAR T-LIGHT HOLDER</t>
  </si>
  <si>
    <t>90143</t>
  </si>
  <si>
    <t>SILVER BRACELET W PASTEL FLOWER</t>
  </si>
  <si>
    <t>23149</t>
  </si>
  <si>
    <t>ANTIQUE IVORY WIRE BOWL SMALL</t>
  </si>
  <si>
    <t>22164</t>
  </si>
  <si>
    <t>STRING OF STARS CARD HOLDER</t>
  </si>
  <si>
    <t>85071D</t>
  </si>
  <si>
    <t>CHARLIE+LOLA MY ROOM DOOR SIGN</t>
  </si>
  <si>
    <t>PACK 3 BOXES CHRISTMAS PANETTONE</t>
  </si>
  <si>
    <t>20659</t>
  </si>
  <si>
    <t>ECONOMY LUGGAGE TAG</t>
  </si>
  <si>
    <t>21647</t>
  </si>
  <si>
    <t>ASSORTED TUTTI FRUTTI LARGE PURSE</t>
  </si>
  <si>
    <t>22954</t>
  </si>
  <si>
    <t>HEN PARTY CORDON BARRIER TAPE</t>
  </si>
  <si>
    <t>22410</t>
  </si>
  <si>
    <t>MONEY BOX HOUSEKEEPING DESIGN</t>
  </si>
  <si>
    <t>CLASSIC SUGAR DISPENSER</t>
  </si>
  <si>
    <t>84678</t>
  </si>
  <si>
    <t>CLASSICAL ROSE SMALL VASE</t>
  </si>
  <si>
    <t>22869</t>
  </si>
  <si>
    <t>NUMBER TILE COTTAGE GARDEN 1</t>
  </si>
  <si>
    <t>90175A</t>
  </si>
  <si>
    <t>WHITE GLASS CHUNKY CHARM BRACELET</t>
  </si>
  <si>
    <t>22391</t>
  </si>
  <si>
    <t>PAPERWEIGHT HOME SWEET HOME</t>
  </si>
  <si>
    <t>21676</t>
  </si>
  <si>
    <t>FLOWERS  STICKERS</t>
  </si>
  <si>
    <t>21190</t>
  </si>
  <si>
    <t>PINK HEARTS PAPER GARLAND</t>
  </si>
  <si>
    <t>20819</t>
  </si>
  <si>
    <t>SILVER TEDDY BEAR</t>
  </si>
  <si>
    <t>84422</t>
  </si>
  <si>
    <t>PINK/BLUE DISC/MIRROR STRING</t>
  </si>
  <si>
    <t>20616</t>
  </si>
  <si>
    <t>CHERRY BLOSSOM PASSPORT COVER</t>
  </si>
  <si>
    <t>85095</t>
  </si>
  <si>
    <t>THREE CANVAS LUGGAGE TAGS</t>
  </si>
  <si>
    <t>85094</t>
  </si>
  <si>
    <t>CANDY SPOT EGG WARMER RABBIT</t>
  </si>
  <si>
    <t>22870</t>
  </si>
  <si>
    <t>NUMBER TILE COTTAGE GARDEN 2</t>
  </si>
  <si>
    <t>23475</t>
  </si>
  <si>
    <t>WOODLAND SMALL PINK FELT HEART</t>
  </si>
  <si>
    <t>84592</t>
  </si>
  <si>
    <t>CROCHET ROSE PURSE WITH SUEDE BACK</t>
  </si>
  <si>
    <t>47469</t>
  </si>
  <si>
    <t xml:space="preserve">ASSORTED SHAPES PHOTO CLIP SILVER </t>
  </si>
  <si>
    <t>23143</t>
  </si>
  <si>
    <t>ZINC WIRE KITCHEN ORGANISER</t>
  </si>
  <si>
    <t>21028</t>
  </si>
  <si>
    <t>NINJA RABBIT BLACK</t>
  </si>
  <si>
    <t xml:space="preserve">RUSTIC STRAWBERRY JAMPOT LARGE </t>
  </si>
  <si>
    <t>DOORKNOB CRACKED GLAZE BLUE</t>
  </si>
  <si>
    <t>72131</t>
  </si>
  <si>
    <t>COLUMBIAN CANDLE RECTANGLE</t>
  </si>
  <si>
    <t>22137</t>
  </si>
  <si>
    <t>BATHROOM SET LOVE HEART DESIGN</t>
  </si>
  <si>
    <t>23580</t>
  </si>
  <si>
    <t xml:space="preserve">SNACK TRAY HAPPY FOREST  </t>
  </si>
  <si>
    <t>21360</t>
  </si>
  <si>
    <t>JOY LARGE WOOD LETTERS</t>
  </si>
  <si>
    <t>85023B</t>
  </si>
  <si>
    <t>20775</t>
  </si>
  <si>
    <t xml:space="preserve">DAISY NOTEBOOK </t>
  </si>
  <si>
    <t>47351B</t>
  </si>
  <si>
    <t>BLUE  VOILE LAMPSHADE</t>
  </si>
  <si>
    <t>16216</t>
  </si>
  <si>
    <t>LETTER SHAPE PENCIL SHARPENER</t>
  </si>
  <si>
    <t>23036</t>
  </si>
  <si>
    <t xml:space="preserve">T-LIGHT HOLDER SILVER PETIT FOUR </t>
  </si>
  <si>
    <t>21025</t>
  </si>
  <si>
    <t>SPACE FROG</t>
  </si>
  <si>
    <t xml:space="preserve">GLITTER CHRISTMAS HEART </t>
  </si>
  <si>
    <t>90058B</t>
  </si>
  <si>
    <t xml:space="preserve">CRYSTAL STUD EARRINGS ASSORTED COL </t>
  </si>
  <si>
    <t>84857C</t>
  </si>
  <si>
    <t>PINK MONTE CARLO HANDBAG</t>
  </si>
  <si>
    <t>85099f</t>
  </si>
  <si>
    <t>23447</t>
  </si>
  <si>
    <t>PINK BUNNY EASTER EGG BASKET</t>
  </si>
  <si>
    <t>84712B</t>
  </si>
  <si>
    <t>PINK JEWELLED PHOTO FRAME</t>
  </si>
  <si>
    <t>21161</t>
  </si>
  <si>
    <t xml:space="preserve">KEEP OUT BOYS DOOR HANGER </t>
  </si>
  <si>
    <t>20696</t>
  </si>
  <si>
    <t>FLORAL SOFT CAR TOY</t>
  </si>
  <si>
    <t>22394</t>
  </si>
  <si>
    <t xml:space="preserve">PAPERWEIGHT KINGS CHOICE </t>
  </si>
  <si>
    <t>21973</t>
  </si>
  <si>
    <t>SET OF 36 MUSHROOM PAPER DOILIES</t>
  </si>
  <si>
    <t>23446</t>
  </si>
  <si>
    <t>BLUE BUNNY EASTER EGG BASKET</t>
  </si>
  <si>
    <t>90206C</t>
  </si>
  <si>
    <t>CRYSTAL DIAMANTE STAR BROOCH</t>
  </si>
  <si>
    <t>85040B</t>
  </si>
  <si>
    <t>SET/4 BLUE FLOWER CANDLES IN BOWL</t>
  </si>
  <si>
    <t>72800D</t>
  </si>
  <si>
    <t>4 BLUE DINNER CANDLES SILVER FLOCK</t>
  </si>
  <si>
    <t>85200</t>
  </si>
  <si>
    <t>BUNNY EGG BOX</t>
  </si>
  <si>
    <t>90010E</t>
  </si>
  <si>
    <t>AMBER GLASS/SILVER BRACELET</t>
  </si>
  <si>
    <t>21157</t>
  </si>
  <si>
    <t>RED RETROSPOT WASHBAG</t>
  </si>
  <si>
    <t>23003</t>
  </si>
  <si>
    <t xml:space="preserve">TRAVEL CARD WALLET VINTAGE ROSE </t>
  </si>
  <si>
    <t>90201D</t>
  </si>
  <si>
    <t>GREEN ENAMEL FLOWER RING</t>
  </si>
  <si>
    <t>22031</t>
  </si>
  <si>
    <t>BOTANICAL LAVENDER BIRTHDAY CARD</t>
  </si>
  <si>
    <t>85014a</t>
  </si>
  <si>
    <t>HAND WARMER RED POLKA DOT</t>
  </si>
  <si>
    <t>90158</t>
  </si>
  <si>
    <t>ST TROPEZ NECKLACE</t>
  </si>
  <si>
    <t>21657</t>
  </si>
  <si>
    <t xml:space="preserve">MILK BOTTLE WITH GLASS STOPPER </t>
  </si>
  <si>
    <t>84218</t>
  </si>
  <si>
    <t>BOX/12 CHICK &amp; EGG IN BASKET</t>
  </si>
  <si>
    <t>21364</t>
  </si>
  <si>
    <t>PEACE SMALL WOOD LETTERS</t>
  </si>
  <si>
    <t>21456</t>
  </si>
  <si>
    <t>2 PICTURE BOOK EGGS EASTER CHICKS</t>
  </si>
  <si>
    <t>84711A</t>
  </si>
  <si>
    <t>SILVER OVAL SHAPE TRINKET BOX</t>
  </si>
  <si>
    <t>20781</t>
  </si>
  <si>
    <t>GOLD EAR MUFF HEADPHONES</t>
  </si>
  <si>
    <t>84876D</t>
  </si>
  <si>
    <t>BLUE HEART COMPACT MIRROR</t>
  </si>
  <si>
    <t>22395</t>
  </si>
  <si>
    <t>PAPERWEIGHT VINTAGE PAISLEY</t>
  </si>
  <si>
    <t>35914</t>
  </si>
  <si>
    <t>PINK CHICK EGG WARMER + EGG CUP</t>
  </si>
  <si>
    <t>20868</t>
  </si>
  <si>
    <t>SILVER FABRIC MIRROR</t>
  </si>
  <si>
    <t>75178</t>
  </si>
  <si>
    <t>ASSTD COL BUTTERFLY/CRYSTAL W/CHIME</t>
  </si>
  <si>
    <t>21378</t>
  </si>
  <si>
    <t>SMALL TALL CAMPHOR WOOD TOADSTOOL</t>
  </si>
  <si>
    <t>21316</t>
  </si>
  <si>
    <t>SMALL CHUNKY GLASS ROMAN  BOWL</t>
  </si>
  <si>
    <t>20847</t>
  </si>
  <si>
    <t>ZINC HEART LATTICE CHARGER LARGE</t>
  </si>
  <si>
    <t>20769</t>
  </si>
  <si>
    <t xml:space="preserve">DAISY JOURNAL </t>
  </si>
  <si>
    <t>21132</t>
  </si>
  <si>
    <t xml:space="preserve">SILVER STANDING GNOME   </t>
  </si>
  <si>
    <t>84559B</t>
  </si>
  <si>
    <t>3D SHEET OF CAT STICKERS</t>
  </si>
  <si>
    <t>SMALL POP BOX,FUNKY MONKEY</t>
  </si>
  <si>
    <t>SET 8 CANDLES VINTAGE DOILEY</t>
  </si>
  <si>
    <t>84051</t>
  </si>
  <si>
    <t>ASS COLOUR GLOWING TIARAS</t>
  </si>
  <si>
    <t>21377</t>
  </si>
  <si>
    <t>SMALL CAMPHOR WOOD FIELD  MUSHROOM</t>
  </si>
  <si>
    <t>90120C</t>
  </si>
  <si>
    <t>GREEN MURANO TWIST BRACELET</t>
  </si>
  <si>
    <t>21520</t>
  </si>
  <si>
    <t xml:space="preserve">BOOZE &amp; WOMEN GREETING CARD </t>
  </si>
  <si>
    <t>84510C</t>
  </si>
  <si>
    <t>SET OF 4 POLKADOT COASTERS</t>
  </si>
  <si>
    <t>22882</t>
  </si>
  <si>
    <t>NUMBER TILE VINTAGE FONT 3</t>
  </si>
  <si>
    <t>20622</t>
  </si>
  <si>
    <t xml:space="preserve">VIPPASSPORT COVER </t>
  </si>
  <si>
    <t>90200C</t>
  </si>
  <si>
    <t>BLUE SWEETHEART BRACELET</t>
  </si>
  <si>
    <t>72127</t>
  </si>
  <si>
    <t xml:space="preserve">COLUMBIAN CANDLE ROUND </t>
  </si>
  <si>
    <t>84877B</t>
  </si>
  <si>
    <t>GREEN ROUND COMPACT MIRROR</t>
  </si>
  <si>
    <t>84707B</t>
  </si>
  <si>
    <t>PINK JEWELLED MIRROR TRINKET TRAY</t>
  </si>
  <si>
    <t>84926A</t>
  </si>
  <si>
    <t>WAKE UP COCKEREL TILE COASTER</t>
  </si>
  <si>
    <t>90175D</t>
  </si>
  <si>
    <t>TIGRIS EYE CHUNKY CHARM BRACELET</t>
  </si>
  <si>
    <t>PEG BAG APPLE DESIGN</t>
  </si>
  <si>
    <t>90160B</t>
  </si>
  <si>
    <t>RED BOUDICCA LARGE BRACELET</t>
  </si>
  <si>
    <t>21750</t>
  </si>
  <si>
    <t>LARGE SKULL WINDMILL</t>
  </si>
  <si>
    <t>90192</t>
  </si>
  <si>
    <t>JADE DROP EARRINGS W FILIGREE</t>
  </si>
  <si>
    <t>21651</t>
  </si>
  <si>
    <t>HANGING GLASS ETCHED TEALIGHT</t>
  </si>
  <si>
    <t>90119</t>
  </si>
  <si>
    <t>METALIC LEAVES BAG CHARMS</t>
  </si>
  <si>
    <t>79051A</t>
  </si>
  <si>
    <t>SMOKEY GREY COLOUR D.O.F. GLASS</t>
  </si>
  <si>
    <t>16048</t>
  </si>
  <si>
    <t xml:space="preserve">TEATIME ROUND PENCIL SHARPENER </t>
  </si>
  <si>
    <t>20763</t>
  </si>
  <si>
    <t xml:space="preserve">DAISY SKETCHBOOK </t>
  </si>
  <si>
    <t>21726</t>
  </si>
  <si>
    <t>MULTI HEARTS  STICKERS</t>
  </si>
  <si>
    <t>22878</t>
  </si>
  <si>
    <t>NUMBER TILE COTTAGE GARDEN No</t>
  </si>
  <si>
    <t>84875B</t>
  </si>
  <si>
    <t>GREEN SQUARE COMPACT MIRROR</t>
  </si>
  <si>
    <t>85230A</t>
  </si>
  <si>
    <t>OPIUM SCENTED VOTIVE CANDLE</t>
  </si>
  <si>
    <t>21911</t>
  </si>
  <si>
    <t xml:space="preserve">GARDEN METAL SIGN </t>
  </si>
  <si>
    <t>84688</t>
  </si>
  <si>
    <t>BEACH HUT DESIGN BLACKBOARD</t>
  </si>
  <si>
    <t>47578A</t>
  </si>
  <si>
    <t>ENGLISH ROSE SMALL SCENTED FLOWER</t>
  </si>
  <si>
    <t>90201A</t>
  </si>
  <si>
    <t>PURPLE ENAMEL FLOWER RING</t>
  </si>
  <si>
    <t>22541</t>
  </si>
  <si>
    <t>MINI JIGSAW LEAP FROG</t>
  </si>
  <si>
    <t>85179C</t>
  </si>
  <si>
    <t>PINK BITTY LIGHT CHAIN</t>
  </si>
  <si>
    <t>22880</t>
  </si>
  <si>
    <t>NUMBER TILE VINTAGE FONT 1</t>
  </si>
  <si>
    <t>84968e</t>
  </si>
  <si>
    <t>JUNGLE POPSICLES ICE LOLLY HOLDERS</t>
  </si>
  <si>
    <t>47594A</t>
  </si>
  <si>
    <t>CAROUSEL DESIGN WASHBAG</t>
  </si>
  <si>
    <t>22038</t>
  </si>
  <si>
    <t xml:space="preserve">BOTANICAL LAVENDER GIFT WRAP </t>
  </si>
  <si>
    <t>21367</t>
  </si>
  <si>
    <t>MIRRORED WALL ART GENTS</t>
  </si>
  <si>
    <t>22289</t>
  </si>
  <si>
    <t>HANGING METAL CHICKEN DECORATION</t>
  </si>
  <si>
    <t>21376</t>
  </si>
  <si>
    <t xml:space="preserve">LARGE  TALL CAMPHOR WOOD TOADSTOOL </t>
  </si>
  <si>
    <t>22881</t>
  </si>
  <si>
    <t>NUMBER TILE VINTAGE FONT 2</t>
  </si>
  <si>
    <t>90019A</t>
  </si>
  <si>
    <t>SILVER M.O.P ORBIT BRACELET</t>
  </si>
  <si>
    <t>22263</t>
  </si>
  <si>
    <t xml:space="preserve">FELT EGG COSY LADYBIRD </t>
  </si>
  <si>
    <t>22044</t>
  </si>
  <si>
    <t>CHRISTMAS CARD STACK OF PRESENTS</t>
  </si>
  <si>
    <t>90013A</t>
  </si>
  <si>
    <t>MIDNIGHT BLUE VINTAGE EARRINGS</t>
  </si>
  <si>
    <t>84926F</t>
  </si>
  <si>
    <t>PSYCHEDELIC TILE COASTER</t>
  </si>
  <si>
    <t>20617</t>
  </si>
  <si>
    <t xml:space="preserve">FIRST CLASS PASSPORT COVER </t>
  </si>
  <si>
    <t>23697</t>
  </si>
  <si>
    <t>A PRETTY THANK YOU CARD</t>
  </si>
  <si>
    <t>22884</t>
  </si>
  <si>
    <t>NUMBER TILE VINTAGE FONT 5</t>
  </si>
  <si>
    <t>20654</t>
  </si>
  <si>
    <t xml:space="preserve">FIRST CLASS LUGGAGE TAG </t>
  </si>
  <si>
    <t>90018A</t>
  </si>
  <si>
    <t>SILVER M.O.P ORBIT DROP EARRINGS</t>
  </si>
  <si>
    <t>90082A</t>
  </si>
  <si>
    <t>DIAMANTE BOW BROOCH GREEN COLOUR</t>
  </si>
  <si>
    <t>21306</t>
  </si>
  <si>
    <t>SET/4 DAISY MIRROR MAGNETS</t>
  </si>
  <si>
    <t>84910A</t>
  </si>
  <si>
    <t xml:space="preserve">PINK PAISLEY CUSHION COVER </t>
  </si>
  <si>
    <t>22883</t>
  </si>
  <si>
    <t>NUMBER TILE VINTAGE FONT 4</t>
  </si>
  <si>
    <t>47471</t>
  </si>
  <si>
    <t>RAINBOW PEGS PHOTO CLIP STRING</t>
  </si>
  <si>
    <t>85045</t>
  </si>
  <si>
    <t>GREEN CHRISTMAS TREE STRING 20LIGHT</t>
  </si>
  <si>
    <t>90030B</t>
  </si>
  <si>
    <t>RED KUKUI COCONUT SEED NECKLACE</t>
  </si>
  <si>
    <t>90184C</t>
  </si>
  <si>
    <t>BLACK CHUNKY BEAD BRACELET W STRAP</t>
  </si>
  <si>
    <t>21027</t>
  </si>
  <si>
    <t>NINJA RABBIT PINK</t>
  </si>
  <si>
    <t>21418</t>
  </si>
  <si>
    <t>STARFISH SOAP DISH</t>
  </si>
  <si>
    <t>21196</t>
  </si>
  <si>
    <t>ROUND WHITE CONFETTI IN TUBE</t>
  </si>
  <si>
    <t xml:space="preserve">DONKEY TAIL GAME </t>
  </si>
  <si>
    <t>21807</t>
  </si>
  <si>
    <t>WHITE CHRISTMAS STAR DECORATION</t>
  </si>
  <si>
    <t>21311</t>
  </si>
  <si>
    <t xml:space="preserve">SET/4 BIRD MIRROR MAGNETS </t>
  </si>
  <si>
    <t>85020</t>
  </si>
  <si>
    <t>ROUND PINK HEART MIRROR</t>
  </si>
  <si>
    <t>84804B</t>
  </si>
  <si>
    <t>BLUE DELPHINIUM ARTIFICIAL FLOWER</t>
  </si>
  <si>
    <t>20694</t>
  </si>
  <si>
    <t>FLORAL PINK MONSTER</t>
  </si>
  <si>
    <t>84711B</t>
  </si>
  <si>
    <t>PINK OVAL SHAPE TRINKET BOX</t>
  </si>
  <si>
    <t>84535A</t>
  </si>
  <si>
    <t>ENGLISH ROSE NOTEBOOK A6 SIZE</t>
  </si>
  <si>
    <t>21826</t>
  </si>
  <si>
    <t>EIGHT PIECE DINOSAUR SET</t>
  </si>
  <si>
    <t>21402</t>
  </si>
  <si>
    <t>RED  EGG  SPOON</t>
  </si>
  <si>
    <t>84429A</t>
  </si>
  <si>
    <t xml:space="preserve">MEDIUM PINK BUDDHA HEAD </t>
  </si>
  <si>
    <t>90201C</t>
  </si>
  <si>
    <t>RED ENAMEL FLOWER RING</t>
  </si>
  <si>
    <t>78033</t>
  </si>
  <si>
    <t>FLAG OF ST GEORGE CHAIR</t>
  </si>
  <si>
    <t>GIFT BAG LARGE VINTAGE CHRISTMAS</t>
  </si>
  <si>
    <t>72801d</t>
  </si>
  <si>
    <t>4 SKY BLUE DINNER CANDLES</t>
  </si>
  <si>
    <t>23416</t>
  </si>
  <si>
    <t>CHAMBRE HOOK</t>
  </si>
  <si>
    <t>90016B</t>
  </si>
  <si>
    <t>GOLD/M.O.P PENDANT ORBIT NECKLACE</t>
  </si>
  <si>
    <t>85055</t>
  </si>
  <si>
    <t>FRENCH ENAMEL UTENSIL HOLDER</t>
  </si>
  <si>
    <t>84509E</t>
  </si>
  <si>
    <t xml:space="preserve">SET OF 4 CAROUSEL PLACEMATS </t>
  </si>
  <si>
    <t>84927F</t>
  </si>
  <si>
    <t>PSYCHEDELIC TILE HOOK</t>
  </si>
  <si>
    <t>TUMBLER, NEW ENGLAND</t>
  </si>
  <si>
    <t>71143</t>
  </si>
  <si>
    <t>SILVER BOOK MARK WITH BEADS</t>
  </si>
  <si>
    <t>22032</t>
  </si>
  <si>
    <t>BOTANICAL LILY GREETING CARD</t>
  </si>
  <si>
    <t>84907</t>
  </si>
  <si>
    <t>PINK YELLOW PATCH CUSHION COVER</t>
  </si>
  <si>
    <t>85215</t>
  </si>
  <si>
    <t>ASSORTED CHEESE FRIDGE MAGNETS</t>
  </si>
  <si>
    <t>72801C</t>
  </si>
  <si>
    <t>4 ROSE PINK DINNER CANDLES</t>
  </si>
  <si>
    <t>84804A</t>
  </si>
  <si>
    <t>CREAM DELPHINIUM ARTIFICIAL FLOWER</t>
  </si>
  <si>
    <t>84859C</t>
  </si>
  <si>
    <t>PINK DISCO HANDBAG</t>
  </si>
  <si>
    <t>22157</t>
  </si>
  <si>
    <t>ANGEL DECORATION WITH LACE PADDED</t>
  </si>
  <si>
    <t>21721</t>
  </si>
  <si>
    <t>CANDY SHOP  STICKER SHEET</t>
  </si>
  <si>
    <t>79190A</t>
  </si>
  <si>
    <t>RETRO PLASTIC 70'S TRAY</t>
  </si>
  <si>
    <t>40003</t>
  </si>
  <si>
    <t>16258A</t>
  </si>
  <si>
    <t>SWIRLY CIRCULAR RUBBERS IN BAG</t>
  </si>
  <si>
    <t>21847</t>
  </si>
  <si>
    <t>GREEN  DIAMANTE PEN IN GIFT BOX</t>
  </si>
  <si>
    <t>85131C</t>
  </si>
  <si>
    <t>BEADED CRYSTAL HEART BLUE ON STICK</t>
  </si>
  <si>
    <t>CREAM HANGING HEART T-LIGHT HOLDER</t>
  </si>
  <si>
    <t>DOLLCRAFT GIRL AMELIE</t>
  </si>
  <si>
    <t>22872</t>
  </si>
  <si>
    <t>NUMBER TILE COTTAGE GARDEN 4</t>
  </si>
  <si>
    <t>84685</t>
  </si>
  <si>
    <t>BEACH HUT KEY CABINET</t>
  </si>
  <si>
    <t>21319</t>
  </si>
  <si>
    <t xml:space="preserve">GLASS CHALICE GREEN  SMALL </t>
  </si>
  <si>
    <t>84507C</t>
  </si>
  <si>
    <t>BLUE CIRCLES DESIGN MONKEY DOLL</t>
  </si>
  <si>
    <t>gift_0001_30</t>
  </si>
  <si>
    <t>Dotcomgiftshop Gift Voucher £30.00</t>
  </si>
  <si>
    <t>85211</t>
  </si>
  <si>
    <t>S/4 GROOVY CAT MAGNETS</t>
  </si>
  <si>
    <t>22764</t>
  </si>
  <si>
    <t>RUSTIC WOODEN CABINET, GLASS DOORS</t>
  </si>
  <si>
    <t>90197B</t>
  </si>
  <si>
    <t>BLACK GLASS BRACELET W HEART CHARMS</t>
  </si>
  <si>
    <t>84691</t>
  </si>
  <si>
    <t>PACK 20 DOLLY PEGS</t>
  </si>
  <si>
    <t>84800M</t>
  </si>
  <si>
    <t>MEDIUM WHITE/PINK ROSE ART FLOWER</t>
  </si>
  <si>
    <t>35810B</t>
  </si>
  <si>
    <t>ENAMEL BLUE RIM COFFEE CONTAINER</t>
  </si>
  <si>
    <t>84905</t>
  </si>
  <si>
    <t xml:space="preserve">PINK BUTTERFLY CUSHION COVER </t>
  </si>
  <si>
    <t>22042</t>
  </si>
  <si>
    <t>CHRISTMAS CARD SINGING ANGEL</t>
  </si>
  <si>
    <t>44235</t>
  </si>
  <si>
    <t xml:space="preserve">ASS COL CIRCLE MOBILE </t>
  </si>
  <si>
    <t>16168M</t>
  </si>
  <si>
    <t>FUNKY MONKEY GIFT BAG MEDIUM</t>
  </si>
  <si>
    <t>22885</t>
  </si>
  <si>
    <t xml:space="preserve">NUMBER TILE VINTAGE FONT 6 </t>
  </si>
  <si>
    <t>47481</t>
  </si>
  <si>
    <t>50CM METAL STRING WITH  7 CLIPS</t>
  </si>
  <si>
    <t>21030</t>
  </si>
  <si>
    <t>SPACE CADET RED</t>
  </si>
  <si>
    <t>82011C</t>
  </si>
  <si>
    <t>BATHROOM SCALES FOOTPRINTS IN SAND</t>
  </si>
  <si>
    <t>84963A</t>
  </si>
  <si>
    <t>PINK PAINTED KASHMIRI CHAIR</t>
  </si>
  <si>
    <t>62086A</t>
  </si>
  <si>
    <t>PINK RETRO BIG FLOWER BAG</t>
  </si>
  <si>
    <t>90082B</t>
  </si>
  <si>
    <t>DIAMANTE BOW BROOCH RED COLOUR</t>
  </si>
  <si>
    <t>85146</t>
  </si>
  <si>
    <t>JARDIN ETCHED GLASS SMALL BELL JAR</t>
  </si>
  <si>
    <t>21763</t>
  </si>
  <si>
    <t>VINTAGE WOODEN BAR STOOL</t>
  </si>
  <si>
    <t>85129B</t>
  </si>
  <si>
    <t>BEADED CRYSTAL HEART GREEN SMALL</t>
  </si>
  <si>
    <t>21333</t>
  </si>
  <si>
    <t>CLASSIC WHITE FRAME</t>
  </si>
  <si>
    <t>90145</t>
  </si>
  <si>
    <t>SILVER HOOP EARRINGS WITH FLOWER</t>
  </si>
  <si>
    <t>84661A</t>
  </si>
  <si>
    <t>WHITE SQUARE TABLE CLOCK</t>
  </si>
  <si>
    <t>85145</t>
  </si>
  <si>
    <t>JARDIN ETCHED GLASS LARGE BELL JAR</t>
  </si>
  <si>
    <t>gift_0001_50</t>
  </si>
  <si>
    <t>Dotcomgiftshop Gift Voucher £50.00</t>
  </si>
  <si>
    <t>90010A</t>
  </si>
  <si>
    <t>MIDNIGHT BLUE GLASS/SILVER BRACELET</t>
  </si>
  <si>
    <t>gift_0001_20</t>
  </si>
  <si>
    <t>Dotcomgiftshop Gift Voucher £20.00</t>
  </si>
  <si>
    <t>21457</t>
  </si>
  <si>
    <t>2 PICTURE BOOK EGGS EASTER DUCKS</t>
  </si>
  <si>
    <t>21280</t>
  </si>
  <si>
    <t>VINTAGE KITCHEN PRINT VEGETABLES</t>
  </si>
  <si>
    <t>21331</t>
  </si>
  <si>
    <t>MOROCCAN BEATEN METAL DISH LARGE</t>
  </si>
  <si>
    <t>72225C</t>
  </si>
  <si>
    <t>LAVENDER SCENT CAKE CANDLE</t>
  </si>
  <si>
    <t>23694</t>
  </si>
  <si>
    <t>PAISLEY PARK CARD</t>
  </si>
  <si>
    <t>BANK CHARGES</t>
  </si>
  <si>
    <t>Bank Charges</t>
  </si>
  <si>
    <t>22538</t>
  </si>
  <si>
    <t>MINI JIGSAW GO TO THE FAIR</t>
  </si>
  <si>
    <t>21698</t>
  </si>
  <si>
    <t>MOCK LOBSTER FRIDGE MAGNET</t>
  </si>
  <si>
    <t>90120B</t>
  </si>
  <si>
    <t>BLUE MURANO TWIST BRACELET</t>
  </si>
  <si>
    <t>90191</t>
  </si>
  <si>
    <t>SILVER LARIAT 40CM</t>
  </si>
  <si>
    <t>90209A</t>
  </si>
  <si>
    <t>PURPLE ENAMEL+GLASS HAIR COMB</t>
  </si>
  <si>
    <t>22408</t>
  </si>
  <si>
    <t>MONEY BOX CONFECTIONERY DESIGN</t>
  </si>
  <si>
    <t>22871</t>
  </si>
  <si>
    <t xml:space="preserve">NUMBER TILE COTTAGE GARDEN 3 </t>
  </si>
  <si>
    <t>16207A</t>
  </si>
  <si>
    <t xml:space="preserve">PINK STRAWBERRY HANDBAG </t>
  </si>
  <si>
    <t>90014A</t>
  </si>
  <si>
    <t>SILVER/MOP ORBIT NECKLACE</t>
  </si>
  <si>
    <t>21100</t>
  </si>
  <si>
    <t>CHARLIE AND LOLA CHARLOTTE BAG</t>
  </si>
  <si>
    <t>84683</t>
  </si>
  <si>
    <t>CLASSICAL ROSE CANDLESTAND</t>
  </si>
  <si>
    <t>85114a</t>
  </si>
  <si>
    <t>21369</t>
  </si>
  <si>
    <t>MIRRORED WALL ART SPLODGES</t>
  </si>
  <si>
    <t>85027L</t>
  </si>
  <si>
    <t xml:space="preserve">FRENCH CHATEAU LARGE PLATTER </t>
  </si>
  <si>
    <t>84799</t>
  </si>
  <si>
    <t>SPRIG LAVENDER ARTIFICIAL FLOWER</t>
  </si>
  <si>
    <t>21344</t>
  </si>
  <si>
    <t>MOROCCAN BEATEN METAL DISH</t>
  </si>
  <si>
    <t>23305</t>
  </si>
  <si>
    <t>SET 4 PICNIC CUTLERY BLUEBERRY</t>
  </si>
  <si>
    <t>84993A</t>
  </si>
  <si>
    <t>75 GREEN PETIT FOUR CASES</t>
  </si>
  <si>
    <t>WRAP RED DOILEY</t>
  </si>
  <si>
    <t>84247G</t>
  </si>
  <si>
    <t>DECOUPAGE,GREETING CARD,</t>
  </si>
  <si>
    <t>90013C</t>
  </si>
  <si>
    <t xml:space="preserve">GREEN VINTAGE EARRINGS </t>
  </si>
  <si>
    <t>17038</t>
  </si>
  <si>
    <t>PORCELAIN BUDAH INCENSE HOLDER</t>
  </si>
  <si>
    <t>23417</t>
  </si>
  <si>
    <t>BATHROOM HOOK</t>
  </si>
  <si>
    <t>90134</t>
  </si>
  <si>
    <t>OLD ROSE COMBO BEAD NECKLACE</t>
  </si>
  <si>
    <t>84508C</t>
  </si>
  <si>
    <t>BLUE CIRCLES DESIGN TEDDY</t>
  </si>
  <si>
    <t>16156L</t>
  </si>
  <si>
    <t>WRAP CAROUSEL</t>
  </si>
  <si>
    <t>84882</t>
  </si>
  <si>
    <t>GREEN WIRE STANDING CANDLE HOLDER</t>
  </si>
  <si>
    <t>35649</t>
  </si>
  <si>
    <t xml:space="preserve">VINTAGE BEAD COSMETIC BAG </t>
  </si>
  <si>
    <t>23468</t>
  </si>
  <si>
    <t xml:space="preserve">TUSCAN VILLA BIRD TABLE </t>
  </si>
  <si>
    <t>84673B</t>
  </si>
  <si>
    <t>BLUE FLY SWAT</t>
  </si>
  <si>
    <t>44234</t>
  </si>
  <si>
    <t>ASSORTED CIRCULAR MOBILE</t>
  </si>
  <si>
    <t>21349</t>
  </si>
  <si>
    <t>IVY HEART WREATH</t>
  </si>
  <si>
    <t>22353</t>
  </si>
  <si>
    <t xml:space="preserve">LUNCH BOX WITH CUTLERY FAIRY CAKES </t>
  </si>
  <si>
    <t>RETRO LEAVES MAGNETIC NOTEPAD</t>
  </si>
  <si>
    <t>84595E</t>
  </si>
  <si>
    <t>LARGE TORTILLA DESIGN RED BOWL</t>
  </si>
  <si>
    <t>23496</t>
  </si>
  <si>
    <t xml:space="preserve">PANTRY KITCHEN THERMOMETER </t>
  </si>
  <si>
    <t>84827</t>
  </si>
  <si>
    <t>ASS DES PHONE SPONGE CRAFT STICKER</t>
  </si>
  <si>
    <t>21614</t>
  </si>
  <si>
    <t>SET OF 12 ROSE BOTANICAL T-LIGHTS</t>
  </si>
  <si>
    <t>FLOWER FAIRY 5 DRAWER LINERS</t>
  </si>
  <si>
    <t>90014B</t>
  </si>
  <si>
    <t>GOLD M PEARL  ORBIT NECKLACE</t>
  </si>
  <si>
    <t>21145</t>
  </si>
  <si>
    <t>ANTIQUE GLASS PLACE SETTING</t>
  </si>
  <si>
    <t>90198B</t>
  </si>
  <si>
    <t>VINTAGE ROSE BEAD BRACELET BLACK</t>
  </si>
  <si>
    <t>HEART TRELLISTRIPLE T-LIGHT HOLDER</t>
  </si>
  <si>
    <t>84877D</t>
  </si>
  <si>
    <t>BLUE ROUND COMPACT MIRROR</t>
  </si>
  <si>
    <t>84865</t>
  </si>
  <si>
    <t>NEW BAROQUE BLACK PHOTO ALBUM</t>
  </si>
  <si>
    <t>72128</t>
  </si>
  <si>
    <t>COLUMBIAN CANDLE ROUND</t>
  </si>
  <si>
    <t>21401</t>
  </si>
  <si>
    <t>BLUE PUDDING SPOON</t>
  </si>
  <si>
    <t>22415</t>
  </si>
  <si>
    <t>WHITE TISSUE REAM</t>
  </si>
  <si>
    <t>85135A</t>
  </si>
  <si>
    <t>YELLOW DRAGONFLY HELICOPTER</t>
  </si>
  <si>
    <t>22874</t>
  </si>
  <si>
    <t>NUMBER TILE COTTAGE GARDEN 6</t>
  </si>
  <si>
    <t>DCGSSBOY</t>
  </si>
  <si>
    <t>BOYS PARTY BAG</t>
  </si>
  <si>
    <t>21738</t>
  </si>
  <si>
    <t xml:space="preserve">COSY SLIPPER SHOES SMALL  RED </t>
  </si>
  <si>
    <t>21459</t>
  </si>
  <si>
    <t>YELLOW EASTER EGG HUNT START POST</t>
  </si>
  <si>
    <t>84629</t>
  </si>
  <si>
    <t xml:space="preserve">WHITE 3 FRAME BIRDS AND TREE </t>
  </si>
  <si>
    <t>84963B</t>
  </si>
  <si>
    <t>BLUE PAINTED KASHMIRI CHAIR</t>
  </si>
  <si>
    <t>90013B</t>
  </si>
  <si>
    <t>BLACK VINTAGE EARRINGS</t>
  </si>
  <si>
    <t xml:space="preserve">KIDS CUTLERY DOLLY GIRL </t>
  </si>
  <si>
    <t xml:space="preserve">KIDS CUTLERY SPACEBOY </t>
  </si>
  <si>
    <t>46000R</t>
  </si>
  <si>
    <t>POLYESTER FILLER PAD 45x30cm</t>
  </si>
  <si>
    <t>21117</t>
  </si>
  <si>
    <t>BLOND DOLL DOORSTOP</t>
  </si>
  <si>
    <t>22875</t>
  </si>
  <si>
    <t>NUMBER TILE COTTAGE GARDEN 7</t>
  </si>
  <si>
    <t>23465</t>
  </si>
  <si>
    <t>TUSCAN VILLA BIRD FEEDER</t>
  </si>
  <si>
    <t>90185D</t>
  </si>
  <si>
    <t>CRYSTAL DIAMANTE EXPANDABLE RING</t>
  </si>
  <si>
    <t>84576</t>
  </si>
  <si>
    <t>BLUE CAT BISCUIT BARREL PINK HEART</t>
  </si>
  <si>
    <t>21486</t>
  </si>
  <si>
    <t>PINK HEART DOTS HOT WATER BOTTLE</t>
  </si>
  <si>
    <t>37479P</t>
  </si>
  <si>
    <t>CUBIC MUG FLOCK PINK ON BROWN</t>
  </si>
  <si>
    <t>82011B</t>
  </si>
  <si>
    <t>BATHROOM SCALES RUBBER DUCKS</t>
  </si>
  <si>
    <t>22868</t>
  </si>
  <si>
    <t xml:space="preserve">NUMBER TILE COTTAGE GARDEN 0 </t>
  </si>
  <si>
    <t>22886</t>
  </si>
  <si>
    <t>NUMBER TILE VINTAGE FONT 7</t>
  </si>
  <si>
    <t>84870B</t>
  </si>
  <si>
    <t xml:space="preserve">BLUE GEISHA GIRL </t>
  </si>
  <si>
    <t>84870C</t>
  </si>
  <si>
    <t xml:space="preserve">GREEN GEISHA GIRL </t>
  </si>
  <si>
    <t>SPACE BOY CHILDRENS CUP</t>
  </si>
  <si>
    <t>90116</t>
  </si>
  <si>
    <t>FRUIT SALAD BAG CHARM</t>
  </si>
  <si>
    <t>22873</t>
  </si>
  <si>
    <t>NUMBER TILE COTTAGE GARDEN 5</t>
  </si>
  <si>
    <t>84508B</t>
  </si>
  <si>
    <t>STRIPES DESIGN TEDDY</t>
  </si>
  <si>
    <t>47343A</t>
  </si>
  <si>
    <t>FUSCHIA FLOWER PURSE WITH BEADS</t>
  </si>
  <si>
    <t>85118</t>
  </si>
  <si>
    <t>HEART T-LIGHT HOLDER</t>
  </si>
  <si>
    <t>DCGSSGIRL</t>
  </si>
  <si>
    <t>GIRLS PARTY BAG</t>
  </si>
  <si>
    <t>20757</t>
  </si>
  <si>
    <t xml:space="preserve">RED DAISY POCKET BOOK </t>
  </si>
  <si>
    <t>21368</t>
  </si>
  <si>
    <t>MIRRORED WALL ART LADIES</t>
  </si>
  <si>
    <t>84192</t>
  </si>
  <si>
    <t xml:space="preserve">ASSORTED COLOUR METAL CAT </t>
  </si>
  <si>
    <t>21082</t>
  </si>
  <si>
    <t xml:space="preserve">SET/20 FRUIT SALAD PAPER NAPKINS </t>
  </si>
  <si>
    <t>20837</t>
  </si>
  <si>
    <t>22033</t>
  </si>
  <si>
    <t>BOTANICAL ROSE GREETING CARD</t>
  </si>
  <si>
    <t>20774</t>
  </si>
  <si>
    <t>GREEN FERN NOTEBOOK</t>
  </si>
  <si>
    <t>20661</t>
  </si>
  <si>
    <t xml:space="preserve">BLUE POLKADOT PURSE </t>
  </si>
  <si>
    <t>84796a</t>
  </si>
  <si>
    <t>20836</t>
  </si>
  <si>
    <t>FRENCH PAISLEY CUSHION COVER</t>
  </si>
  <si>
    <t>90164B</t>
  </si>
  <si>
    <t>WHITE  ROSEBUD PEARL BRACELET</t>
  </si>
  <si>
    <t>16054</t>
  </si>
  <si>
    <t>POPART RECT PENCIL SHARPENER ASST</t>
  </si>
  <si>
    <t>90170</t>
  </si>
  <si>
    <t>DAISY HAIR BAND</t>
  </si>
  <si>
    <t>84744</t>
  </si>
  <si>
    <t>S/6 SEW ON CROCHET FLOWERS</t>
  </si>
  <si>
    <t>22125</t>
  </si>
  <si>
    <t xml:space="preserve">UNION JACK HOT WATER BOTTLE </t>
  </si>
  <si>
    <t>SET OF 36 PANTRY PAPER DOILIES</t>
  </si>
  <si>
    <t>METAL HERB GERDEN CONTAINER</t>
  </si>
  <si>
    <t>23463</t>
  </si>
  <si>
    <t>VINTAGE ZINC WATERING CAN</t>
  </si>
  <si>
    <t>22876</t>
  </si>
  <si>
    <t>NUMBER TILE COTTAGE GARDEN 8</t>
  </si>
  <si>
    <t>75011</t>
  </si>
  <si>
    <t>BLUE DAISY MOBILE</t>
  </si>
  <si>
    <t>35922</t>
  </si>
  <si>
    <t>EASTER BUNNY WREATH</t>
  </si>
  <si>
    <t>23304</t>
  </si>
  <si>
    <t xml:space="preserve">SET 4 PICNIC CUTLERY CHERRY </t>
  </si>
  <si>
    <t>79191B</t>
  </si>
  <si>
    <t>22877</t>
  </si>
  <si>
    <t>NUMBER TILE COTTAGE GARDEN 9</t>
  </si>
  <si>
    <t>20758</t>
  </si>
  <si>
    <t>ABSTRACT CIRCLES POCKET BOOK</t>
  </si>
  <si>
    <t>90181B</t>
  </si>
  <si>
    <t>AMETHYST GLASS/SHELL/PEARL NECKLACE</t>
  </si>
  <si>
    <t>CHRISTMAS RETROSPOT HEART WOOD</t>
  </si>
  <si>
    <t>21736</t>
  </si>
  <si>
    <t>GOLD SCROLL GLASS T-LIGHT HOLDER</t>
  </si>
  <si>
    <t>21637</t>
  </si>
  <si>
    <t>ASSORTED SANSKRIT MINI NOTEBOOK</t>
  </si>
  <si>
    <t>84660c</t>
  </si>
  <si>
    <t>90073</t>
  </si>
  <si>
    <t>VINTAGE ENAMEL &amp; CRYSTAL EARRINGS</t>
  </si>
  <si>
    <t>90115</t>
  </si>
  <si>
    <t>SUMMER BUTTERFLIES BAG CHARM</t>
  </si>
  <si>
    <t>21943</t>
  </si>
  <si>
    <t xml:space="preserve">CAKES AND RABBITS DESIGN FLANNEL </t>
  </si>
  <si>
    <t>90028</t>
  </si>
  <si>
    <t>NEW BAROQUE LARGE NECKLACE BLK/WHIT</t>
  </si>
  <si>
    <t>46000U</t>
  </si>
  <si>
    <t>POLYESTER FILLER PAD 30CMx30CM</t>
  </si>
  <si>
    <t>72130</t>
  </si>
  <si>
    <t>35921</t>
  </si>
  <si>
    <t>EASTER BUNNY HANGING GARLAND</t>
  </si>
  <si>
    <t>20823</t>
  </si>
  <si>
    <t>GOLD WINE GOBLET</t>
  </si>
  <si>
    <t>90208</t>
  </si>
  <si>
    <t>PAIR OF PINK FLOWER CLUSTER SLIDE</t>
  </si>
  <si>
    <t>62096A</t>
  </si>
  <si>
    <t>PINK/YELLOW FLOWERS HANDBAG</t>
  </si>
  <si>
    <t>21518</t>
  </si>
  <si>
    <t xml:space="preserve">BANK ACCOUNT  GREETING  CARD </t>
  </si>
  <si>
    <t>90210D</t>
  </si>
  <si>
    <t>PURPLE ACRYLIC FACETED BANGLE</t>
  </si>
  <si>
    <t>GREEN METAL BOX TOP SECRET</t>
  </si>
  <si>
    <t>SMALL JEWELLERY STAND</t>
  </si>
  <si>
    <t>85039a</t>
  </si>
  <si>
    <t>90185A</t>
  </si>
  <si>
    <t>AMBER DIAMANTE EXPANDABLE RING</t>
  </si>
  <si>
    <t>90164A</t>
  </si>
  <si>
    <t>PINK ROSEBUD PEARL BRACELET</t>
  </si>
  <si>
    <t>90210C</t>
  </si>
  <si>
    <t>RED   ACRYLIC FACETED BANGLE</t>
  </si>
  <si>
    <t>84510a</t>
  </si>
  <si>
    <t>37467</t>
  </si>
  <si>
    <t>PIG MUG IN TWO COLOUR DESIGNS</t>
  </si>
  <si>
    <t>90000D</t>
  </si>
  <si>
    <t>COPPER/OLIVE GREEN FLOWER NECKLACE</t>
  </si>
  <si>
    <t>PINK HORSE SOCK PUPPET KIT</t>
  </si>
  <si>
    <t>21281</t>
  </si>
  <si>
    <t>VINTAGE KITCHEN PRINT SEAFOOD</t>
  </si>
  <si>
    <t>47590b</t>
  </si>
  <si>
    <t>72799C</t>
  </si>
  <si>
    <t>PINK PILLAR CANDLE SILVER FLOCK</t>
  </si>
  <si>
    <t>21400</t>
  </si>
  <si>
    <t>RED PUDDING SPOON</t>
  </si>
  <si>
    <t>20826</t>
  </si>
  <si>
    <t>SILVER APERITIF GLASS</t>
  </si>
  <si>
    <t>35638B</t>
  </si>
  <si>
    <t xml:space="preserve">PINK/BLUE STRING CURTAIN </t>
  </si>
  <si>
    <t>84846A</t>
  </si>
  <si>
    <t>SCENTED CANDLE IN DIGITALIS TIN</t>
  </si>
  <si>
    <t>84800S</t>
  </si>
  <si>
    <t>SMALL WHITE/PINK ROSE ART FLOWER</t>
  </si>
  <si>
    <t>90180A</t>
  </si>
  <si>
    <t>BLACK+WHITE NECKLACE W TASSEL</t>
  </si>
  <si>
    <t>85130A</t>
  </si>
  <si>
    <t>BEADED PEARL HEART WHITE LARGE</t>
  </si>
  <si>
    <t>79190D</t>
  </si>
  <si>
    <t>RETRO PLASTIC DAISY TRAY</t>
  </si>
  <si>
    <t>22887</t>
  </si>
  <si>
    <t>NUMBER TILE VINTAGE FONT 8</t>
  </si>
  <si>
    <t>23303</t>
  </si>
  <si>
    <t>SET 4 PICNIC CUTLERY FONDANT</t>
  </si>
  <si>
    <t>GLASS SONGBIRD STORAGE JAR</t>
  </si>
  <si>
    <t>85067</t>
  </si>
  <si>
    <t>CREAM SWEETHEART WALL CABINET</t>
  </si>
  <si>
    <t>90199C</t>
  </si>
  <si>
    <t>5 STRAND GLASS NECKLACE CRYSTAL</t>
  </si>
  <si>
    <t>23578</t>
  </si>
  <si>
    <t>SNACK TRAY RED GINGHAM</t>
  </si>
  <si>
    <t>84968a</t>
  </si>
  <si>
    <t>LARGE JEWELLERY STAND</t>
  </si>
  <si>
    <t>22888</t>
  </si>
  <si>
    <t xml:space="preserve">NUMBER TILE VINTAGE FONT 9 </t>
  </si>
  <si>
    <t>21420</t>
  </si>
  <si>
    <t>OYSTER TRINKET BOX</t>
  </si>
  <si>
    <t>23477</t>
  </si>
  <si>
    <t>WOODLAND LARGE BLUE FELT HEART</t>
  </si>
  <si>
    <t>37343</t>
  </si>
  <si>
    <t xml:space="preserve">POLKADOT MUG PINK </t>
  </si>
  <si>
    <t>SET OF 3 MINI HANGING PORTRAITS</t>
  </si>
  <si>
    <t>90058A</t>
  </si>
  <si>
    <t>CRYSTAL STUD EARRINGS CLEAR DISPLAY</t>
  </si>
  <si>
    <t>LARGE PARLOUR FRAME</t>
  </si>
  <si>
    <t>90195A</t>
  </si>
  <si>
    <t>PURPLE GEMSTONE BRACELET</t>
  </si>
  <si>
    <t>90070</t>
  </si>
  <si>
    <t>RUBY GLASS CLUSTER BRACELET</t>
  </si>
  <si>
    <t>85086A</t>
  </si>
  <si>
    <t>CANDY SPOT HEART DECORATION</t>
  </si>
  <si>
    <t>90129B</t>
  </si>
  <si>
    <t xml:space="preserve">TURQUOISE GLASS TASSLE BAG CHARM </t>
  </si>
  <si>
    <t>37333</t>
  </si>
  <si>
    <t xml:space="preserve">RETRO "TEA FOR ONE" </t>
  </si>
  <si>
    <t>20845</t>
  </si>
  <si>
    <t>ZINC HEART LATTICE 2 WALL PLANTER</t>
  </si>
  <si>
    <t>90173</t>
  </si>
  <si>
    <t>PAIR BUTTERFLY HAIR CLIPS</t>
  </si>
  <si>
    <t>23467</t>
  </si>
  <si>
    <t xml:space="preserve">VINTAGE ZINC PLANTER  </t>
  </si>
  <si>
    <t xml:space="preserve">GIFT BAG LARGE SPOT </t>
  </si>
  <si>
    <t>35972</t>
  </si>
  <si>
    <t>DAISY FOLKART HEART DECORATION</t>
  </si>
  <si>
    <t>90161A</t>
  </si>
  <si>
    <t>ANT COPPER RED BOUDICCA BRACELET</t>
  </si>
  <si>
    <t>90124B</t>
  </si>
  <si>
    <t>BLUE MURANO TWIST NECKLACE</t>
  </si>
  <si>
    <t>90003C</t>
  </si>
  <si>
    <t>MIDNIGHT BLUE PAIR HEART HAIR SLIDE</t>
  </si>
  <si>
    <t>84569B</t>
  </si>
  <si>
    <t>PACK 3 FIRE ENGINE/CAR PATCHES</t>
  </si>
  <si>
    <t xml:space="preserve">LUNCH BAG VINTAGE DOILEY </t>
  </si>
  <si>
    <t>90122C</t>
  </si>
  <si>
    <t>TURQUOISE CRYSTAL+GLASS BRACELET</t>
  </si>
  <si>
    <t>10080</t>
  </si>
  <si>
    <t>GROOVY CACTUS INFLATABLE</t>
  </si>
  <si>
    <t>21032</t>
  </si>
  <si>
    <t>SPACE CADET WHITE</t>
  </si>
  <si>
    <t>84709B</t>
  </si>
  <si>
    <t>PINK OVAL JEWELLED MIRROR</t>
  </si>
  <si>
    <t>SET OF 12 T-LIGHTS VINTAGE DOILEY</t>
  </si>
  <si>
    <t xml:space="preserve">FOLDING MIRROR HOT PINK </t>
  </si>
  <si>
    <t>85114b</t>
  </si>
  <si>
    <t>84507B</t>
  </si>
  <si>
    <t>STRIPES DESIGN MONKEY DOLL</t>
  </si>
  <si>
    <t>21095</t>
  </si>
  <si>
    <t>SET/6 POSIES PAPER PLATES</t>
  </si>
  <si>
    <t>84228</t>
  </si>
  <si>
    <t>HEN HOUSE W CHICK STANDING</t>
  </si>
  <si>
    <t>90184A</t>
  </si>
  <si>
    <t>AMBER CHUNKY BEAD BRACELET W STRAP</t>
  </si>
  <si>
    <t>21814</t>
  </si>
  <si>
    <t xml:space="preserve">HEART T-LIGHT HOLDER </t>
  </si>
  <si>
    <t>90183A</t>
  </si>
  <si>
    <t>AMBER DROP EARRINGS W LONG BEADS</t>
  </si>
  <si>
    <t>84741C</t>
  </si>
  <si>
    <t xml:space="preserve">CITRUS GARLAND FELT FLOWERS </t>
  </si>
  <si>
    <t>23151</t>
  </si>
  <si>
    <t>ZINC SWEETHEART SOAP DISH</t>
  </si>
  <si>
    <t>23185</t>
  </si>
  <si>
    <t>FRENCH STYLE STORAGE JAR JAM</t>
  </si>
  <si>
    <t>72780</t>
  </si>
  <si>
    <t>BLACK SILOUETTE CANDLE PLATE</t>
  </si>
  <si>
    <t>51020A</t>
  </si>
  <si>
    <t>SUMMER FUN DESIGN SHOWER CAP</t>
  </si>
  <si>
    <t>72812</t>
  </si>
  <si>
    <t>LARGE ZINC GLASS CANDLEHOLDER</t>
  </si>
  <si>
    <t>84809A</t>
  </si>
  <si>
    <t>WHITE CHRYSANTHEMUMS ART FLOWER</t>
  </si>
  <si>
    <t>16052</t>
  </si>
  <si>
    <t>TEATIME PUSH DOWN RUBBER</t>
  </si>
  <si>
    <t>90148</t>
  </si>
  <si>
    <t>LONG SILVER NECKLACE PASTEL FLOWER</t>
  </si>
  <si>
    <t xml:space="preserve">WALL ART BICYCLE SAFTEY </t>
  </si>
  <si>
    <t>90130B</t>
  </si>
  <si>
    <t>TURQ STONE/CRYSTAL EARRINGS</t>
  </si>
  <si>
    <t>47518F</t>
  </si>
  <si>
    <t>ICON PLACEMAT POP ART ELVIS</t>
  </si>
  <si>
    <t>84457</t>
  </si>
  <si>
    <t>SET/3 RABBITS FLOWER SKIPPPING ROPE</t>
  </si>
  <si>
    <t>72801D</t>
  </si>
  <si>
    <t>20795</t>
  </si>
  <si>
    <t>LARGE BLUE PROVENCAL CERAMIC BALL</t>
  </si>
  <si>
    <t>47503H</t>
  </si>
  <si>
    <t xml:space="preserve">ASS FLORAL PRINT SPIRIT LEVEL </t>
  </si>
  <si>
    <t>84925F</t>
  </si>
  <si>
    <t>PSYCHEDELIC WALL THERMOMETER</t>
  </si>
  <si>
    <t>90003D</t>
  </si>
  <si>
    <t>CRYSTAL PAIR HEART HAIR SLIDES</t>
  </si>
  <si>
    <t>90096</t>
  </si>
  <si>
    <t>NECKLACE+BRACELET SET BLUE BLOSSOM</t>
  </si>
  <si>
    <t>21678</t>
  </si>
  <si>
    <t>PAISLEY PATTERN  STICKERS</t>
  </si>
  <si>
    <t>90214A</t>
  </si>
  <si>
    <t>LETTER "A" BLING KEY RING</t>
  </si>
  <si>
    <t>90036E</t>
  </si>
  <si>
    <t>FLOWER GLASS GARLD NECKL36"AMETHYST</t>
  </si>
  <si>
    <t>90185C</t>
  </si>
  <si>
    <t>BLACK DIAMANTE EXPANDABLE RING</t>
  </si>
  <si>
    <t>90125D</t>
  </si>
  <si>
    <t>PURPLE BERTIE GLASS BEAD BAG CHARM</t>
  </si>
  <si>
    <t>20731</t>
  </si>
  <si>
    <t>POSY CANDY BAG</t>
  </si>
  <si>
    <t>85167B</t>
  </si>
  <si>
    <t>BLACK GRAND BAROQUE PHOTO FRAME</t>
  </si>
  <si>
    <t>21278</t>
  </si>
  <si>
    <t>VINTAGE KITCHEN PRINT PUDDINGS</t>
  </si>
  <si>
    <t>90124C</t>
  </si>
  <si>
    <t>GREEN MURANO TWIST NECKLACE</t>
  </si>
  <si>
    <t>90122A</t>
  </si>
  <si>
    <t>PINK CRYSTAL+GLASS BRACELET</t>
  </si>
  <si>
    <t>85096</t>
  </si>
  <si>
    <t>HILDA CANDY SPOT RABBIT</t>
  </si>
  <si>
    <t>20894</t>
  </si>
  <si>
    <t>HANGING BAUBLE T-LIGHT HOLDER LARGE</t>
  </si>
  <si>
    <t>PAPER LANTERN 6 POINT SNOW STAR</t>
  </si>
  <si>
    <t>21372</t>
  </si>
  <si>
    <t>MIRRORED WALL ART TABLE LAMP</t>
  </si>
  <si>
    <t>35916C</t>
  </si>
  <si>
    <t>PINK FELT HANGING HEART W FLOWER</t>
  </si>
  <si>
    <t>17090A</t>
  </si>
  <si>
    <t>LAVENDER INCENSE 40 CONES IN TIN</t>
  </si>
  <si>
    <t>85129C</t>
  </si>
  <si>
    <t>BEADED CRYSTAL HEART BLUE SMALL</t>
  </si>
  <si>
    <t>21904</t>
  </si>
  <si>
    <t xml:space="preserve">HOUSE WRECKING METAL SIGN </t>
  </si>
  <si>
    <t>23626</t>
  </si>
  <si>
    <t>SET 10 CARDS DINKY TREE 17076</t>
  </si>
  <si>
    <t>SMALL PARLOUR FRAME</t>
  </si>
  <si>
    <t>35818P</t>
  </si>
  <si>
    <t>ACRYLIC JEWEL ICICLE, PINK</t>
  </si>
  <si>
    <t>35819B</t>
  </si>
  <si>
    <t>ACRYLIC HANGING JEWEL,BLUE</t>
  </si>
  <si>
    <t>90125A</t>
  </si>
  <si>
    <t>PINK BERTIE GLASS BEAD BAG CHARM</t>
  </si>
  <si>
    <t>20657</t>
  </si>
  <si>
    <t>TROPICAL LUGGAGE TAG</t>
  </si>
  <si>
    <t>20898</t>
  </si>
  <si>
    <t>VINTAGE NOTEBOOK TRAVELOGUE</t>
  </si>
  <si>
    <t>90016A</t>
  </si>
  <si>
    <t>SILVER/M.O.P PENDANT ORBIT NECKLACE</t>
  </si>
  <si>
    <t>85040a</t>
  </si>
  <si>
    <t>23574</t>
  </si>
  <si>
    <t>PACKING CHARGE</t>
  </si>
  <si>
    <t>22039</t>
  </si>
  <si>
    <t>BOTANICAL LILY GIFT WRAP</t>
  </si>
  <si>
    <t>35920</t>
  </si>
  <si>
    <t>FOUR RABBIT EASTER DECORATIONS</t>
  </si>
  <si>
    <t>84661C</t>
  </si>
  <si>
    <t>PINK SQUARE TABLE CLOCK</t>
  </si>
  <si>
    <t>84461</t>
  </si>
  <si>
    <t>12 PINK HEN+CHICKS IN BASKET</t>
  </si>
  <si>
    <t>17084P</t>
  </si>
  <si>
    <t>DRAGONS BLOOD INCENSE</t>
  </si>
  <si>
    <t>20796</t>
  </si>
  <si>
    <t>SMALL BLUE PROVENCAL CERAMIC BALL</t>
  </si>
  <si>
    <t>79144B</t>
  </si>
  <si>
    <t>PAINTED LIGHTBULB STAR+ MOON</t>
  </si>
  <si>
    <t>PACK/12 XMAS FUN CARD</t>
  </si>
  <si>
    <t>90032</t>
  </si>
  <si>
    <t>IVORY SHELL HEART NECKLACE</t>
  </si>
  <si>
    <t>22879</t>
  </si>
  <si>
    <t>NUMBER TILE VINTAGE FONT 0</t>
  </si>
  <si>
    <t>90196A</t>
  </si>
  <si>
    <t>PURPLE GEMSTONE NECKLACE 45CM</t>
  </si>
  <si>
    <t>90063A</t>
  </si>
  <si>
    <t>WHITE VINT ART DECO CRYSTAL NECKLAC</t>
  </si>
  <si>
    <t>LARGE CAKE TOWEL, CHOCOLATE SPOTS</t>
  </si>
  <si>
    <t>20701</t>
  </si>
  <si>
    <t xml:space="preserve">PINK CAT FLORAL CUSHION COVER </t>
  </si>
  <si>
    <t>35637C</t>
  </si>
  <si>
    <t>PINK STRING CURTAIN WITH POLE</t>
  </si>
  <si>
    <t>16033</t>
  </si>
  <si>
    <t>MINI HIGHLIGHTER PENS</t>
  </si>
  <si>
    <t>35911B</t>
  </si>
  <si>
    <t xml:space="preserve">PINK/FLOWER RABBIT EGG WARMER </t>
  </si>
  <si>
    <t>gift_0001_40</t>
  </si>
  <si>
    <t>Dotcomgiftshop Gift Voucher £40.00</t>
  </si>
  <si>
    <t>21370</t>
  </si>
  <si>
    <t>MIRRORED WALL ART FOXY</t>
  </si>
  <si>
    <t>90010B</t>
  </si>
  <si>
    <t>BLACK/WHITE GLASS/SILVER BRACELET</t>
  </si>
  <si>
    <t>90081C</t>
  </si>
  <si>
    <t>LILY BROOCH OLIVE COLOUR</t>
  </si>
  <si>
    <t>23611</t>
  </si>
  <si>
    <t>SET 10 CARDS RED RIDING HOOD 17214</t>
  </si>
  <si>
    <t>17091A</t>
  </si>
  <si>
    <t>LAVENDER INCENSE IN TIN</t>
  </si>
  <si>
    <t>23464</t>
  </si>
  <si>
    <t>VINTAGE ZINC WATERING CAN SMALL</t>
  </si>
  <si>
    <t>TUSCAN VILLA DOVECOTE</t>
  </si>
  <si>
    <t>TUSCAN VILLA FEEDING STATION</t>
  </si>
  <si>
    <t>BUNDLE OF 3 RETRO EXERCISE BOOKS</t>
  </si>
  <si>
    <t>84510c</t>
  </si>
  <si>
    <t>84898F</t>
  </si>
  <si>
    <t>YELLOW FLOWERS FELT HANDBAG KIT</t>
  </si>
  <si>
    <t>79144C</t>
  </si>
  <si>
    <t>PAINTED LIGHTBULB RAINBOW DESIGN</t>
  </si>
  <si>
    <t>90101</t>
  </si>
  <si>
    <t>WHITE FRANGIPANI NECKLACE</t>
  </si>
  <si>
    <t>84723</t>
  </si>
  <si>
    <t>CHERRY BLOSSOM CANVAS ART PICTURE</t>
  </si>
  <si>
    <t>47369B</t>
  </si>
  <si>
    <t>BLUE GREEN EMBROIDERY COSMETIC BAG</t>
  </si>
  <si>
    <t>90185B</t>
  </si>
  <si>
    <t>AMETHYST DIAMANTE EXPANDABLE RING</t>
  </si>
  <si>
    <t>84806A</t>
  </si>
  <si>
    <t>PINK CANDYSTUFT ARTIFICIAL FLOWER</t>
  </si>
  <si>
    <t>90204</t>
  </si>
  <si>
    <t>PAIR OF ENAMEL BUTTERFLY HAIRCLIP</t>
  </si>
  <si>
    <t>84801A</t>
  </si>
  <si>
    <t>PINK HYDRANGEA ART FLOWER</t>
  </si>
  <si>
    <t>90019B</t>
  </si>
  <si>
    <t>GOLD M.O.P ORBIT BRACELET</t>
  </si>
  <si>
    <t>72801c</t>
  </si>
  <si>
    <t>21722</t>
  </si>
  <si>
    <t>SWEET PUDDING STICKER SHEET</t>
  </si>
  <si>
    <t>90174</t>
  </si>
  <si>
    <t>BUTTERFLY HAIR BAND</t>
  </si>
  <si>
    <t>21777</t>
  </si>
  <si>
    <t>RECIPE BOX WITH METAL HEART</t>
  </si>
  <si>
    <t>90036D</t>
  </si>
  <si>
    <t>FLOWER GLASS GARLAND NECKL.36"BLACK</t>
  </si>
  <si>
    <t>90146</t>
  </si>
  <si>
    <t>FINE SILVER NECKLACE W PASTEL FLOWE</t>
  </si>
  <si>
    <t>90178A</t>
  </si>
  <si>
    <t>AMBER CHUNKY GLASS+BEAD NECKLACE</t>
  </si>
  <si>
    <t>20653</t>
  </si>
  <si>
    <t>CHERRY BLOSSOM LUGGAGE TAG</t>
  </si>
  <si>
    <t>84527</t>
  </si>
  <si>
    <t>FLAMES SUNGLASSES PINK LENSES</t>
  </si>
  <si>
    <t>84666</t>
  </si>
  <si>
    <t>90133</t>
  </si>
  <si>
    <t>TEAL/FUSCHIA COL BEAD NECKLACE</t>
  </si>
  <si>
    <t xml:space="preserve">VIP PASSPORT COVER </t>
  </si>
  <si>
    <t xml:space="preserve">HOME SWEEET HOME 3 PEG HANGER </t>
  </si>
  <si>
    <t>82613A</t>
  </si>
  <si>
    <t>47369A</t>
  </si>
  <si>
    <t>PINK GREEN EMBROIDERY COSMETIC BAG</t>
  </si>
  <si>
    <t>20773</t>
  </si>
  <si>
    <t>BLUE PAISLEY NOTEBOOK</t>
  </si>
  <si>
    <t>90018B</t>
  </si>
  <si>
    <t>GOLD M.O.P ORBIT DROP EARRINGS</t>
  </si>
  <si>
    <t>35933</t>
  </si>
  <si>
    <t>PINK STOCKING CHRISTMAS DECORATION</t>
  </si>
  <si>
    <t>85132a</t>
  </si>
  <si>
    <t>82615</t>
  </si>
  <si>
    <t>PINK MARSHMALLOW SCARF KNITTING KIT</t>
  </si>
  <si>
    <t>90030C</t>
  </si>
  <si>
    <t>BROWN KUKUI COCONUT SEED NECKLACE</t>
  </si>
  <si>
    <t>90175B</t>
  </si>
  <si>
    <t>PINK GLASS CHUNKY CHARM BRACELET</t>
  </si>
  <si>
    <t>20901</t>
  </si>
  <si>
    <t>VINTAGE KEEPSAKE BOX PINK FLOWER</t>
  </si>
  <si>
    <t>DOUBLE CERAMIC PARLOUR HOOK</t>
  </si>
  <si>
    <t>20662</t>
  </si>
  <si>
    <t xml:space="preserve">FIRST CLASS HOLIDAY PURSE </t>
  </si>
  <si>
    <t>85230F</t>
  </si>
  <si>
    <t>JASMINE VOTIVE CANDLE</t>
  </si>
  <si>
    <t>90163A</t>
  </si>
  <si>
    <t>PINK ROSEBUD &amp; PEARL NECKLACE</t>
  </si>
  <si>
    <t>90022</t>
  </si>
  <si>
    <t>EDWARDIAN DROP EARRINGS JET BLACK</t>
  </si>
  <si>
    <t>21690</t>
  </si>
  <si>
    <t xml:space="preserve">SILVER  CANDLEPOT JARDIN </t>
  </si>
  <si>
    <t>72051S</t>
  </si>
  <si>
    <t>BAG OF SILVER STONES</t>
  </si>
  <si>
    <t>35833P</t>
  </si>
  <si>
    <t>4 PINK FLOCK CHRISTMAS BALLS</t>
  </si>
  <si>
    <t>35400</t>
  </si>
  <si>
    <t xml:space="preserve">WOODEN BOX ADVENT CALENDAR </t>
  </si>
  <si>
    <t>20892</t>
  </si>
  <si>
    <t>SET/3 TALL GLASS CANDLE HOLDER PINK</t>
  </si>
  <si>
    <t>90123A</t>
  </si>
  <si>
    <t>PINK HEART OF GLASS BRACELET</t>
  </si>
  <si>
    <t>84984A</t>
  </si>
  <si>
    <t>GREEN PEONY CUSHION COVER</t>
  </si>
  <si>
    <t>84306</t>
  </si>
  <si>
    <t>S/3 PINK SQUARE PLANTERS ROSES</t>
  </si>
  <si>
    <t>90166</t>
  </si>
  <si>
    <t>PINK &amp; WHITE ROSEBUD RING</t>
  </si>
  <si>
    <t>90129F</t>
  </si>
  <si>
    <t>RED GLASS TASSLE BAG CHARM</t>
  </si>
  <si>
    <t>84531B</t>
  </si>
  <si>
    <t>BLUE KNITTED EGG COSY</t>
  </si>
  <si>
    <t>84989a</t>
  </si>
  <si>
    <t>75 GREEN FAIRY CAKE CASES</t>
  </si>
  <si>
    <t>23442</t>
  </si>
  <si>
    <t>12 HANGING EGGS HAND PAINTED</t>
  </si>
  <si>
    <t>20869</t>
  </si>
  <si>
    <t>GOLD FABRIC MIRROR</t>
  </si>
  <si>
    <t>21038</t>
  </si>
  <si>
    <t>SET/4 MODERN VINTAGE COTTON NAPKINS</t>
  </si>
  <si>
    <t>23614</t>
  </si>
  <si>
    <t>SET 10 CARDS 12 DAYS WRAP  17058</t>
  </si>
  <si>
    <t>90003E</t>
  </si>
  <si>
    <t>GREEN PAIR HEART HAIR SLIDES</t>
  </si>
  <si>
    <t>SMOKEY GREY COLOUR GLASS</t>
  </si>
  <si>
    <t>79403</t>
  </si>
  <si>
    <t xml:space="preserve">FROSTED WHITE BASE </t>
  </si>
  <si>
    <t>75172</t>
  </si>
  <si>
    <t>PAINTED SEA SHELL METAL WINDCHIME</t>
  </si>
  <si>
    <t>20821</t>
  </si>
  <si>
    <t>GOLDIE LOOKING MIRROR</t>
  </si>
  <si>
    <t xml:space="preserve">MEDIUM PARLOUR FRAME </t>
  </si>
  <si>
    <t>TUMBLER, BAROQUE</t>
  </si>
  <si>
    <t>16169K</t>
  </si>
  <si>
    <t>WRAP FOLK ART</t>
  </si>
  <si>
    <t>20941</t>
  </si>
  <si>
    <t>FROG CANDLE</t>
  </si>
  <si>
    <t>90072</t>
  </si>
  <si>
    <t>RUBY DROP CHANDELIER EARRINGS</t>
  </si>
  <si>
    <t>22016</t>
  </si>
  <si>
    <t>Dotcomgiftshop Gift Voucher £100.00</t>
  </si>
  <si>
    <t>90123C</t>
  </si>
  <si>
    <t>GREEN HEART OF GLASS BRACELET</t>
  </si>
  <si>
    <t>90129A</t>
  </si>
  <si>
    <t xml:space="preserve">PINK GLASS TASSLE BAG CHARM </t>
  </si>
  <si>
    <t>84881</t>
  </si>
  <si>
    <t>BLUE WIRE SPIRAL CANDLE HOLDER</t>
  </si>
  <si>
    <t>35638A</t>
  </si>
  <si>
    <t>PINK AND BLACK STRING CURTAIN</t>
  </si>
  <si>
    <t>35968</t>
  </si>
  <si>
    <t>FOLK ART METAL HEART T-LIGHT HOLDER</t>
  </si>
  <si>
    <t>16049</t>
  </si>
  <si>
    <t>TEATIME GEL PENS ASST</t>
  </si>
  <si>
    <t>90108</t>
  </si>
  <si>
    <t>BLUE BLOSSOM HAIR CLIP</t>
  </si>
  <si>
    <t>21226</t>
  </si>
  <si>
    <t>POCKET MIRROR WOODLAND</t>
  </si>
  <si>
    <t>20664</t>
  </si>
  <si>
    <t xml:space="preserve">TROPICAL HOLIDAY PURSE </t>
  </si>
  <si>
    <t>71496A</t>
  </si>
  <si>
    <t>A4 WALL TIDY BLUE OFFICE</t>
  </si>
  <si>
    <t>90175C</t>
  </si>
  <si>
    <t>BLUE GLASS CHUNKY CHARM BRACELET</t>
  </si>
  <si>
    <t>84249A</t>
  </si>
  <si>
    <t>GREETING CARD,SQUARE, DOUGHNUTS</t>
  </si>
  <si>
    <t>84927E</t>
  </si>
  <si>
    <t>FLOWERS TILE HOOK</t>
  </si>
  <si>
    <t>SET 36 COLOUR PENCILS DOILEY</t>
  </si>
  <si>
    <t>90129C</t>
  </si>
  <si>
    <t>GREEN GLASS TASSLE BAG CHARM</t>
  </si>
  <si>
    <t>90124A</t>
  </si>
  <si>
    <t>PINK MURANO TWIST NECKLACE</t>
  </si>
  <si>
    <t>90162B</t>
  </si>
  <si>
    <t>ANT SILVER LIME GREEN BOUDICCA RING</t>
  </si>
  <si>
    <t>84984B</t>
  </si>
  <si>
    <t xml:space="preserve">RED PEONY CUSHION COVER </t>
  </si>
  <si>
    <t>72811</t>
  </si>
  <si>
    <t>SMALL ZINC/GLASS CANDLEHOLDER</t>
  </si>
  <si>
    <t>84847</t>
  </si>
  <si>
    <t>FLORAL BATHROOM SET</t>
  </si>
  <si>
    <t>90039D</t>
  </si>
  <si>
    <t>FIRE POLISHED GLASS BRACELET GREEN</t>
  </si>
  <si>
    <t>84906</t>
  </si>
  <si>
    <t>PINK B'FLY C/COVER W BOBBLES</t>
  </si>
  <si>
    <t>37479B</t>
  </si>
  <si>
    <t>CUBIC MUG FLOCK BLUE ON BROWN</t>
  </si>
  <si>
    <t>90000A</t>
  </si>
  <si>
    <t>RASPBERRY ANT COPPER FLOWER NECKLAC</t>
  </si>
  <si>
    <t>90086</t>
  </si>
  <si>
    <t>CRYSTAL FROG PHONE CHARM</t>
  </si>
  <si>
    <t xml:space="preserve">CLASSIC CROME BICYCLE BELL </t>
  </si>
  <si>
    <t>90129E</t>
  </si>
  <si>
    <t>PURPLE GLASS TASSLE BAG CHARM</t>
  </si>
  <si>
    <t>20980</t>
  </si>
  <si>
    <t>36 PENCILS TUBE POSY</t>
  </si>
  <si>
    <t>84531A</t>
  </si>
  <si>
    <t>PINK KNITTED EGG COSY</t>
  </si>
  <si>
    <t>46000P</t>
  </si>
  <si>
    <t>POLYESTER FILLER PAD 65CMx65CM</t>
  </si>
  <si>
    <t>84840</t>
  </si>
  <si>
    <t>SWEETHEART CARRY-ALL BASKET</t>
  </si>
  <si>
    <t>90099</t>
  </si>
  <si>
    <t>NECKLACE+BRACELET SET BLUE HIBISCUS</t>
  </si>
  <si>
    <t>90063B</t>
  </si>
  <si>
    <t>BLACK VINT ART DEC CRYSTAL NECKLACE</t>
  </si>
  <si>
    <t>90177C</t>
  </si>
  <si>
    <t>DROP DIAMANTE EARRINGS CRYSTAL</t>
  </si>
  <si>
    <t>16207B</t>
  </si>
  <si>
    <t>PINK HEART RED HANDBAG</t>
  </si>
  <si>
    <t>20798</t>
  </si>
  <si>
    <t>CLEAR MILKSHAKE GLASS</t>
  </si>
  <si>
    <t>SET OF 36 SPACEBOY PAPER DOILIES</t>
  </si>
  <si>
    <t>21946</t>
  </si>
  <si>
    <t>PARTY TIME DESIGN FLANNEL</t>
  </si>
  <si>
    <t>21413</t>
  </si>
  <si>
    <t>PERIWINKLE T-LIGHT HOLDER</t>
  </si>
  <si>
    <t>VINTAGE ENGRAVED HEART</t>
  </si>
  <si>
    <t>gift_0001_10</t>
  </si>
  <si>
    <t>Dotcomgiftshop Gift Voucher £10.00</t>
  </si>
  <si>
    <t>84968d</t>
  </si>
  <si>
    <t>84251G</t>
  </si>
  <si>
    <t>GREETING CARD, OVERCROWDED POOL.</t>
  </si>
  <si>
    <t>ALUMINIUM HEART</t>
  </si>
  <si>
    <t>PAPER LANTERN 9 POINT HOLLY STAR 23</t>
  </si>
  <si>
    <t>90118</t>
  </si>
  <si>
    <t>PINK DAISY BAG CHARM</t>
  </si>
  <si>
    <t>17012E</t>
  </si>
  <si>
    <t xml:space="preserve">ORIGAMI OPIUM INCENSE/CANDLE SET </t>
  </si>
  <si>
    <t>85132b</t>
  </si>
  <si>
    <t>85198</t>
  </si>
  <si>
    <t>ASSORTED FARMYARD ANIMALS IN BUCKET</t>
  </si>
  <si>
    <t>21087</t>
  </si>
  <si>
    <t>SET/6 POSIES PAPER CUPS</t>
  </si>
  <si>
    <t>90059A</t>
  </si>
  <si>
    <t>DIAMANTE HAIR GRIP PACK/2 CRYSTAL</t>
  </si>
  <si>
    <t>DECORATION HEN ON NEST, HANGING</t>
  </si>
  <si>
    <t>90081A</t>
  </si>
  <si>
    <t>LILY BROOCH AMETHYST COLOUR</t>
  </si>
  <si>
    <t>90098</t>
  </si>
  <si>
    <t>NECKLACE+BRACELET PINK BUTTERFLY</t>
  </si>
  <si>
    <t>90177D</t>
  </si>
  <si>
    <t>DROP DIAMANTE EARRINGS PURPLE</t>
  </si>
  <si>
    <t>85197</t>
  </si>
  <si>
    <t>SET OF 12 MINI BUNNIES IN A BUCKET</t>
  </si>
  <si>
    <t>90214C</t>
  </si>
  <si>
    <t>LETTER "C" BLING KEY RING</t>
  </si>
  <si>
    <t>90103</t>
  </si>
  <si>
    <t>PURPLE FRANGIPANI NECKLACE</t>
  </si>
  <si>
    <t>84231</t>
  </si>
  <si>
    <t>EASTER BUNNY WITH BASKET ON BACK</t>
  </si>
  <si>
    <t>20960</t>
  </si>
  <si>
    <t>WATERMELON BATH SPONGE</t>
  </si>
  <si>
    <t>72801G</t>
  </si>
  <si>
    <t>4 BURGUNDY WINE DINNER CANDLES</t>
  </si>
  <si>
    <t>90030A</t>
  </si>
  <si>
    <t>SPOTTED WHITE NATURAL SEED NECKLACE</t>
  </si>
  <si>
    <t>90036C</t>
  </si>
  <si>
    <t>FLOWER GLASS GARLAND NECKL.36"BLUE</t>
  </si>
  <si>
    <t>SET OF 36 VINTAGE CHRISTMAS DOILIES</t>
  </si>
  <si>
    <t>17014A</t>
  </si>
  <si>
    <t>ORIGAMI VANILLA INCENSE CONES</t>
  </si>
  <si>
    <t>DECROTIVEVINTAGE COFFEE GRINDER BOX</t>
  </si>
  <si>
    <t>20933</t>
  </si>
  <si>
    <t>YELLOW POT PLANT CANDLE</t>
  </si>
  <si>
    <t>90214S</t>
  </si>
  <si>
    <t>LETTER "S" BLING KEY RING</t>
  </si>
  <si>
    <t>90211A</t>
  </si>
  <si>
    <t>DIAMOND LAS VEGAS NECKLACE 45CM</t>
  </si>
  <si>
    <t>47589</t>
  </si>
  <si>
    <t>CONGRATULATIONS BUNTING</t>
  </si>
  <si>
    <t>84251B</t>
  </si>
  <si>
    <t>GREETING CARD, STICKY GORDON</t>
  </si>
  <si>
    <t>51020B</t>
  </si>
  <si>
    <t>STRIPY DESIGN SHOWER CAP</t>
  </si>
  <si>
    <t>84927A</t>
  </si>
  <si>
    <t>WAKE UP COCKEREL TILE HOOK</t>
  </si>
  <si>
    <t>85026B</t>
  </si>
  <si>
    <t>EAU DE NILE JEWELLED T-LIGHT HOLDER</t>
  </si>
  <si>
    <t>90051</t>
  </si>
  <si>
    <t>CRACKED GLAZE NECKLACE RED</t>
  </si>
  <si>
    <t>16161G</t>
  </si>
  <si>
    <t>WRAP BAD HAIR DAY</t>
  </si>
  <si>
    <t>16020C</t>
  </si>
  <si>
    <t xml:space="preserve">CLEAR STATIONERY BOX SET </t>
  </si>
  <si>
    <t>90125C</t>
  </si>
  <si>
    <t>TURQUOISE BERTIE GLASS BEAD CHARM</t>
  </si>
  <si>
    <t>46126A</t>
  </si>
  <si>
    <t>ELVIS WALLHANGING / CURTAIN</t>
  </si>
  <si>
    <t>81952V</t>
  </si>
  <si>
    <t>ROUND PURPLE CLOCK WITH SUCKER</t>
  </si>
  <si>
    <t>SET OF 36 DOLLY GIRL PAPER DOILIES</t>
  </si>
  <si>
    <t>90199A</t>
  </si>
  <si>
    <t>5 STRAND GLASS NECKLACE BLACK</t>
  </si>
  <si>
    <t>84549</t>
  </si>
  <si>
    <t xml:space="preserve">CROCHET WHITE RABBIT KEYRING </t>
  </si>
  <si>
    <t>90019C</t>
  </si>
  <si>
    <t>SILVER BLACK ORBIT BRACELET</t>
  </si>
  <si>
    <t>85188B</t>
  </si>
  <si>
    <t>PINK METAL SWINGING BUNNY</t>
  </si>
  <si>
    <t>90151</t>
  </si>
  <si>
    <t>SILVER/NATURAL SHELL NECKLACE</t>
  </si>
  <si>
    <t xml:space="preserve">CHRISTMAS MUSICAL ZINC HEART </t>
  </si>
  <si>
    <t>90194</t>
  </si>
  <si>
    <t>SILVER LARIAT BLACK STONE EARRINGS</t>
  </si>
  <si>
    <t>84247K</t>
  </si>
  <si>
    <t>FOLK ART GREETING CARD,pack/12</t>
  </si>
  <si>
    <t>90000B</t>
  </si>
  <si>
    <t>MIDNIGHT BLUE COPPER FLOWER NECKLAC</t>
  </si>
  <si>
    <t>90155</t>
  </si>
  <si>
    <t>RESIN NECKLACE W PASTEL BEADS</t>
  </si>
  <si>
    <t>84874B</t>
  </si>
  <si>
    <t>BLUE TRAVEL FIRST AID KIT</t>
  </si>
  <si>
    <t>85049B</t>
  </si>
  <si>
    <t>LUSH GREENS RIBBONS</t>
  </si>
  <si>
    <t>82011A</t>
  </si>
  <si>
    <t>BATHROOM SCALES, TROPICAL BEACH</t>
  </si>
  <si>
    <t>35916A</t>
  </si>
  <si>
    <t>YELLOW FELT HANGING HEART W FLOWER</t>
  </si>
  <si>
    <t>90144</t>
  </si>
  <si>
    <t>SILVER DROP EARRINGS WITH FLOWER</t>
  </si>
  <si>
    <t>90024B</t>
  </si>
  <si>
    <t>NEW BAROQUE B'FLY NECKLACE RED</t>
  </si>
  <si>
    <t>37444A</t>
  </si>
  <si>
    <t>YELLOW BREAKFAST CUP AND SAUCER</t>
  </si>
  <si>
    <t>84859B</t>
  </si>
  <si>
    <t>BLUE DISCO HANDBAG</t>
  </si>
  <si>
    <t>90040B</t>
  </si>
  <si>
    <t>MURANO STYLE GLASS BRACELET BLACK</t>
  </si>
  <si>
    <t>35819P</t>
  </si>
  <si>
    <t>ACRYLIC HANGING JEWEL,PINK</t>
  </si>
  <si>
    <t>84686</t>
  </si>
  <si>
    <t>BEACH HUT MIRROR</t>
  </si>
  <si>
    <t>17011F</t>
  </si>
  <si>
    <t>ORIGAMI SANDLEWOOD INCENSE+FLOWER</t>
  </si>
  <si>
    <t>72807a</t>
  </si>
  <si>
    <t>20663</t>
  </si>
  <si>
    <t xml:space="preserve">QUEEN OF THE SKIES HOLIDAY PURSE </t>
  </si>
  <si>
    <t>85008</t>
  </si>
  <si>
    <t>SET OF 3 CONEY ISLAND OVAL BOXES</t>
  </si>
  <si>
    <t>20835</t>
  </si>
  <si>
    <t>21031</t>
  </si>
  <si>
    <t>SPACE CADET BLACK</t>
  </si>
  <si>
    <t>90214L</t>
  </si>
  <si>
    <t>LETTER "L" BLING KEY RING</t>
  </si>
  <si>
    <t>84247N</t>
  </si>
  <si>
    <t>PACK/12 BLUE FOLKART CARDS</t>
  </si>
  <si>
    <t>90186B</t>
  </si>
  <si>
    <t>CRYSTAL HOOP EARRING FLORAL LEAF</t>
  </si>
  <si>
    <t>BISCUIT TIN VINTAGE LEAF</t>
  </si>
  <si>
    <t>90202D</t>
  </si>
  <si>
    <t>PINK ENAMEL FLOWER HAIR TIE</t>
  </si>
  <si>
    <t>90082D</t>
  </si>
  <si>
    <t>DIAMANTE BOW BROOCH BLACK COLOUR</t>
  </si>
  <si>
    <t>90202A</t>
  </si>
  <si>
    <t>PURPLE ENAMEL FLOWER HAIR TIE</t>
  </si>
  <si>
    <t>90036F</t>
  </si>
  <si>
    <t>FLOWER GLASS GARLD NECKL36"TURQUOIS</t>
  </si>
  <si>
    <t>90181A</t>
  </si>
  <si>
    <t>AMBER GLASS/SHELL/PEARL NECKLACE</t>
  </si>
  <si>
    <t>16 PC CUTLERY SET PANTRY DESIGN</t>
  </si>
  <si>
    <t>84875D</t>
  </si>
  <si>
    <t>BLUE SQUARE COMPACT MIRROR</t>
  </si>
  <si>
    <t>22407</t>
  </si>
  <si>
    <t>MONEY BOX FIRST ADE DESIGN</t>
  </si>
  <si>
    <t>21692</t>
  </si>
  <si>
    <t>SILVER LATTICE VANILLA CANDLE POT</t>
  </si>
  <si>
    <t>84673A</t>
  </si>
  <si>
    <t>PINK FLY SWAT</t>
  </si>
  <si>
    <t>72133</t>
  </si>
  <si>
    <t>90196B</t>
  </si>
  <si>
    <t>BLACK GEMSTONE NECKLACE 45CM</t>
  </si>
  <si>
    <t>35815P</t>
  </si>
  <si>
    <t>ACRYLIC JEWEL SNOWFLAKE, PINK</t>
  </si>
  <si>
    <t>62094B</t>
  </si>
  <si>
    <t xml:space="preserve">TURQ ICE CREAM BUM BAG </t>
  </si>
  <si>
    <t>90141A</t>
  </si>
  <si>
    <t>GREEN PENDANT TRIPLE SHELL NECKLACE</t>
  </si>
  <si>
    <t>S</t>
  </si>
  <si>
    <t>SAMPLES</t>
  </si>
  <si>
    <t>22145</t>
  </si>
  <si>
    <t xml:space="preserve">CHRISTMAS CRAFT HEART STOCKING </t>
  </si>
  <si>
    <t>84452</t>
  </si>
  <si>
    <t xml:space="preserve">METAL RABBIT LADDER EASTER </t>
  </si>
  <si>
    <t>40046A</t>
  </si>
  <si>
    <t>RED DAISY PAPER LAMPSHADE</t>
  </si>
  <si>
    <t>84760S</t>
  </si>
  <si>
    <t>SMALL HANGING GLASS+ZINC LANTERN</t>
  </si>
  <si>
    <t>72351a</t>
  </si>
  <si>
    <t>85160B</t>
  </si>
  <si>
    <t>BLACK BIRD GARDEN DESIGN MUG</t>
  </si>
  <si>
    <t>84247L</t>
  </si>
  <si>
    <t>FAWN AND MUSHROOM GREETING CARD</t>
  </si>
  <si>
    <t>20848</t>
  </si>
  <si>
    <t>ZINC HEART LATTICE CHARGER SMALL</t>
  </si>
  <si>
    <t>90210B</t>
  </si>
  <si>
    <t>CLEAR ACRYLIC FACETED BANGLE</t>
  </si>
  <si>
    <t>90087</t>
  </si>
  <si>
    <t>CRYSTAL SEA HORSE PHONE CHARM</t>
  </si>
  <si>
    <t>16151A</t>
  </si>
  <si>
    <t>FLOWERS HANDBAG blue and orange</t>
  </si>
  <si>
    <t xml:space="preserve">WALL ART ,PUDDINGS </t>
  </si>
  <si>
    <t>90183B</t>
  </si>
  <si>
    <t>AMETHYST DROP EARRINGS W LONG BEADS</t>
  </si>
  <si>
    <t>71495B</t>
  </si>
  <si>
    <t>CD WALL TIDY RED FLOWERS</t>
  </si>
  <si>
    <t>84985A</t>
  </si>
  <si>
    <t>SET OF 72 GREEN PAPER DOILIES</t>
  </si>
  <si>
    <t>21655</t>
  </si>
  <si>
    <t>HANGING RIDGE GLASS T-LIGHT HOLDER</t>
  </si>
  <si>
    <t>90065A</t>
  </si>
  <si>
    <t>WHITE VINTAGE CRYSTAL BRACELET</t>
  </si>
  <si>
    <t>90214K</t>
  </si>
  <si>
    <t>LETTER "K" BLING KEY RING</t>
  </si>
  <si>
    <t>84984D</t>
  </si>
  <si>
    <t xml:space="preserve">ORIENTAL RED CUSHION COVER </t>
  </si>
  <si>
    <t>84805A</t>
  </si>
  <si>
    <t>CREAM CLIMBING HYDRANGA ART FLOWER</t>
  </si>
  <si>
    <t>90031</t>
  </si>
  <si>
    <t>BILI NUT AND WOOD NECKLACE</t>
  </si>
  <si>
    <t>90206A</t>
  </si>
  <si>
    <t>GOLD DIAMANTE STAR BROOCH</t>
  </si>
  <si>
    <t>BREAD BIN, DINER STYLE, MINT</t>
  </si>
  <si>
    <t>BREAD BIN, DINER STYLE, IVORY</t>
  </si>
  <si>
    <t>23629</t>
  </si>
  <si>
    <t>SET 10 CARDS DRESSING UP 17077</t>
  </si>
  <si>
    <t>I LOVE LONDON WALL ART</t>
  </si>
  <si>
    <t>RUSTIC STRAWBERRY JAMPOT SMALL</t>
  </si>
  <si>
    <t>21910</t>
  </si>
  <si>
    <t xml:space="preserve">WAY OUT METAL SIGN </t>
  </si>
  <si>
    <t>79071B</t>
  </si>
  <si>
    <t>ENGLISH ROSE METAL WASTE BIN</t>
  </si>
  <si>
    <t>90202C</t>
  </si>
  <si>
    <t>GREEN ENAMEL FLOWER HAIR TIE</t>
  </si>
  <si>
    <t>20760</t>
  </si>
  <si>
    <t>GARDEN PATH POCKET BOOK</t>
  </si>
  <si>
    <t>84798A</t>
  </si>
  <si>
    <t>PINK FOXGLOVE ARTIIFCIAL FLOWER</t>
  </si>
  <si>
    <t>72134</t>
  </si>
  <si>
    <t xml:space="preserve">COLUMBIAN  CUBE CANDLE </t>
  </si>
  <si>
    <t>90190C</t>
  </si>
  <si>
    <t>SILVER/AMETHYST DROP EARRINGS LEAF</t>
  </si>
  <si>
    <t>84877A</t>
  </si>
  <si>
    <t>PINK ROUND COMPACT MIRROR</t>
  </si>
  <si>
    <t>72802a</t>
  </si>
  <si>
    <t>71406C</t>
  </si>
  <si>
    <t>BLACK ORANGE SQUEEZER</t>
  </si>
  <si>
    <t>16046</t>
  </si>
  <si>
    <t>TEATIME PEN CASE &amp; PENS</t>
  </si>
  <si>
    <t>90210A</t>
  </si>
  <si>
    <t>GREY ACRYLIC FACETED BANGLE</t>
  </si>
  <si>
    <t>84597C</t>
  </si>
  <si>
    <t xml:space="preserve">RETRO PINK BALL ASHTRAY </t>
  </si>
  <si>
    <t>84466</t>
  </si>
  <si>
    <t>TOP SECRET PEN SET</t>
  </si>
  <si>
    <t>85006</t>
  </si>
  <si>
    <t>SET 4 NURSERY DES ROUND BOXES</t>
  </si>
  <si>
    <t>90214J</t>
  </si>
  <si>
    <t>LETTER "J" BLING KEY RING</t>
  </si>
  <si>
    <t>21460</t>
  </si>
  <si>
    <t>GREEN EASTER EGG HUNT START POST</t>
  </si>
  <si>
    <t>90199B</t>
  </si>
  <si>
    <t>5 STRAND GLASS NECKLACE AMETHYST</t>
  </si>
  <si>
    <t>44236</t>
  </si>
  <si>
    <t>PINK/PURPLE CIRCLE CURTAIN</t>
  </si>
  <si>
    <t>90003B</t>
  </si>
  <si>
    <t>ROSE COLOUR PAIR HEART HAIR SLIDES</t>
  </si>
  <si>
    <t>47341B</t>
  </si>
  <si>
    <t>BLUE TABLE RUN FLOWER</t>
  </si>
  <si>
    <t>90038A</t>
  </si>
  <si>
    <t>GLASS AND PAINTED BEADS BRACELET TO</t>
  </si>
  <si>
    <t>90050</t>
  </si>
  <si>
    <t>CRACKED GLAZE NECKLACE IVORY</t>
  </si>
  <si>
    <t>84679</t>
  </si>
  <si>
    <t>CLASSICAL ROSE TABLE LAMP</t>
  </si>
  <si>
    <t>90023</t>
  </si>
  <si>
    <t>FILIGREE DIAMANTE EARRINGS</t>
  </si>
  <si>
    <t>84750B</t>
  </si>
  <si>
    <t>BLACK SMALL GLASS CAKE STAND</t>
  </si>
  <si>
    <t>SILVER M.O.P. ORBIT NECKLACE</t>
  </si>
  <si>
    <t>90071</t>
  </si>
  <si>
    <t>RUBY GLASS CLUSTER EARRINGS</t>
  </si>
  <si>
    <t>72132</t>
  </si>
  <si>
    <t>COLUMBIAN CUBE CANDLE</t>
  </si>
  <si>
    <t>21336</t>
  </si>
  <si>
    <t>GOLD WASHBAG</t>
  </si>
  <si>
    <t>90040C</t>
  </si>
  <si>
    <t>MURANO STYLE GLASS BRACELET GOLD</t>
  </si>
  <si>
    <t>20759</t>
  </si>
  <si>
    <t xml:space="preserve">CHRYSANTHEMUM POCKET BOOK </t>
  </si>
  <si>
    <t>90040A</t>
  </si>
  <si>
    <t>MURANO STYLE GLASS BRACELET RED</t>
  </si>
  <si>
    <t>20793</t>
  </si>
  <si>
    <t>BLUE TILED TRAY</t>
  </si>
  <si>
    <t>79323B</t>
  </si>
  <si>
    <t>BLACK CHERRY LIGHTS</t>
  </si>
  <si>
    <t>SPACEBOY MINI RUCKSACK</t>
  </si>
  <si>
    <t>84251C</t>
  </si>
  <si>
    <t>GREETING CARD, TWO SISTERS.</t>
  </si>
  <si>
    <t>90012A</t>
  </si>
  <si>
    <t>MIDNIGHT BLUE DROP CRYSTAL NECKLACE</t>
  </si>
  <si>
    <t>90035A</t>
  </si>
  <si>
    <t>PEARL &amp; SHELL 42"NECKL. GREEN</t>
  </si>
  <si>
    <t>20851</t>
  </si>
  <si>
    <t xml:space="preserve">ZINC HEART LATTICE TRAY OVAL </t>
  </si>
  <si>
    <t>47586A</t>
  </si>
  <si>
    <t>20697</t>
  </si>
  <si>
    <t>LITTLE GREEN MONSTER SOFT TOY</t>
  </si>
  <si>
    <t>20756</t>
  </si>
  <si>
    <t>GREEN FERN POCKET BOOK</t>
  </si>
  <si>
    <t>90123B</t>
  </si>
  <si>
    <t>TURQUOISE HEART OF GLASS BRACELET</t>
  </si>
  <si>
    <t>90211B</t>
  </si>
  <si>
    <t>JET BLACK LAS VEGAS NECKLACE 45CM</t>
  </si>
  <si>
    <t>90214E</t>
  </si>
  <si>
    <t>LETTER "E" BLING KEY RING</t>
  </si>
  <si>
    <t>20857</t>
  </si>
  <si>
    <t>BLUE ROSE PATCH PURSE PINK BUTTERFL</t>
  </si>
  <si>
    <t>90163B</t>
  </si>
  <si>
    <t>WHITE ROSEBUD &amp; PEARL NECKLACE</t>
  </si>
  <si>
    <t>90168</t>
  </si>
  <si>
    <t>2 DAISIES HAIR COMB</t>
  </si>
  <si>
    <t>90176D</t>
  </si>
  <si>
    <t>DIAMANTE NECKLACE PURPLE</t>
  </si>
  <si>
    <t>84842</t>
  </si>
  <si>
    <t>HELLO SAILOR BATHROOM SET</t>
  </si>
  <si>
    <t>84805B</t>
  </si>
  <si>
    <t>BLUE CLIMBING HYDRANGA ART FLOWER</t>
  </si>
  <si>
    <t>90138</t>
  </si>
  <si>
    <t>WHITE/PINK MINI CRYSTALS NECKLACE</t>
  </si>
  <si>
    <t>90141C</t>
  </si>
  <si>
    <t>TURQ PENDANT TRIPLE SHELL NECKLACE</t>
  </si>
  <si>
    <t>84927D</t>
  </si>
  <si>
    <t>LA PALMIERA TILE HOOK</t>
  </si>
  <si>
    <t>35265</t>
  </si>
  <si>
    <t>COLOURFUL FLOWER FRUIT BOWL</t>
  </si>
  <si>
    <t>DOORKNOB CERAMIC IVORY</t>
  </si>
  <si>
    <t>RETO LEAVES MAGNETIC SHOPPING LIST</t>
  </si>
  <si>
    <t>85028S</t>
  </si>
  <si>
    <t>FRENCH CHATEAU SMALL FRUITBOWL</t>
  </si>
  <si>
    <t>90205A</t>
  </si>
  <si>
    <t>LARGE MINT DIAMANTE HAIRSLIDE</t>
  </si>
  <si>
    <t>84597B</t>
  </si>
  <si>
    <t xml:space="preserve">RETRO BROWN BALL ASHTRAY </t>
  </si>
  <si>
    <t>20910</t>
  </si>
  <si>
    <t>VINTAGE PHOTO ALBUM PARIS DAYS</t>
  </si>
  <si>
    <t>84534B</t>
  </si>
  <si>
    <t>FAIRY CAKE NOTEBOOK A5 SIZE</t>
  </si>
  <si>
    <t>35916B</t>
  </si>
  <si>
    <t>BLUE FELT HANGING HEART WITH FLOWER</t>
  </si>
  <si>
    <t>17007B</t>
  </si>
  <si>
    <t>S/3 POT POURI CUSHIONS BLUE COLOURS</t>
  </si>
  <si>
    <t>90018C</t>
  </si>
  <si>
    <t>SILVER BLACK ORBIT DROP EARRINGS</t>
  </si>
  <si>
    <t>47348A</t>
  </si>
  <si>
    <t>FUSCHIA VOILE POINTY SHOE DEC</t>
  </si>
  <si>
    <t>44242B</t>
  </si>
  <si>
    <t>PINK FEATHERS CURTAIN</t>
  </si>
  <si>
    <t>90214D</t>
  </si>
  <si>
    <t>LETTER "D" BLING KEY RING</t>
  </si>
  <si>
    <t>90214M</t>
  </si>
  <si>
    <t>LETTER "M" BLING KEY RING</t>
  </si>
  <si>
    <t>90180B</t>
  </si>
  <si>
    <t>PURPLE AMETHYST NECKLACE W TASSEL</t>
  </si>
  <si>
    <t>23603</t>
  </si>
  <si>
    <t>SET 10 CARD KRAFT REINDEER 17084</t>
  </si>
  <si>
    <t>VEGETABLE MAGNETIC  SHOPPING LIST</t>
  </si>
  <si>
    <t>90079</t>
  </si>
  <si>
    <t>VINTAGE ENAMEL &amp; CRYSTAL NECKLACE</t>
  </si>
  <si>
    <t>20667</t>
  </si>
  <si>
    <t>CHERRY BLOSSOM PURSE</t>
  </si>
  <si>
    <t>90202B</t>
  </si>
  <si>
    <t>WHITE ENAMEL FLOWER HAIR TIE</t>
  </si>
  <si>
    <t>90142D</t>
  </si>
  <si>
    <t>MOP PENDANT SHELL NECKLACE</t>
  </si>
  <si>
    <t>90157</t>
  </si>
  <si>
    <t>RIVIERA NECKLACE</t>
  </si>
  <si>
    <t>CORDIAL JUG</t>
  </si>
  <si>
    <t>21816</t>
  </si>
  <si>
    <t>CHRISTMAS TREE T-LIGHT HOLDER</t>
  </si>
  <si>
    <t>21089</t>
  </si>
  <si>
    <t>SET/6 GREEN SPRING PAPER CUPS</t>
  </si>
  <si>
    <t>90038B</t>
  </si>
  <si>
    <t>GLASS AND PAINTED BEADS BRACELET OL</t>
  </si>
  <si>
    <t>84497</t>
  </si>
  <si>
    <t xml:space="preserve">BUTTONS AND STRIPES NOTEBOOK </t>
  </si>
  <si>
    <t>90002D</t>
  </si>
  <si>
    <t>FLOWER BURST SILVER RING CRYSTAL</t>
  </si>
  <si>
    <t>21720</t>
  </si>
  <si>
    <t>CAKE SHOP  STICKER SHEET</t>
  </si>
  <si>
    <t>DCGS0076</t>
  </si>
  <si>
    <t>SUNJAR LED NIGHT NIGHT LIGHT</t>
  </si>
  <si>
    <t>84559a</t>
  </si>
  <si>
    <t>84510E</t>
  </si>
  <si>
    <t>SET OF 4 GREEN CAROUSEL COASTERS</t>
  </si>
  <si>
    <t>90205C</t>
  </si>
  <si>
    <t>LARGE CRYSTAL DIAMANTE HAIRSLIDE</t>
  </si>
  <si>
    <t>84402B</t>
  </si>
  <si>
    <t>PURPLE DRESS JEWELLERY STAND</t>
  </si>
  <si>
    <t>90125B</t>
  </si>
  <si>
    <t>AQUA BERTIE GLASS BEAD BAG CHARM</t>
  </si>
  <si>
    <t>90169</t>
  </si>
  <si>
    <t>DAISY HAIR COMB</t>
  </si>
  <si>
    <t>90036A</t>
  </si>
  <si>
    <t>FLOWER GARLAND NECKLACE RED</t>
  </si>
  <si>
    <t xml:space="preserve">WALL ART , LOVES' SECRET </t>
  </si>
  <si>
    <t>90165B</t>
  </si>
  <si>
    <t>WHITE ROSEBUD  PEARL EARRINGS</t>
  </si>
  <si>
    <t>17084J</t>
  </si>
  <si>
    <t>LOVE POTION MASALA INCENSE</t>
  </si>
  <si>
    <t>84086B</t>
  </si>
  <si>
    <t>YELLOW/BLUE RETRO RADIO</t>
  </si>
  <si>
    <t>84706F</t>
  </si>
  <si>
    <t>RED PEONY TABLE CLOCK</t>
  </si>
  <si>
    <t>84715</t>
  </si>
  <si>
    <t>SET OF 6 ICE CREAM SKITTLES</t>
  </si>
  <si>
    <t>84750A</t>
  </si>
  <si>
    <t>PINK SMALL GLASS CAKE STAND</t>
  </si>
  <si>
    <t>84857B</t>
  </si>
  <si>
    <t>BLUE MONTE CARLO HANDBAG</t>
  </si>
  <si>
    <t>90190A</t>
  </si>
  <si>
    <t>SILVER/CRYSTAL DROP EARRINGS W LEAF</t>
  </si>
  <si>
    <t>21392</t>
  </si>
  <si>
    <t>RED POLKADOT PUDDING BOWL</t>
  </si>
  <si>
    <t>WHITE WIRE PLANT POT HOLDER</t>
  </si>
  <si>
    <t>84801B</t>
  </si>
  <si>
    <t>WHITE HYDRANGEA ART FLOWER</t>
  </si>
  <si>
    <t>PAPER LANTERN 5 POINT STUDDED STAR</t>
  </si>
  <si>
    <t>85031A</t>
  </si>
  <si>
    <t>ROMANTIC IMAGES SCRAP BOOK SET</t>
  </si>
  <si>
    <t>90012B</t>
  </si>
  <si>
    <t>BLACK DROP CRYSTAL NECKLACE</t>
  </si>
  <si>
    <t>90064B</t>
  </si>
  <si>
    <t>BLACK VINTAGE  CRYSTAL EARRINGS</t>
  </si>
  <si>
    <t>23625</t>
  </si>
  <si>
    <t>SET 6 CARDS SPARKLY REINDEER 17262</t>
  </si>
  <si>
    <t>90141B</t>
  </si>
  <si>
    <t>IVORY PENDANT TRIPLE SHELL NECKLACE</t>
  </si>
  <si>
    <t>PINK BUTTERFLY CUSHION COVER</t>
  </si>
  <si>
    <t>85185D</t>
  </si>
  <si>
    <t>FROG SOCK PUPPET</t>
  </si>
  <si>
    <t>20670</t>
  </si>
  <si>
    <t>VIP HOLIDAY PURSE</t>
  </si>
  <si>
    <t>47344B</t>
  </si>
  <si>
    <t>BLUE FLOWER DES PURSE</t>
  </si>
  <si>
    <t>79063C</t>
  </si>
  <si>
    <t>RETRO PILL BOX KEY CHAIN,THE KING</t>
  </si>
  <si>
    <t>90056</t>
  </si>
  <si>
    <t>CHUNKY CRACKED GLAZE NECKLACE IVORY</t>
  </si>
  <si>
    <t>20698</t>
  </si>
  <si>
    <t>LITTLE PINK MONSTER SOFT TOY</t>
  </si>
  <si>
    <t>46138B</t>
  </si>
  <si>
    <t xml:space="preserve">BLUE CHENILLE SHAGGY CUSHION COVER </t>
  </si>
  <si>
    <t>37444C</t>
  </si>
  <si>
    <t xml:space="preserve">PINK BREAKFAST CUP AND SAUCER </t>
  </si>
  <si>
    <t>23038</t>
  </si>
  <si>
    <t>T-LIGHT HOLDER SILVER SAUCER</t>
  </si>
  <si>
    <t>84539</t>
  </si>
  <si>
    <t xml:space="preserve">KNITTED RABBIT DOLL </t>
  </si>
  <si>
    <t>22987</t>
  </si>
  <si>
    <t>WRAP SUMMER ROSE DESIGN</t>
  </si>
  <si>
    <t>20818</t>
  </si>
  <si>
    <t>GOLD TEDDY BEAR</t>
  </si>
  <si>
    <t>16254</t>
  </si>
  <si>
    <t>TRANSPARENT ACRYLIC TAPE DISPENSER</t>
  </si>
  <si>
    <t>84922</t>
  </si>
  <si>
    <t>PINK BUTTERFLY WASHBAG</t>
  </si>
  <si>
    <t>90029</t>
  </si>
  <si>
    <t>NEW BAROQUE SMALL NECKLACE BLACK</t>
  </si>
  <si>
    <t>90024F</t>
  </si>
  <si>
    <t>NEW BAROQUE B'FLY NECKLACE CRYSTAL</t>
  </si>
  <si>
    <t>47570b</t>
  </si>
  <si>
    <t>WRAP, CAROUSEL</t>
  </si>
  <si>
    <t xml:space="preserve">WRAP  VINTAGE DOILEY </t>
  </si>
  <si>
    <t>17084A</t>
  </si>
  <si>
    <t>TRANQUILITY MASALA INCENSE</t>
  </si>
  <si>
    <t>90120D</t>
  </si>
  <si>
    <t>WHITE MURANO TWIST BRACELET</t>
  </si>
  <si>
    <t>20666</t>
  </si>
  <si>
    <t>ECONOMY HOLIDAY PURSE</t>
  </si>
  <si>
    <t>PAPER LANTERN 5 POINT STAR MOON 30</t>
  </si>
  <si>
    <t>15030</t>
  </si>
  <si>
    <t xml:space="preserve">FAN BLACK FRAME </t>
  </si>
  <si>
    <t>90059D</t>
  </si>
  <si>
    <t>DIAMANTE HAIR GRIP PACK/2 PERIDOT</t>
  </si>
  <si>
    <t>72807c</t>
  </si>
  <si>
    <t>90059E</t>
  </si>
  <si>
    <t>DIAMANTE HAIR GRIP PACK/2 RUBY</t>
  </si>
  <si>
    <t>90039B</t>
  </si>
  <si>
    <t>FIRE POLISHED GLASS BRACELET MONTAN</t>
  </si>
  <si>
    <t>85089</t>
  </si>
  <si>
    <t>CANDY SPOT BUNNY</t>
  </si>
  <si>
    <t>90162C</t>
  </si>
  <si>
    <t>ANT SILVER FUSCHIA BOUDICCA RING</t>
  </si>
  <si>
    <t>84921</t>
  </si>
  <si>
    <t xml:space="preserve">CREAM AND PINK FLOWERS PONY </t>
  </si>
  <si>
    <t>23448</t>
  </si>
  <si>
    <t>CREAM BUNNY EASTER EGG BASKET</t>
  </si>
  <si>
    <t>75013B</t>
  </si>
  <si>
    <t>STRING OF 8 BUTTERFLIES,PINK</t>
  </si>
  <si>
    <t>90067A</t>
  </si>
  <si>
    <t>PINK VINTAGE VICTORIAN EARRINGS</t>
  </si>
  <si>
    <t>90177E</t>
  </si>
  <si>
    <t>DROP DIAMANTE EARRINGS GREEN</t>
  </si>
  <si>
    <t>90177B</t>
  </si>
  <si>
    <t>DROP DIAMANTE EARRINGS BLACK DIAMON</t>
  </si>
  <si>
    <t>90182C</t>
  </si>
  <si>
    <t>BLACK 3 BEAD DROP EARRINGS</t>
  </si>
  <si>
    <t>90130C</t>
  </si>
  <si>
    <t>GREEN STONE/CRYSTAL EARRINGS</t>
  </si>
  <si>
    <t>90177A</t>
  </si>
  <si>
    <t>CLASSIC DIAMANTE EARRINGS JET</t>
  </si>
  <si>
    <t>MINITURE ANTIQUE ROSE HOOK IVORY</t>
  </si>
  <si>
    <t>10120</t>
  </si>
  <si>
    <t>DOGGY RUBBER</t>
  </si>
  <si>
    <t>71495A</t>
  </si>
  <si>
    <t>CD WALL TIDY BLUE OFFICE</t>
  </si>
  <si>
    <t>90214G</t>
  </si>
  <si>
    <t>LETTER "G" BLING KEY RING</t>
  </si>
  <si>
    <t>85092</t>
  </si>
  <si>
    <t>CANDY SPOT TEA COSY</t>
  </si>
  <si>
    <t>90187B</t>
  </si>
  <si>
    <t>GREEN DROP EARRINGS W BEAD CLUSTER</t>
  </si>
  <si>
    <t>90165A</t>
  </si>
  <si>
    <t>PINK ROSEBUD PEARL EARRINGS</t>
  </si>
  <si>
    <t>72369A</t>
  </si>
  <si>
    <t>PINK CLEAR GLASS CANDLE PLATE</t>
  </si>
  <si>
    <t>ROCOCO WALL MIROR</t>
  </si>
  <si>
    <t>90135</t>
  </si>
  <si>
    <t>ORANGE/WHT/FUSCHIA STONES NECKLACE</t>
  </si>
  <si>
    <t>84725</t>
  </si>
  <si>
    <t>FREESTYLE CANVAS ART PICTURE</t>
  </si>
  <si>
    <t>CHILDRENS SPACEBOY MUG</t>
  </si>
  <si>
    <t>84596f</t>
  </si>
  <si>
    <t>84575A</t>
  </si>
  <si>
    <t>PINK DOG CANNISTER</t>
  </si>
  <si>
    <t>21307</t>
  </si>
  <si>
    <t>SET/4 BUTTERFLY MIRROR MAGNETS</t>
  </si>
  <si>
    <t>35910A</t>
  </si>
  <si>
    <t xml:space="preserve">MULTICOLOUR EASTER RABBIT </t>
  </si>
  <si>
    <t>47341A</t>
  </si>
  <si>
    <t xml:space="preserve">FUSCHIA TABLE RUN FLOWER </t>
  </si>
  <si>
    <t>90064A</t>
  </si>
  <si>
    <t>WHITE VINTAGE CRYSTAL EARRINGS</t>
  </si>
  <si>
    <t>84751B</t>
  </si>
  <si>
    <t>BLACK MEDIUM GLASS CAKE STAND</t>
  </si>
  <si>
    <t>21393</t>
  </si>
  <si>
    <t>BLUE POLKADOT PUDDING BOWL</t>
  </si>
  <si>
    <t>47420</t>
  </si>
  <si>
    <t>ASSORTED COLOUR SUCTION CUP HOOK</t>
  </si>
  <si>
    <t>84559b</t>
  </si>
  <si>
    <t>84746</t>
  </si>
  <si>
    <t>PINK EASTER HENS+FLOWER</t>
  </si>
  <si>
    <t>84925D</t>
  </si>
  <si>
    <t>LA PALMIERA WALL THERMOMETER</t>
  </si>
  <si>
    <t>84617</t>
  </si>
  <si>
    <t>NEW BAROQUE BLACK BOXES</t>
  </si>
  <si>
    <t>90190B</t>
  </si>
  <si>
    <t>GOLD/AMBER DROP EARRINGS W LEAF</t>
  </si>
  <si>
    <t>81952B</t>
  </si>
  <si>
    <t>ROUND BLUE CLOCK WITH SUCKER</t>
  </si>
  <si>
    <t>84033</t>
  </si>
  <si>
    <t xml:space="preserve">FLAG OF ST GEORGE </t>
  </si>
  <si>
    <t>84809B</t>
  </si>
  <si>
    <t>PINK CHRYSANTHEMUMS ART FLOWER</t>
  </si>
  <si>
    <t>90075</t>
  </si>
  <si>
    <t>MONTANA DIAMOND CLUSTER NECKLACE</t>
  </si>
  <si>
    <t>90199D</t>
  </si>
  <si>
    <t>5 STRAND GLASS NECKLACE AMBER</t>
  </si>
  <si>
    <t>90212B</t>
  </si>
  <si>
    <t>JET BLACK LAS VEGAS BRACELET ROUND</t>
  </si>
  <si>
    <t>79191D</t>
  </si>
  <si>
    <t>PAPER LANTERN 9 POINT HOLLY STAR 40</t>
  </si>
  <si>
    <t>72709</t>
  </si>
  <si>
    <t xml:space="preserve">IVORY SCULPTED RND CANDLE </t>
  </si>
  <si>
    <t>35809a</t>
  </si>
  <si>
    <t>84509b</t>
  </si>
  <si>
    <t>90074</t>
  </si>
  <si>
    <t>BLACK DIAMOND CLUSTER NECKLACE</t>
  </si>
  <si>
    <t>HOT WATER BOTTLE BABUSHKA LARGE</t>
  </si>
  <si>
    <t>MONEY BOX FIRST AID DESIGN</t>
  </si>
  <si>
    <t>90214H</t>
  </si>
  <si>
    <t>LETTER "H" BLING KEY RING</t>
  </si>
  <si>
    <t>90085</t>
  </si>
  <si>
    <t>CRYSTAL STILETTO PHONE CHARM</t>
  </si>
  <si>
    <t>84522</t>
  </si>
  <si>
    <t>PINK PARTY SUNGLASSES</t>
  </si>
  <si>
    <t>71510</t>
  </si>
  <si>
    <t>SQUARE METAL CANDLEHOLDER BASE</t>
  </si>
  <si>
    <t>35913B</t>
  </si>
  <si>
    <t>WHITE/PINK CHICK EASTER DECORATION</t>
  </si>
  <si>
    <t>84548</t>
  </si>
  <si>
    <t>CROCHET BEAR RED/BLUE  KEYRING</t>
  </si>
  <si>
    <t>17090D</t>
  </si>
  <si>
    <t>VANILLA INCENSE 40 CONES IN TIN</t>
  </si>
  <si>
    <t>84226</t>
  </si>
  <si>
    <t>HEN HOUSE W FAMILY IN BARN &amp; NEST</t>
  </si>
  <si>
    <t>85216</t>
  </si>
  <si>
    <t>ASSORTED CAKES FRIDGE MAGNETS</t>
  </si>
  <si>
    <t>90094</t>
  </si>
  <si>
    <t xml:space="preserve">NECKLACE+BRACELET SET FRUIT SALAD </t>
  </si>
  <si>
    <t>90179C</t>
  </si>
  <si>
    <t>BLACK FINE BEAD NECKLACE W TASSEL</t>
  </si>
  <si>
    <t>79063D</t>
  </si>
  <si>
    <t>RETRO PILL BOX , REVOLUTIONARY</t>
  </si>
  <si>
    <t>90123D</t>
  </si>
  <si>
    <t>WHITE HEART OF GLASS BRACELET</t>
  </si>
  <si>
    <t>90179A</t>
  </si>
  <si>
    <t>AMBER FINE BEAD NECKLACE W TASSEL</t>
  </si>
  <si>
    <t>90011B</t>
  </si>
  <si>
    <t>BLACK CRYSTAL DROP EARRINGS</t>
  </si>
  <si>
    <t>90060F</t>
  </si>
  <si>
    <t>FIRE POLISHED GLASS NECKL GREEN</t>
  </si>
  <si>
    <t>90186A</t>
  </si>
  <si>
    <t>AMETHYST HOOP EARRING FLORAL LEAF</t>
  </si>
  <si>
    <t>90131</t>
  </si>
  <si>
    <t>PINK/AMETHYST/GOLD NECKLACE</t>
  </si>
  <si>
    <t>LEAVES MAGNETIC  SHOPPING LIST</t>
  </si>
  <si>
    <t>90049</t>
  </si>
  <si>
    <t>IVORY GOLD METAL BAG CHARM</t>
  </si>
  <si>
    <t>90059F</t>
  </si>
  <si>
    <t>DIAMANTE HAIR GRIP PACK/2 LT ROSE</t>
  </si>
  <si>
    <t>20827</t>
  </si>
  <si>
    <t>GOLD APERITIF GLASS</t>
  </si>
  <si>
    <t>79406</t>
  </si>
  <si>
    <t>81950B</t>
  </si>
  <si>
    <t>FLOWER BLUE CLOCK WITH SUCKER</t>
  </si>
  <si>
    <t>84873A</t>
  </si>
  <si>
    <t>FUNKY FLOWER PICNIC BAG FOR 4</t>
  </si>
  <si>
    <t>90026C</t>
  </si>
  <si>
    <t>GLASS BEAD HOOP NECKLACE GREEN</t>
  </si>
  <si>
    <t>90024C</t>
  </si>
  <si>
    <t>NEW BAROQUE B'FLY NECKLACE GREEN</t>
  </si>
  <si>
    <t>17136A</t>
  </si>
  <si>
    <t>BLUE STONES ON WIRE FOR CANDLE</t>
  </si>
  <si>
    <t>90038C</t>
  </si>
  <si>
    <t>GLASS AND BEADS BRACELET IVORY</t>
  </si>
  <si>
    <t>72783</t>
  </si>
  <si>
    <t xml:space="preserve">BLACK SIL'T SQU CANDLE PLATE </t>
  </si>
  <si>
    <t>90129D</t>
  </si>
  <si>
    <t>AMBER GLASS TASSLE BAG CHARM</t>
  </si>
  <si>
    <t>DOLLY GIRL MINI RUCKSACK</t>
  </si>
  <si>
    <t>37423</t>
  </si>
  <si>
    <t>WHITE WITH BLACK CATS PLATE</t>
  </si>
  <si>
    <t>72807b</t>
  </si>
  <si>
    <t>35610C</t>
  </si>
  <si>
    <t xml:space="preserve">WHITE CHRISTMAS FLOCK DROPLET </t>
  </si>
  <si>
    <t>37468</t>
  </si>
  <si>
    <t>HARDMAN MUG 3 ASSORTED</t>
  </si>
  <si>
    <t>17109D</t>
  </si>
  <si>
    <t>FLOWER FAIRY INCENSE BOUQUET</t>
  </si>
  <si>
    <t>84824</t>
  </si>
  <si>
    <t>DANISH ROSE UMBRELLA STAND</t>
  </si>
  <si>
    <t>90036B</t>
  </si>
  <si>
    <t>FLOWER GLASS GARLAND NECKL.36"GREEN</t>
  </si>
  <si>
    <t>20878</t>
  </si>
  <si>
    <t xml:space="preserve">SET/9 CHRISTMAS T-LIGHTS SCENTED </t>
  </si>
  <si>
    <t>23632</t>
  </si>
  <si>
    <t>SET 10 CARDS CHEERFUL ROBIN 17065</t>
  </si>
  <si>
    <t>SET 12 COLOUR PENCILS DOILEY</t>
  </si>
  <si>
    <t>BAKING MOULD CHOCOLATE CUP CAKES</t>
  </si>
  <si>
    <t>BAKING MOULD CUPCAKE CHOCOLATE</t>
  </si>
  <si>
    <t>44228</t>
  </si>
  <si>
    <t>CANNABIS LEAF BEAD CURTAIN</t>
  </si>
  <si>
    <t>85018D</t>
  </si>
  <si>
    <t>YULETIDE IMAGES S/6 PAPER BOXES</t>
  </si>
  <si>
    <t>37471</t>
  </si>
  <si>
    <t>MULTICOLOUR POLKADOT PLATE</t>
  </si>
  <si>
    <t>90176B</t>
  </si>
  <si>
    <t xml:space="preserve">DIAMANTE NECKLACE BLACK </t>
  </si>
  <si>
    <t>ENAMEL JUG PANTRY</t>
  </si>
  <si>
    <t>ENAMEL BOWL PANTRY</t>
  </si>
  <si>
    <t>BIRTHDAY BANNER TAPE</t>
  </si>
  <si>
    <t>35610B</t>
  </si>
  <si>
    <t xml:space="preserve">BLACK CHRISTMAS FLOCK DROPLET </t>
  </si>
  <si>
    <t>BUTTERFLY CUSHION COVER</t>
  </si>
  <si>
    <t>GIFT BAG LARGE 50'S CHRISTMAS</t>
  </si>
  <si>
    <t>90195B</t>
  </si>
  <si>
    <t>BLACK GEMSTONE BRACELET</t>
  </si>
  <si>
    <t>90176E</t>
  </si>
  <si>
    <t>DIAMANTE NECKLACE GREEN</t>
  </si>
  <si>
    <t>90039A</t>
  </si>
  <si>
    <t>FIRE POLISHED GLASS BRACELET RED</t>
  </si>
  <si>
    <t>21310</t>
  </si>
  <si>
    <t>CAPIZ CHANDELIER</t>
  </si>
  <si>
    <t>90122B</t>
  </si>
  <si>
    <t>JADE CRYSTAL+GLASS BRACELET</t>
  </si>
  <si>
    <t>21667</t>
  </si>
  <si>
    <t>GLASS CAKE COVER AND PLATE</t>
  </si>
  <si>
    <t>90014C</t>
  </si>
  <si>
    <t>SILVER/BLACK ORBIT NECKLACE</t>
  </si>
  <si>
    <t>90136</t>
  </si>
  <si>
    <t>PALE PINK/AMETHYST STONE NECKLACE</t>
  </si>
  <si>
    <t>84660a</t>
  </si>
  <si>
    <t>90159</t>
  </si>
  <si>
    <t>COTE D'AZURE NECKLACE</t>
  </si>
  <si>
    <t>90120A</t>
  </si>
  <si>
    <t>PINK MURANO TWIST BRACELET</t>
  </si>
  <si>
    <t>90001D</t>
  </si>
  <si>
    <t>ANTIQUE OLIVE GREEN FLOWER EARRINGS</t>
  </si>
  <si>
    <t>21757</t>
  </si>
  <si>
    <t>LIGHTHOUSE PRINTED METAL SIGN</t>
  </si>
  <si>
    <t xml:space="preserve">WALL ART,ONLY ONE PERSON </t>
  </si>
  <si>
    <t>21040</t>
  </si>
  <si>
    <t>MODERN VINTAGE COTTON SHOPPING BAG</t>
  </si>
  <si>
    <t>35816P</t>
  </si>
  <si>
    <t>ACRYLIC JEWEL ANGEL,PINK</t>
  </si>
  <si>
    <t>90214I</t>
  </si>
  <si>
    <t>LETTER "I" BLING KEY RING</t>
  </si>
  <si>
    <t>84706D</t>
  </si>
  <si>
    <t xml:space="preserve">CHERRY BLOSSOM TABLE CLOCK </t>
  </si>
  <si>
    <t>90162D</t>
  </si>
  <si>
    <t>ANT SILVER PURPLE BOUDICCA RING</t>
  </si>
  <si>
    <t>84465</t>
  </si>
  <si>
    <t>15 PINK FLUFFY CHICKS IN BOX</t>
  </si>
  <si>
    <t>82605</t>
  </si>
  <si>
    <t>OLD DOC RUSSEL METAL SIGN</t>
  </si>
  <si>
    <t>84558a</t>
  </si>
  <si>
    <t>85030</t>
  </si>
  <si>
    <t>FRENCH CHATEAU OVAL PLATTER</t>
  </si>
  <si>
    <t>90214N</t>
  </si>
  <si>
    <t>LETTER "N" BLING KEY RING</t>
  </si>
  <si>
    <t>84199</t>
  </si>
  <si>
    <t>GLOW IN DARK DOLPHINS</t>
  </si>
  <si>
    <t>21011</t>
  </si>
  <si>
    <t>GLITTER SNOW PEAR TREE DECORATION</t>
  </si>
  <si>
    <t>46776f</t>
  </si>
  <si>
    <t>90152A</t>
  </si>
  <si>
    <t>SILVER/NAT SHELL NECKLACE W PENDANT</t>
  </si>
  <si>
    <t>84803B</t>
  </si>
  <si>
    <t>WHITE ALLIUM  ARTIFICIAL FLOWER</t>
  </si>
  <si>
    <t>90093</t>
  </si>
  <si>
    <t>CLEAR CRYSTAL STAR PHONE CHARM</t>
  </si>
  <si>
    <t>90027D</t>
  </si>
  <si>
    <t>GLASS BEAD HOOP EARRINGS AMETHYST</t>
  </si>
  <si>
    <t>17165D</t>
  </si>
  <si>
    <t>ASS COL LARGE SAND FROG P'WEIGHT</t>
  </si>
  <si>
    <t>PACK OF 12 DOILEY TISSUES</t>
  </si>
  <si>
    <t>84798B</t>
  </si>
  <si>
    <t>PURPLE FOXGLOVE ARTIIFCIAL FLOWER</t>
  </si>
  <si>
    <t>90005A</t>
  </si>
  <si>
    <t>JADE GREEN ENAMEL HAIR COMB</t>
  </si>
  <si>
    <t>90214R</t>
  </si>
  <si>
    <t>LETTER "R" BLING KEY RING</t>
  </si>
  <si>
    <t>84613A</t>
  </si>
  <si>
    <t>PINK NEW BAROQUE FLOCK CANDLESTICK</t>
  </si>
  <si>
    <t>79066k</t>
  </si>
  <si>
    <t>23637</t>
  </si>
  <si>
    <t>SET 10 CARDS OUT OF ORDER 17216</t>
  </si>
  <si>
    <t>23613</t>
  </si>
  <si>
    <t>SET 10 XMAS CARDS &amp; BADGES 17070</t>
  </si>
  <si>
    <t xml:space="preserve">ASSORTED COLOURED CIRCLE MOBILE </t>
  </si>
  <si>
    <t>85126</t>
  </si>
  <si>
    <t>LARGE ROUND CUTGLASS CANDLESTICK</t>
  </si>
  <si>
    <t>85017C</t>
  </si>
  <si>
    <t>ENVELOPE 50 CURIOUS IMAGES</t>
  </si>
  <si>
    <t>23702</t>
  </si>
  <si>
    <t>High Resolution Image</t>
  </si>
  <si>
    <t>79323P</t>
  </si>
  <si>
    <t>PINK CHERRY LIGHTS</t>
  </si>
  <si>
    <t>84993a</t>
  </si>
  <si>
    <t>35598A</t>
  </si>
  <si>
    <t>DUSTY PINK CHRISTMAS TREE 60CM</t>
  </si>
  <si>
    <t>84675</t>
  </si>
  <si>
    <t>FROG KING WATERING CAN</t>
  </si>
  <si>
    <t>90059B</t>
  </si>
  <si>
    <t>DIAMANTE HAIR GRIP PACK/2 BLACK DIA</t>
  </si>
  <si>
    <t>21836</t>
  </si>
  <si>
    <t xml:space="preserve">GINGHAM OVEN GLOVE RED HEART </t>
  </si>
  <si>
    <t>72140E</t>
  </si>
  <si>
    <t>BEST DAD CANDLE LETTERS</t>
  </si>
  <si>
    <t>90212C</t>
  </si>
  <si>
    <t>PURPLE LAS VEGAS BRACELET ROUND</t>
  </si>
  <si>
    <t>23636</t>
  </si>
  <si>
    <t>SET 10 CARDS WISHING TREE 17116</t>
  </si>
  <si>
    <t>90183C</t>
  </si>
  <si>
    <t>BLACK DROP EARRINGS W LONG BEADS</t>
  </si>
  <si>
    <t>BLUE FELT HANGING HEART W FLOWER</t>
  </si>
  <si>
    <t>21461</t>
  </si>
  <si>
    <t>BLUE EASTER EGG HUNT START POST</t>
  </si>
  <si>
    <t>90026D</t>
  </si>
  <si>
    <t>GLASS BEAD HOOP NECKLACE AMETHYST</t>
  </si>
  <si>
    <t>84968B</t>
  </si>
  <si>
    <t>SET OF 16 VINTAGE IVORY CUTLERY</t>
  </si>
  <si>
    <t>84968f</t>
  </si>
  <si>
    <t>35910B</t>
  </si>
  <si>
    <t>PINK FLOWERS RABBIT EASTER</t>
  </si>
  <si>
    <t>90026B</t>
  </si>
  <si>
    <t>GLASS BEAD HOOP NECKLACE MONTANA</t>
  </si>
  <si>
    <t>90037B</t>
  </si>
  <si>
    <t>TINY CRYSTAL BRACELET GREEN</t>
  </si>
  <si>
    <t>90013D</t>
  </si>
  <si>
    <t>PURPLE VINTAGE EARRINGS</t>
  </si>
  <si>
    <t>90188</t>
  </si>
  <si>
    <t>DROP EARRINGS W FLOWER &amp; LEAF</t>
  </si>
  <si>
    <t>84596e</t>
  </si>
  <si>
    <t>90033</t>
  </si>
  <si>
    <t>IVORY SHELL HEART EARRINGS</t>
  </si>
  <si>
    <t xml:space="preserve">IVORY PANTRY HANGING LAMP </t>
  </si>
  <si>
    <t>LADLE LOVE HEART PINK</t>
  </si>
  <si>
    <t>BELL HEART ANTIQUE GOLD</t>
  </si>
  <si>
    <t>90016C</t>
  </si>
  <si>
    <t>SILVER/BLACK PENDANT ORBIT NECKLACE</t>
  </si>
  <si>
    <t>23620</t>
  </si>
  <si>
    <t>SET 10 CARDS PERFECT POST 17090</t>
  </si>
  <si>
    <t xml:space="preserve">SET OF 4 KNICK KNACK TINS  DOILEY </t>
  </si>
  <si>
    <t>85115B</t>
  </si>
  <si>
    <t>S/4 BLACK DISCO PARTITION PANEL</t>
  </si>
  <si>
    <t>85132c</t>
  </si>
  <si>
    <t>15060b</t>
  </si>
  <si>
    <t>85034a</t>
  </si>
  <si>
    <t>90043</t>
  </si>
  <si>
    <t>COPPER AND BRASS BAG CHARM</t>
  </si>
  <si>
    <t>90059C</t>
  </si>
  <si>
    <t>DIAMANTE HAIR GRIP PACK/2 MONTANA</t>
  </si>
  <si>
    <t>90214B</t>
  </si>
  <si>
    <t>LETTER "B" BLING KEY RING</t>
  </si>
  <si>
    <t>84854</t>
  </si>
  <si>
    <t>GIRLY PINK TOOL SET</t>
  </si>
  <si>
    <t>90141E</t>
  </si>
  <si>
    <t>ORANGE PENDANT TRIPLE SHELL NECKLAC</t>
  </si>
  <si>
    <t>20820</t>
  </si>
  <si>
    <t>SILVER LOOKING MIRROR</t>
  </si>
  <si>
    <t>20778</t>
  </si>
  <si>
    <t xml:space="preserve">GARDEN PATH NOTEBOOK </t>
  </si>
  <si>
    <t>84993B</t>
  </si>
  <si>
    <t>75 BLACK PETIT FOUR CASES</t>
  </si>
  <si>
    <t>90076</t>
  </si>
  <si>
    <t>MONTANA DIAMOND CLUSTER EARRINGS</t>
  </si>
  <si>
    <t>84562A</t>
  </si>
  <si>
    <t>PINK/WHITE RIBBED MELAMINE JUG</t>
  </si>
  <si>
    <t>47503J</t>
  </si>
  <si>
    <t>SET/3 FLORAL GARDEN TOOLS IN BAG</t>
  </si>
  <si>
    <t>21357</t>
  </si>
  <si>
    <t>TOAST ITS - DINOSAUR</t>
  </si>
  <si>
    <t>35909A</t>
  </si>
  <si>
    <t>RABBIT EASTER DECORATION</t>
  </si>
  <si>
    <t>35909B</t>
  </si>
  <si>
    <t>90083</t>
  </si>
  <si>
    <t>CRYSTAL CZECH CROSS PHONE CHARM</t>
  </si>
  <si>
    <t>CANNISTER VINTAGE LEAF DESIGN</t>
  </si>
  <si>
    <t>GARLAND, MAGIC GARDEN 1.8M</t>
  </si>
  <si>
    <t>90176C</t>
  </si>
  <si>
    <t>DIAMANTE NECKLACE</t>
  </si>
  <si>
    <t>23623</t>
  </si>
  <si>
    <t>SET 10 CARD CHRISTMAS WELCOME 17112</t>
  </si>
  <si>
    <t>90182A</t>
  </si>
  <si>
    <t>AMBER 3 BEAD DROP EARRINGS</t>
  </si>
  <si>
    <t>90104</t>
  </si>
  <si>
    <t>PURPLE FRANGIPANI HAIRCLIP</t>
  </si>
  <si>
    <t xml:space="preserve">STORAGE TIN VINTAGE DOILEY </t>
  </si>
  <si>
    <t>ZINC PLANT POT HOLDER</t>
  </si>
  <si>
    <t>85195</t>
  </si>
  <si>
    <t>HANGING HEART BASKET</t>
  </si>
  <si>
    <t>85206B</t>
  </si>
  <si>
    <t>PINK FELT EASTER EGG BASKET</t>
  </si>
  <si>
    <t>22351</t>
  </si>
  <si>
    <t>DOTCOMGIFTSHOP TEA TOWEL</t>
  </si>
  <si>
    <t>90214Y</t>
  </si>
  <si>
    <t>LETTER "Y" BLING KEY RING</t>
  </si>
  <si>
    <t>ZINC T-LIGHT HOLDER STARS LARGE</t>
  </si>
  <si>
    <t>90054</t>
  </si>
  <si>
    <t>CRACKED GLAZE EARRINGS RED</t>
  </si>
  <si>
    <t>90176A</t>
  </si>
  <si>
    <t>CLASSIC DIAMANTE NECKLACE JET</t>
  </si>
  <si>
    <t>90039C</t>
  </si>
  <si>
    <t>FIRE POLISHED GLASS BRACELET BLACK</t>
  </si>
  <si>
    <t>23645</t>
  </si>
  <si>
    <t>SET 10 CHRISTMAS CARDS HOHOHO 16956</t>
  </si>
  <si>
    <t>23640</t>
  </si>
  <si>
    <t>SET 10 CARDS SCOTTIE DOG 17211</t>
  </si>
  <si>
    <t>21018</t>
  </si>
  <si>
    <t>BIRD BOX CHRISTMAS TREE DECORATION</t>
  </si>
  <si>
    <t>90035C</t>
  </si>
  <si>
    <t>PEARL &amp; SHELL 42"NECKL. IVORY</t>
  </si>
  <si>
    <t>84387A</t>
  </si>
  <si>
    <t>BIRD ON BRANCH CANVAS SCREEN</t>
  </si>
  <si>
    <t>84551</t>
  </si>
  <si>
    <t>CROCHET DOG KEYRING</t>
  </si>
  <si>
    <t>20695</t>
  </si>
  <si>
    <t>FLORAL BLUE MONSTER</t>
  </si>
  <si>
    <t>90001B</t>
  </si>
  <si>
    <t>ANTIQUE MID BLUE FLOWER EARRINGS</t>
  </si>
  <si>
    <t>90001C</t>
  </si>
  <si>
    <t>ANTIQUE OPAL WHITE FLOWER EARRINGS</t>
  </si>
  <si>
    <t>90125E</t>
  </si>
  <si>
    <t>AMBER BERTIE GLASS BEAD BAG CHARM</t>
  </si>
  <si>
    <t>16169P</t>
  </si>
  <si>
    <t xml:space="preserve">WRAP GREEN RUSSIAN FOLKART </t>
  </si>
  <si>
    <t>23692</t>
  </si>
  <si>
    <t>WRAP A PRETTY THANK YOU</t>
  </si>
  <si>
    <t>KEEP CALM BIRTHDAY WRAP</t>
  </si>
  <si>
    <t>90001A</t>
  </si>
  <si>
    <t>ANTIQUE RASPBERRY FLOWER EARRINGS</t>
  </si>
  <si>
    <t>17001</t>
  </si>
  <si>
    <t>HEAVENS SCENT FRAGRANCE OILS ASSTD</t>
  </si>
  <si>
    <t xml:space="preserve">WOODLAND MINI RUCKSACK </t>
  </si>
  <si>
    <t>47518f</t>
  </si>
  <si>
    <t>46776a</t>
  </si>
  <si>
    <t>90141D</t>
  </si>
  <si>
    <t>ROSE PENDANT TRIPLE SHELL NECKLACE</t>
  </si>
  <si>
    <t>90214P</t>
  </si>
  <si>
    <t>LETTER "P" BLING KEY RING</t>
  </si>
  <si>
    <t>90034</t>
  </si>
  <si>
    <t>WHITE SILVER NECKLACE SHELL GLASS</t>
  </si>
  <si>
    <t>84415B</t>
  </si>
  <si>
    <t xml:space="preserve">BLUE FLOCK CUSHION COVER </t>
  </si>
  <si>
    <t>23601</t>
  </si>
  <si>
    <t>SET 10 CARDS SNOWY SNOWDROPS  17100</t>
  </si>
  <si>
    <t>23646</t>
  </si>
  <si>
    <t>SET 10 CARDS JINGLE BELLS 16957</t>
  </si>
  <si>
    <t>23616</t>
  </si>
  <si>
    <t>SET 10 CARDS JINGLE BELLS 17217</t>
  </si>
  <si>
    <t>21681</t>
  </si>
  <si>
    <t xml:space="preserve">GIANT MEDINA STAMPED METAL BOWL </t>
  </si>
  <si>
    <t>CAKESTAND, 3 TIER, LOVEHEART</t>
  </si>
  <si>
    <t>37491A</t>
  </si>
  <si>
    <t>YELLOW/PINK CERAMIC CANDLE HOLDER</t>
  </si>
  <si>
    <t>90156</t>
  </si>
  <si>
    <t>RESIN BRACELET W PASTEL BEADS</t>
  </si>
  <si>
    <t>85024C</t>
  </si>
  <si>
    <t>PINK SMALL JEWELLED PHOTOFRAME</t>
  </si>
  <si>
    <t>DOORKNOB CRACKED GLAZE GREEN</t>
  </si>
  <si>
    <t>DOORKNOB CRACKED GLAZE PINK</t>
  </si>
  <si>
    <t>ENAMEL DINNER PLATE PANTRY</t>
  </si>
  <si>
    <t>37487B</t>
  </si>
  <si>
    <t>YELLOW/ORANGE FLOWER DESIGN PLATE</t>
  </si>
  <si>
    <t>85028L</t>
  </si>
  <si>
    <t xml:space="preserve">FRENCH CHATEAU LARGE FRUIT BOWL </t>
  </si>
  <si>
    <t>79062D</t>
  </si>
  <si>
    <t>RETRO TIN ASHTRAY,REVOLUTIONARY</t>
  </si>
  <si>
    <t>85047</t>
  </si>
  <si>
    <t>WHITE BEADED GARLAND STRING 20LIGHT</t>
  </si>
  <si>
    <t>21416</t>
  </si>
  <si>
    <t>CLAM SHELL LARGE</t>
  </si>
  <si>
    <t>21538</t>
  </si>
  <si>
    <t>DAIRY MAID  PUDDING BOWL</t>
  </si>
  <si>
    <t>CRYSTAL CHANDELIER T-LIGHT HOLDER</t>
  </si>
  <si>
    <t>44092C</t>
  </si>
  <si>
    <t>PURPLE/COPPER HANGING LAMPSHADE</t>
  </si>
  <si>
    <t>84856S</t>
  </si>
  <si>
    <t>SMALL TAHITI BEACH BAG</t>
  </si>
  <si>
    <t>90041</t>
  </si>
  <si>
    <t>PEARL AND CHERRY QUARTZ BRACLET</t>
  </si>
  <si>
    <t>35607B</t>
  </si>
  <si>
    <t>BLACK FEATHER CHRISTMAS DECORATION</t>
  </si>
  <si>
    <t>72821</t>
  </si>
  <si>
    <t>CUPID SCENTED CANDLE IN GLASS</t>
  </si>
  <si>
    <t xml:space="preserve"> TOADSTOOL BEDSIDE LIGHT </t>
  </si>
  <si>
    <t>90060D</t>
  </si>
  <si>
    <t>FIRE POLISHED GLASS NECKL BRONZE</t>
  </si>
  <si>
    <t>21661</t>
  </si>
  <si>
    <t>VINTAGE GLASS TEA CADDY</t>
  </si>
  <si>
    <t>84856L</t>
  </si>
  <si>
    <t>LARGE TAHITI BEACH BAG</t>
  </si>
  <si>
    <t xml:space="preserve">LADLE LOVE HEART RED </t>
  </si>
  <si>
    <t>20935</t>
  </si>
  <si>
    <t>ROUND CACTUS CANDLE</t>
  </si>
  <si>
    <t>90162A</t>
  </si>
  <si>
    <t>ANT SILVER TURQUOISE BOUDICCA RING</t>
  </si>
  <si>
    <t>90027A</t>
  </si>
  <si>
    <t>GLASS BEAD HOOP EARRINGS BLACK</t>
  </si>
  <si>
    <t>90179B</t>
  </si>
  <si>
    <t>PURPLE FINE BEAD NECKLACE W TASSEL</t>
  </si>
  <si>
    <t>84596b</t>
  </si>
  <si>
    <t>90011A</t>
  </si>
  <si>
    <t>MIDNIGHT BLUE CRYSTAL DROP EARRINGS</t>
  </si>
  <si>
    <t>79331</t>
  </si>
  <si>
    <t>PINK FLOCK GLASS CANDLEHOLDER</t>
  </si>
  <si>
    <t>90130A</t>
  </si>
  <si>
    <t>WHITE STONE/CRYSTAL EARRINGS</t>
  </si>
  <si>
    <t>35597D</t>
  </si>
  <si>
    <t>PINK/WHITE CHRISTMAS TREE 30CM</t>
  </si>
  <si>
    <t>23627</t>
  </si>
  <si>
    <t>SET 10 CARDS XMAS GRAPHIC  17218</t>
  </si>
  <si>
    <t>JAM JAR WITH BLUE LID</t>
  </si>
  <si>
    <t>37489D</t>
  </si>
  <si>
    <t>PINK/GREEN FLOWER DESIGN BIG MUG</t>
  </si>
  <si>
    <t>47574B</t>
  </si>
  <si>
    <t>ENGLISH ROSE SCENTED HANGING HEART</t>
  </si>
  <si>
    <t>MINT DINER CLOCK</t>
  </si>
  <si>
    <t>35645</t>
  </si>
  <si>
    <t>VINTAGE BEAD PINK JEWEL BOX</t>
  </si>
  <si>
    <t>85084</t>
  </si>
  <si>
    <t>HOLLY TOP CHRISTMAS STOCKING</t>
  </si>
  <si>
    <t>90026A</t>
  </si>
  <si>
    <t>GLASS BEAD HOOP NECKLACE BLACK</t>
  </si>
  <si>
    <t>GLASS BELL JAR LARGE</t>
  </si>
  <si>
    <t>21120</t>
  </si>
  <si>
    <t>*Boombox Ipod Classic</t>
  </si>
  <si>
    <t>20954</t>
  </si>
  <si>
    <t>*USB Office Mirror Ball</t>
  </si>
  <si>
    <t>85035a</t>
  </si>
  <si>
    <t>21595</t>
  </si>
  <si>
    <t>Dad's Cab Electronic Meter</t>
  </si>
  <si>
    <t>90024D</t>
  </si>
  <si>
    <t>NEW BAROQUE B'FLY NECKLACE PINK</t>
  </si>
  <si>
    <t>90024E</t>
  </si>
  <si>
    <t>NEW BAROQUE B'FLY NECKLACE MONTANA</t>
  </si>
  <si>
    <t>21144</t>
  </si>
  <si>
    <t xml:space="preserve">PINK POODLE HANGING DECORATION </t>
  </si>
  <si>
    <t>37489B</t>
  </si>
  <si>
    <t>BLUE/YELLOW FLOWER DESIGN BIG MUG</t>
  </si>
  <si>
    <t>23644</t>
  </si>
  <si>
    <t>SET 10 CARDS CHRISTMAS TREE 16955</t>
  </si>
  <si>
    <t>84031a</t>
  </si>
  <si>
    <t>84031b</t>
  </si>
  <si>
    <t>DCGS0004</t>
  </si>
  <si>
    <t>HAYNES CAMPER SHOULDER BAG</t>
  </si>
  <si>
    <t>85036a</t>
  </si>
  <si>
    <t>90137</t>
  </si>
  <si>
    <t>PINK COMBO MINI CRYSTALS NECKLACE</t>
  </si>
  <si>
    <t>35647</t>
  </si>
  <si>
    <t xml:space="preserve">VINTAGE BEAD PINK SHADE </t>
  </si>
  <si>
    <t>16248B</t>
  </si>
  <si>
    <t>BLUE HOLE PUNCH</t>
  </si>
  <si>
    <t xml:space="preserve">PLAYING CARDS VINTAGE DOILEY </t>
  </si>
  <si>
    <t>90089</t>
  </si>
  <si>
    <t>PINK CRYSTAL SKULL PHONE CHARM</t>
  </si>
  <si>
    <t>85160a</t>
  </si>
  <si>
    <t>WHITE BIRD GARDEN DESIGN MUG</t>
  </si>
  <si>
    <t>90214V</t>
  </si>
  <si>
    <t>LETTER "V" BLING KEY RING</t>
  </si>
  <si>
    <t>72815</t>
  </si>
  <si>
    <t xml:space="preserve">3 WICK CHRISTMAS BRIAR CANDLE </t>
  </si>
  <si>
    <t>84795C</t>
  </si>
  <si>
    <t xml:space="preserve">OCEAN STRIPE HAMMOCK </t>
  </si>
  <si>
    <t>85136B</t>
  </si>
  <si>
    <t>BLUE SHARK HELICOPTER</t>
  </si>
  <si>
    <t>GLASS BELL JAR SMALL</t>
  </si>
  <si>
    <t>DCGS0069</t>
  </si>
  <si>
    <t>OOH LA LA DOGS COLLAR</t>
  </si>
  <si>
    <t>78034B</t>
  </si>
  <si>
    <t>BLUE NETTING STORAGE HANGER</t>
  </si>
  <si>
    <t>20816</t>
  </si>
  <si>
    <t xml:space="preserve">GOLD FLOWER CUSHION COVER </t>
  </si>
  <si>
    <t>90214F</t>
  </si>
  <si>
    <t>LETTER "F" BLING KEY RING</t>
  </si>
  <si>
    <t>84989A</t>
  </si>
  <si>
    <t>35817P</t>
  </si>
  <si>
    <t>ACRYLIC JEWEL SNOWFLAKE,PINK</t>
  </si>
  <si>
    <t>FLOWER FAIRY 5 SUMMER DRAW LINERS</t>
  </si>
  <si>
    <t>BAKING MOULD TOFFEE CUP  CHOCOLATE</t>
  </si>
  <si>
    <t>90132</t>
  </si>
  <si>
    <t>LIGHT TOPAZ TEAL/AQUA COL NECKLACE</t>
  </si>
  <si>
    <t>72024U</t>
  </si>
  <si>
    <t>LILAC VOTIVE CANDLE</t>
  </si>
  <si>
    <t>90140</t>
  </si>
  <si>
    <t>PINK SWEETIE NECKLACE</t>
  </si>
  <si>
    <t>84660b</t>
  </si>
  <si>
    <t>35610A</t>
  </si>
  <si>
    <t xml:space="preserve">PINK CHRISTMAS FLOCK DROPLET </t>
  </si>
  <si>
    <t>23449</t>
  </si>
  <si>
    <t>SET OF 6 EASTER RAINBOW CHICKS</t>
  </si>
  <si>
    <t>90078</t>
  </si>
  <si>
    <t>PINK/WHITE GLASS DEMI CHOKER</t>
  </si>
  <si>
    <t>17191A</t>
  </si>
  <si>
    <t>ROSE FLOWER CANDLE+INCENSE 16X16CM</t>
  </si>
  <si>
    <t>PAINTED HEART WREATH WITH BELL</t>
  </si>
  <si>
    <t>90189A</t>
  </si>
  <si>
    <t>SILVER 2 STRAND NECKLACE-LEAF CHARM</t>
  </si>
  <si>
    <t>84462</t>
  </si>
  <si>
    <t>3 PINK HEN+CHICKS IN BASKET</t>
  </si>
  <si>
    <t>84705C</t>
  </si>
  <si>
    <t xml:space="preserve">PINK FLOCK PHOTO FRAME </t>
  </si>
  <si>
    <t>ENAMEL MUG PANTRY</t>
  </si>
  <si>
    <t>90069</t>
  </si>
  <si>
    <t>RUBY GLASS CLUSTER NECKLACE</t>
  </si>
  <si>
    <t>84415A</t>
  </si>
  <si>
    <t xml:space="preserve">PINK FLOCK SUEDE CUSHION COVER </t>
  </si>
  <si>
    <t>90025F</t>
  </si>
  <si>
    <t>BAROQUE BUTTERFLY EARRINGS CRYSTAL</t>
  </si>
  <si>
    <t>23621</t>
  </si>
  <si>
    <t>SET 10 CARDS DAVID'S MADONNA 17074</t>
  </si>
  <si>
    <t xml:space="preserve">FOLDING MIRROR RED  </t>
  </si>
  <si>
    <t xml:space="preserve">FOLDING MIRROR IVORY </t>
  </si>
  <si>
    <t>84509g</t>
  </si>
  <si>
    <t>85031C</t>
  </si>
  <si>
    <t>CURIOUS IMAGES SCRAP BOOK SET</t>
  </si>
  <si>
    <t>90048</t>
  </si>
  <si>
    <t>GREEN WITH METAL BAG CHARM</t>
  </si>
  <si>
    <t>90046</t>
  </si>
  <si>
    <t>WHITE WITH METAL BAG CHARM</t>
  </si>
  <si>
    <t>84593</t>
  </si>
  <si>
    <t>CROCHET ROSE DES CLOTHES HANGER</t>
  </si>
  <si>
    <t>23634</t>
  </si>
  <si>
    <t>SET 10 CARDS XMAS CHOIR 17068</t>
  </si>
  <si>
    <t>90182B</t>
  </si>
  <si>
    <t>AMETHYST 3 BEAD DROP EARRINGS</t>
  </si>
  <si>
    <t>16202B</t>
  </si>
  <si>
    <t xml:space="preserve">PASTEL BLUE PHOTO ALBUM </t>
  </si>
  <si>
    <t>90027C</t>
  </si>
  <si>
    <t>GLASS BEAD HOOP EARRINGS GREEN</t>
  </si>
  <si>
    <t>37489A</t>
  </si>
  <si>
    <t>YELLOW/PINK FLOWER DESIGN BIG MUG</t>
  </si>
  <si>
    <t>47593A</t>
  </si>
  <si>
    <t>CAROUSEL PONIES BABY BIB</t>
  </si>
  <si>
    <t>90052</t>
  </si>
  <si>
    <t>CRACKED GLAZE NECKLACE BROWN</t>
  </si>
  <si>
    <t>ANTIQUE SILVER BOOK MARK WITH BEADS</t>
  </si>
  <si>
    <t>62043B</t>
  </si>
  <si>
    <t>BLUE CHECK BAG W HANDLE 34X20CM</t>
  </si>
  <si>
    <t xml:space="preserve">WALL ART , THE MAGIC FOREST </t>
  </si>
  <si>
    <t>79336</t>
  </si>
  <si>
    <t>LIGHT PINK FLOCK GLASS CANDLEHOLDER</t>
  </si>
  <si>
    <t>37489C</t>
  </si>
  <si>
    <t>GREEN/BLUE FLOWER DESIGN BIG MUG</t>
  </si>
  <si>
    <t>85017A</t>
  </si>
  <si>
    <t>ENVELOPE 50 ROMANTIC IMAGES</t>
  </si>
  <si>
    <t>90065B</t>
  </si>
  <si>
    <t>BLACK VINT ART DEC CRYSTAL BRACELET</t>
  </si>
  <si>
    <t>90214T</t>
  </si>
  <si>
    <t>LETTER "T" BLING KEY RING</t>
  </si>
  <si>
    <t>84745B</t>
  </si>
  <si>
    <t>BLUE HANGING GINGHAM EASTER HEN</t>
  </si>
  <si>
    <t>84745A</t>
  </si>
  <si>
    <t>PINK HANGING GINGHAM EASTER HEN</t>
  </si>
  <si>
    <t>SILVER AND BLACK ORBIT NECKLACE</t>
  </si>
  <si>
    <t>23639</t>
  </si>
  <si>
    <t>SET 10 CARDS MAGICAL TREE 17086</t>
  </si>
  <si>
    <t>CHRISTMAS TABLE CANDLE SILVER SPIKE</t>
  </si>
  <si>
    <t>23607</t>
  </si>
  <si>
    <t>SET 10 CARDS HATS &amp; STOCKINGS 17081</t>
  </si>
  <si>
    <t>72 CAKE CASES VINTAGE CHRISTMAS</t>
  </si>
  <si>
    <t>37491C</t>
  </si>
  <si>
    <t>GREEN/BLUE CERAMIC CANDLE HOLDER</t>
  </si>
  <si>
    <t>84388</t>
  </si>
  <si>
    <t>WISE MAN STAR SHAPE EGG PAN</t>
  </si>
  <si>
    <t>37462E</t>
  </si>
  <si>
    <t>PET MUG, GOLDFISH</t>
  </si>
  <si>
    <t>16162L</t>
  </si>
  <si>
    <t>THE KING GIFT BAG</t>
  </si>
  <si>
    <t>47013C</t>
  </si>
  <si>
    <t>WINE BOTTLE DRESSING DARK BLUE</t>
  </si>
  <si>
    <t>18097A</t>
  </si>
  <si>
    <t xml:space="preserve">PINK TALL PORCELAIN T-LIGHT HOLDER </t>
  </si>
  <si>
    <t>DCGS0070</t>
  </si>
  <si>
    <t>CAMOUFLAGE DOG COLLAR</t>
  </si>
  <si>
    <t>21895</t>
  </si>
  <si>
    <t>POTTING SHED SOW 'N' GROW SET</t>
  </si>
  <si>
    <t>90042C</t>
  </si>
  <si>
    <t>FRESHWATER PEARL BRACELET IVORY</t>
  </si>
  <si>
    <t>90055</t>
  </si>
  <si>
    <t>CRACKED GLAZE EARRINGS BROWN</t>
  </si>
  <si>
    <t>90037C</t>
  </si>
  <si>
    <t>TINY CRYSTAL BRACELET BLUE</t>
  </si>
  <si>
    <t>MARIE ANTOIENETT TRINKET BOX GOLD</t>
  </si>
  <si>
    <t>20671</t>
  </si>
  <si>
    <t xml:space="preserve">BLUE TEATIME PRINT BOWL </t>
  </si>
  <si>
    <t>23635</t>
  </si>
  <si>
    <t>SET 10 CARDS CHRISTMAS HOLLY  17259</t>
  </si>
  <si>
    <t>90020</t>
  </si>
  <si>
    <t>FILIGREE DIAMANTE CHAIN</t>
  </si>
  <si>
    <t>23654</t>
  </si>
  <si>
    <t>SET 10 CARD SNOWMAN 16965</t>
  </si>
  <si>
    <t>82613c</t>
  </si>
  <si>
    <t>79329</t>
  </si>
  <si>
    <t>17164B</t>
  </si>
  <si>
    <t>ASS COL SMALL SAND GECKO P'WEIGHT</t>
  </si>
  <si>
    <t>84016</t>
  </si>
  <si>
    <t>FLAG OF ST GEORGE CAR FLAG</t>
  </si>
  <si>
    <t>90178B</t>
  </si>
  <si>
    <t>PURPLE CHUNKY GLASS+BEAD NECKLACE</t>
  </si>
  <si>
    <t>90021</t>
  </si>
  <si>
    <t>LASER CUT MULTI STRAND NECKLACE</t>
  </si>
  <si>
    <t>84614A</t>
  </si>
  <si>
    <t>PINK BAROQUE FLOCK CANDLE HOLDER</t>
  </si>
  <si>
    <t>84620</t>
  </si>
  <si>
    <t>BLUE GINGHAM ROSE CUSHION COVER</t>
  </si>
  <si>
    <t>44092B</t>
  </si>
  <si>
    <t>BLUE WHITE PLASTIC RINGS LAMPSHADE</t>
  </si>
  <si>
    <t>90214Z</t>
  </si>
  <si>
    <t>LETTER "Z" BLING KEY RING</t>
  </si>
  <si>
    <t>37444B</t>
  </si>
  <si>
    <t xml:space="preserve">BLUE BREAKFAST CUP AND SAUCER </t>
  </si>
  <si>
    <t>35818B</t>
  </si>
  <si>
    <t>ACRYLIC JEWEL ICICLE, BLUE</t>
  </si>
  <si>
    <t>16162M</t>
  </si>
  <si>
    <t>THE KING GIFT BAG 25x24x12cm</t>
  </si>
  <si>
    <t>16043</t>
  </si>
  <si>
    <t xml:space="preserve">POP ART PUSH DOWN RUBBER </t>
  </si>
  <si>
    <t>23605</t>
  </si>
  <si>
    <t>SET 10 CARDS 12 DAYS OF XMAS 17059</t>
  </si>
  <si>
    <t>23608</t>
  </si>
  <si>
    <t>SET 10 CARDS RUDOLPHS NOSE 17097</t>
  </si>
  <si>
    <t>85184c</t>
  </si>
  <si>
    <t>71050</t>
  </si>
  <si>
    <t>SMALL SINGLE FLAME CANDLE HOLDER</t>
  </si>
  <si>
    <t>72798C</t>
  </si>
  <si>
    <t>SET/4 GARDEN ROSE DINNER CANDLE</t>
  </si>
  <si>
    <t>90152B</t>
  </si>
  <si>
    <t>BLUE/GREEN SHELL NECKLACE W PENDANT</t>
  </si>
  <si>
    <t>FOOD COVER WITH BEADS , SET 2 SIZES</t>
  </si>
  <si>
    <t>90025D</t>
  </si>
  <si>
    <t>BAROQUE BUTTERFLY EARRINGS PINK</t>
  </si>
  <si>
    <t>84536a</t>
  </si>
  <si>
    <t>37488A</t>
  </si>
  <si>
    <t>YELLOW PINK FLOWER DESIGN BIG BOWL</t>
  </si>
  <si>
    <t>79026B</t>
  </si>
  <si>
    <t>S/4 ICON COASTER,ELVIS LIVES</t>
  </si>
  <si>
    <t>16161M</t>
  </si>
  <si>
    <t>WRAP  PINK FLOCK</t>
  </si>
  <si>
    <t>16169N</t>
  </si>
  <si>
    <t>WRAP BLUE RUSSIAN FOLKART</t>
  </si>
  <si>
    <t>35966</t>
  </si>
  <si>
    <t>FOLKART CHRISTMAS TREE T-LIGHT HOLD</t>
  </si>
  <si>
    <t>35958</t>
  </si>
  <si>
    <t>FOLKART ZINC STAR CHRISTMAS DEC</t>
  </si>
  <si>
    <t>85109</t>
  </si>
  <si>
    <t>PINK BOUDOIR T-LIGHT HOLDER</t>
  </si>
  <si>
    <t>40005B</t>
  </si>
  <si>
    <t>BLUE ORGANDY ROUND LAMPSHADE W BEA</t>
  </si>
  <si>
    <t>44089C</t>
  </si>
  <si>
    <t>LILAC GAUZE BUTTERFLY LAMPSHADE</t>
  </si>
  <si>
    <t xml:space="preserve">ZINC STAR T-LIGHT HOLDER </t>
  </si>
  <si>
    <t>90053</t>
  </si>
  <si>
    <t>CRACKED GLAZE EARRINGS IVORY</t>
  </si>
  <si>
    <t>23619</t>
  </si>
  <si>
    <t>SET 10 CARDS POINSETTIA 17093</t>
  </si>
  <si>
    <t>23615</t>
  </si>
  <si>
    <t>SET 10 CARDS PRINTED GRAPHIC 17219</t>
  </si>
  <si>
    <t>23624</t>
  </si>
  <si>
    <t>SET 10 CARD PERFECT NATIVITY 17089</t>
  </si>
  <si>
    <t>23650</t>
  </si>
  <si>
    <t>SET 10 CARDS FILIGREE BAUBLE 16961</t>
  </si>
  <si>
    <t>84689</t>
  </si>
  <si>
    <t>S/2 BEACH HUT TREASURE CHESTS</t>
  </si>
  <si>
    <t>37474</t>
  </si>
  <si>
    <t>SET/4 2 TONE EGG SHAPE MIXING BOWLS</t>
  </si>
  <si>
    <t>DCGS0003</t>
  </si>
  <si>
    <t>BOXED GLASS ASHTRAY</t>
  </si>
  <si>
    <t>82613b</t>
  </si>
  <si>
    <t>37491D</t>
  </si>
  <si>
    <t>PURPLE/BLUE CERAMIC CANDLE HOLDER</t>
  </si>
  <si>
    <t>85231g</t>
  </si>
  <si>
    <t>44242A</t>
  </si>
  <si>
    <t>LILAC FEATHERS CURTAIN</t>
  </si>
  <si>
    <t>23441</t>
  </si>
  <si>
    <t>HAND PAINTED HANGING EASTER EGG</t>
  </si>
  <si>
    <t>35809B</t>
  </si>
  <si>
    <t>ENAMEL BLUE RIM TEA CONTAINER</t>
  </si>
  <si>
    <t>90184c</t>
  </si>
  <si>
    <t>90181C</t>
  </si>
  <si>
    <t>BLACK GLASS/SHELL/PEARL NECKLACE</t>
  </si>
  <si>
    <t>37351</t>
  </si>
  <si>
    <t xml:space="preserve">ORANGE FLOWER MUG </t>
  </si>
  <si>
    <t>45013</t>
  </si>
  <si>
    <t>FOLDING SHOE TIDY</t>
  </si>
  <si>
    <t>84773</t>
  </si>
  <si>
    <t>RED ROSE AND LACE C/COVER</t>
  </si>
  <si>
    <t>20906</t>
  </si>
  <si>
    <t>VINTAGE NOTEBOOK BEAUTY GIRL</t>
  </si>
  <si>
    <t>90077</t>
  </si>
  <si>
    <t>BLACK DIAMOND CLUSTER EARRINGS</t>
  </si>
  <si>
    <t>90027B</t>
  </si>
  <si>
    <t>GLASS BEAD HOOP EARRINGS MONTANA</t>
  </si>
  <si>
    <t>90011E</t>
  </si>
  <si>
    <t>AMBER CRYSTAL DROP EARRINGS</t>
  </si>
  <si>
    <t>90011D</t>
  </si>
  <si>
    <t>PURPLE CRYSTAL DROP EARRINGS</t>
  </si>
  <si>
    <t>16206B</t>
  </si>
  <si>
    <t>RED PURSE WITH PINK HEART</t>
  </si>
  <si>
    <t>90130D</t>
  </si>
  <si>
    <t>RED STONE/CRYSTAL EARRINGS</t>
  </si>
  <si>
    <t>84732B</t>
  </si>
  <si>
    <t>CUTE BIRD CEATURE SCREEN</t>
  </si>
  <si>
    <t>90102</t>
  </si>
  <si>
    <t>WHITE FRANGIPANI HAIR CLIP</t>
  </si>
  <si>
    <t>90167</t>
  </si>
  <si>
    <t>BEADED LOVE HEART JEWELLERY SET</t>
  </si>
  <si>
    <t>44265</t>
  </si>
  <si>
    <t>M/COLOUR POM-POM CURTAIN</t>
  </si>
  <si>
    <t>72803b</t>
  </si>
  <si>
    <t>OCEAN SCENT CANDLE JEWELLED DRAWER</t>
  </si>
  <si>
    <t>85035c</t>
  </si>
  <si>
    <t>85036b</t>
  </si>
  <si>
    <t>21410</t>
  </si>
  <si>
    <t>COUNTRY COTTAGE  DOORSTOP GREEN</t>
  </si>
  <si>
    <t>85035b</t>
  </si>
  <si>
    <t>84975</t>
  </si>
  <si>
    <t>HEART SHAPED MIRROR</t>
  </si>
  <si>
    <t>20871</t>
  </si>
  <si>
    <t>OPULENT VELVET SET/3 CANDLES</t>
  </si>
  <si>
    <t>21594</t>
  </si>
  <si>
    <t>Dr. Jam's Arouzer Stress Ball</t>
  </si>
  <si>
    <t>23612</t>
  </si>
  <si>
    <t>SET 10 MINICARDS CUTE SNOWMAN 17071</t>
  </si>
  <si>
    <t>72802c</t>
  </si>
  <si>
    <t>85034b</t>
  </si>
  <si>
    <t>84924F</t>
  </si>
  <si>
    <t>PSYCHEDELIC METAL SIGN CALENDAR</t>
  </si>
  <si>
    <t>16244B</t>
  </si>
  <si>
    <t>MAXWELL 2 TONE BLUE 60 PAGE PHOTO A</t>
  </si>
  <si>
    <t>35607A</t>
  </si>
  <si>
    <t>PINK FLUFFY CHRISTMAS DECORATION</t>
  </si>
  <si>
    <t>90042A</t>
  </si>
  <si>
    <t>FRESHWATER PEARL BRACELET GOLD</t>
  </si>
  <si>
    <t>85189</t>
  </si>
  <si>
    <t>HANGING BUTTERFLY  EGG</t>
  </si>
  <si>
    <t>79149B</t>
  </si>
  <si>
    <t>SILICON STAR BULB  BLUE</t>
  </si>
  <si>
    <t>90025A</t>
  </si>
  <si>
    <t>BAROQUE BUTTERFLY EARRINGS BLACK</t>
  </si>
  <si>
    <t>21827</t>
  </si>
  <si>
    <t>EIGHT PIECE CREEPY CRAWLIE SET</t>
  </si>
  <si>
    <t>90068</t>
  </si>
  <si>
    <t>RUBY GLASS NECKLACE 42"</t>
  </si>
  <si>
    <t>37379A</t>
  </si>
  <si>
    <t>PINK CHERRY BLOSSOM CUP &amp; SAUCER</t>
  </si>
  <si>
    <t>16202E</t>
  </si>
  <si>
    <t xml:space="preserve">BLACK PHOTO ALBUM </t>
  </si>
  <si>
    <t>85160A</t>
  </si>
  <si>
    <t>23633</t>
  </si>
  <si>
    <t>SET 10 CARDS WORLD CHILDREN 17067</t>
  </si>
  <si>
    <t>62097B</t>
  </si>
  <si>
    <t>BLUE STRIPES SHOULDER BAG</t>
  </si>
  <si>
    <t>90128A</t>
  </si>
  <si>
    <t>PINK LEAVES AND BEADS PHONE CHARM</t>
  </si>
  <si>
    <t>84596g</t>
  </si>
  <si>
    <t>71496B</t>
  </si>
  <si>
    <t>A4 WALL TIDY RED FLOWERS</t>
  </si>
  <si>
    <t>JARDIN ETCHED GLASS BUTTER DISH</t>
  </si>
  <si>
    <t>10124G</t>
  </si>
  <si>
    <t>ARMY CAMO BOOKCOVER TAPE</t>
  </si>
  <si>
    <t>90214O</t>
  </si>
  <si>
    <t>LETTER "O" BLING KEY RING</t>
  </si>
  <si>
    <t>90214W</t>
  </si>
  <si>
    <t>LETTER "W" BLING KEY RING</t>
  </si>
  <si>
    <t>35443</t>
  </si>
  <si>
    <t>RASTA IN BATH W SPLIFF ASHTRAY</t>
  </si>
  <si>
    <t>84802B</t>
  </si>
  <si>
    <t>PURPLE ANEMONE ARTIFICIAL FLOWER</t>
  </si>
  <si>
    <t>21186</t>
  </si>
  <si>
    <t>WHITE DOVE HONEYCOMB PAPER GARLAND</t>
  </si>
  <si>
    <t>62074B</t>
  </si>
  <si>
    <t>ELEPHANT CLIP W SUCTION CUP</t>
  </si>
  <si>
    <t>35833G</t>
  </si>
  <si>
    <t>4 GOLD FLOCK CHRISTMAS BALLS</t>
  </si>
  <si>
    <t>10124A</t>
  </si>
  <si>
    <t>SPOTS ON RED BOOKCOVER TAPE</t>
  </si>
  <si>
    <t>23604</t>
  </si>
  <si>
    <t>SET 10 MINI SANTA &amp; SNOWMAN  17087</t>
  </si>
  <si>
    <t>20678</t>
  </si>
  <si>
    <t>LARGE BLACK DIAMANTE HAIRSLIDE</t>
  </si>
  <si>
    <t>37491B</t>
  </si>
  <si>
    <t>BLUE/YELLOW CERAMIC CANDLE HOLDER</t>
  </si>
  <si>
    <t>90126C</t>
  </si>
  <si>
    <t>AMBER BERTIE MOBILE PHONE CHARM</t>
  </si>
  <si>
    <t>85224</t>
  </si>
  <si>
    <t>ASSORTED COLOUR SILK GLASSES CASE</t>
  </si>
  <si>
    <t>44089A</t>
  </si>
  <si>
    <t>PINK GAUZE BUTTERFLY LAMPSHADE</t>
  </si>
  <si>
    <t>85225</t>
  </si>
  <si>
    <t>BLING KEY RING STAND</t>
  </si>
  <si>
    <t>35591T</t>
  </si>
  <si>
    <t xml:space="preserve">TURQUOISE CHRISTMAS TREE </t>
  </si>
  <si>
    <t>21228</t>
  </si>
  <si>
    <t>POCKET MIRROR "GLAMOROUS"</t>
  </si>
  <si>
    <t>23610</t>
  </si>
  <si>
    <t>SET 10 CARDS CHRISTMAS ROBIN 17095</t>
  </si>
  <si>
    <t>90152C</t>
  </si>
  <si>
    <t>BLUE/NAT SHELL NECKLACE W PENDANT</t>
  </si>
  <si>
    <t>90060B</t>
  </si>
  <si>
    <t>FIRE POLISHED GLASS NECKL GOLD</t>
  </si>
  <si>
    <t>84499</t>
  </si>
  <si>
    <t>BLACK FLOWER CANDLE PLATE</t>
  </si>
  <si>
    <t>35598C</t>
  </si>
  <si>
    <t>WHITE CHRISTMAS TREE 60CM</t>
  </si>
  <si>
    <t>79161A</t>
  </si>
  <si>
    <t>ST GEORGE SET OF 10 PARTY LIGHTS</t>
  </si>
  <si>
    <t>GOLD M.O.P. ORBIT NECKLACE</t>
  </si>
  <si>
    <t>HEN HOUSE WITH CHICK STANDING</t>
  </si>
  <si>
    <t>23617</t>
  </si>
  <si>
    <t>SET 10 CARDS SWIRLY XMAS TREE 17104</t>
  </si>
  <si>
    <t>23652</t>
  </si>
  <si>
    <t>SET 10 CARD CHRISTMAS STAMPS 16963</t>
  </si>
  <si>
    <t>23638</t>
  </si>
  <si>
    <t>SET 10 CARDS ROBIN WATERPUMP  17096</t>
  </si>
  <si>
    <t>90067B</t>
  </si>
  <si>
    <t>BROWN VINTAGE VICTORIAN EARRINGS</t>
  </si>
  <si>
    <t>90011C</t>
  </si>
  <si>
    <t>GREEN CRYSTAL DROP EARRINGS</t>
  </si>
  <si>
    <t>23630</t>
  </si>
  <si>
    <t>SET 10 CARDS HANGING BAUBLES 17080</t>
  </si>
  <si>
    <t>35004P</t>
  </si>
  <si>
    <t>SET OF 3 PINK FLYING DUCKS</t>
  </si>
  <si>
    <t>21839</t>
  </si>
  <si>
    <t>MUMMY MOUSE RED GINGHAM RIBBON</t>
  </si>
  <si>
    <t>81953P</t>
  </si>
  <si>
    <t>ROUND ARTICULATED PINK CLOCK W/SUCK</t>
  </si>
  <si>
    <t>37509</t>
  </si>
  <si>
    <t>NEW ENGLAND MUG W GIFT BOX</t>
  </si>
  <si>
    <t>20964</t>
  </si>
  <si>
    <t>POLYESTER FILLER PAD 60x40cm</t>
  </si>
  <si>
    <t>90142A</t>
  </si>
  <si>
    <t>GREEN PENDANT SHELL NECKLACE</t>
  </si>
  <si>
    <t>84803A</t>
  </si>
  <si>
    <t>PINK ALLIUM  ARTIFICIAL FLOWER</t>
  </si>
  <si>
    <t>22034</t>
  </si>
  <si>
    <t>ROBIN CHRISTMAS CARD</t>
  </si>
  <si>
    <t>90135A</t>
  </si>
  <si>
    <t>ORANGE/FUSCHIA STONES NECKLACE</t>
  </si>
  <si>
    <t>23649</t>
  </si>
  <si>
    <t>SET 10 CARDS DECK THE HALLS 16960</t>
  </si>
  <si>
    <t>47593b</t>
  </si>
  <si>
    <t>90128C</t>
  </si>
  <si>
    <t>GREEN LEAVES AND BEADS PHONE CHARM</t>
  </si>
  <si>
    <t>90128D</t>
  </si>
  <si>
    <t>PURPLE LEAVES AND BEADS PHONE CHAR</t>
  </si>
  <si>
    <t>84661a</t>
  </si>
  <si>
    <t>84661b</t>
  </si>
  <si>
    <t>85031B</t>
  </si>
  <si>
    <t>BLOSSOM IMAGES SCRAP BOOK SET</t>
  </si>
  <si>
    <t>90081B</t>
  </si>
  <si>
    <t>LILY BROOCH WHITE/SILVER COLOUR</t>
  </si>
  <si>
    <t>35650</t>
  </si>
  <si>
    <t>VINTAGE BEAD PINK JEWEL STAND</t>
  </si>
  <si>
    <t>85049d</t>
  </si>
  <si>
    <t>90127A</t>
  </si>
  <si>
    <t>PINK BEADS+HAND PHONE CHARM</t>
  </si>
  <si>
    <t>85049b</t>
  </si>
  <si>
    <t>85231b</t>
  </si>
  <si>
    <t>84971l</t>
  </si>
  <si>
    <t xml:space="preserve">LARGE HEART FLOWERS HOOK   </t>
  </si>
  <si>
    <t>84613C</t>
  </si>
  <si>
    <t>BLUE NEW BAROQUE FLOCK CANDLESTICK</t>
  </si>
  <si>
    <t>81950V</t>
  </si>
  <si>
    <t>FLOWER PURPLE CLOCK WITH SUCKER</t>
  </si>
  <si>
    <t>71215</t>
  </si>
  <si>
    <t>METAL BASE FOR CANDLES</t>
  </si>
  <si>
    <t>79151B</t>
  </si>
  <si>
    <t>SILICON CUBE 25W, BLUE</t>
  </si>
  <si>
    <t>84206A</t>
  </si>
  <si>
    <t>3 BLACK CATS W HEARTS BLANK CARD</t>
  </si>
  <si>
    <t>PINK ACRYLIC JEWEL SNOWFLAKE</t>
  </si>
  <si>
    <t>84732D</t>
  </si>
  <si>
    <t xml:space="preserve">CUTE RABBIT CEATURE SCREEN </t>
  </si>
  <si>
    <t>79157V</t>
  </si>
  <si>
    <t>UBO-LIGHT TRIOBASE PURPLE</t>
  </si>
  <si>
    <t>FLOWER PURPLE CLOCK W/SUCKER</t>
  </si>
  <si>
    <t xml:space="preserve">FRYING PAN RED POLKADOT </t>
  </si>
  <si>
    <t>22218</t>
  </si>
  <si>
    <t>CAKE STAND LACE WHITE</t>
  </si>
  <si>
    <t>20703</t>
  </si>
  <si>
    <t>BLUE PADDED SOFT MOBILE</t>
  </si>
  <si>
    <t>47016</t>
  </si>
  <si>
    <t>LIGHT DECORATION BATTERY OPERATED</t>
  </si>
  <si>
    <t>20861</t>
  </si>
  <si>
    <t>GOLD COSMETIC BAG PINK STAR</t>
  </si>
  <si>
    <t>22206</t>
  </si>
  <si>
    <t xml:space="preserve">MUG , DOTCOMGIFTSHOP.COM </t>
  </si>
  <si>
    <t xml:space="preserve"> I LOVE LONDON MINI RUCKSACK</t>
  </si>
  <si>
    <t>46776b</t>
  </si>
  <si>
    <t>47591b</t>
  </si>
  <si>
    <t>46776e</t>
  </si>
  <si>
    <t>84536b</t>
  </si>
  <si>
    <t>17174</t>
  </si>
  <si>
    <t>ASSTD RASTA KEY-CHAINS</t>
  </si>
  <si>
    <t>44091A</t>
  </si>
  <si>
    <t>BLUE CRUSOE CHECK LAMPSHADE</t>
  </si>
  <si>
    <t>90128B</t>
  </si>
  <si>
    <t>BLUE LEAVES AND BEADS PHONE CHARM</t>
  </si>
  <si>
    <t>37464</t>
  </si>
  <si>
    <t>ROBOT MUG IN DISPLAY BOX</t>
  </si>
  <si>
    <t>79192A</t>
  </si>
  <si>
    <t>90025E</t>
  </si>
  <si>
    <t>BAROQUE BUTTERFLY EARRINGS MONTANA</t>
  </si>
  <si>
    <t>90025B</t>
  </si>
  <si>
    <t>BAROQUE BUTTERFLY EARRINGS RED</t>
  </si>
  <si>
    <t>35271S</t>
  </si>
  <si>
    <t>GOLD PRINT PAPER BAG</t>
  </si>
  <si>
    <t>16010</t>
  </si>
  <si>
    <t>FOLDING CAMPING SCISSOR W/KNIF &amp; S</t>
  </si>
  <si>
    <t>84270</t>
  </si>
  <si>
    <t>ASSTD DESIGN BUBBLE GUM RING</t>
  </si>
  <si>
    <t>16202A</t>
  </si>
  <si>
    <t xml:space="preserve">PASTEL PINK PHOTO ALBUM </t>
  </si>
  <si>
    <t>90214U</t>
  </si>
  <si>
    <t>LETTER "U" BLING KEY RING</t>
  </si>
  <si>
    <t>79157B</t>
  </si>
  <si>
    <t>UBO-LIGHT TRIOBASE BLUE</t>
  </si>
  <si>
    <t>84802A</t>
  </si>
  <si>
    <t>WHITE ANEMONE ARTIFICIAL FLOWER</t>
  </si>
  <si>
    <t>90126A</t>
  </si>
  <si>
    <t>PINK BERTIE MOBILE PHONE CHARM</t>
  </si>
  <si>
    <t>22528</t>
  </si>
  <si>
    <t>GARDENERS KNEELING PAD</t>
  </si>
  <si>
    <t>21160</t>
  </si>
  <si>
    <t xml:space="preserve">KEEP OUT GIRLS DOOR HANGER </t>
  </si>
  <si>
    <t>85119</t>
  </si>
  <si>
    <t>WATERING CAN SINGLE HOOK PISTACHIO</t>
  </si>
  <si>
    <t>23643</t>
  </si>
  <si>
    <t>SET 10 CARDS CHRISTMAS BAUBLE 16954</t>
  </si>
  <si>
    <t>84534b</t>
  </si>
  <si>
    <t>90187A</t>
  </si>
  <si>
    <t>BLUE DROP EARRINGS W BEAD CLUSTER</t>
  </si>
  <si>
    <t>10123C</t>
  </si>
  <si>
    <t xml:space="preserve">HEARTS WRAPPING TAPE </t>
  </si>
  <si>
    <t>47013A</t>
  </si>
  <si>
    <t>WINE BOTTLE DRESSING LT.BLUE</t>
  </si>
  <si>
    <t>23609</t>
  </si>
  <si>
    <t>SET 10 CARDS SNOWY ROBIN 17099</t>
  </si>
  <si>
    <t>23628</t>
  </si>
  <si>
    <t>SET 10 CARDS TRIANGLE ICONS  17220</t>
  </si>
  <si>
    <t>23602</t>
  </si>
  <si>
    <t>SET 10 CARDS 3 WISE MEN 17107</t>
  </si>
  <si>
    <t>90183c</t>
  </si>
  <si>
    <t>90100</t>
  </si>
  <si>
    <t>NECKLACE+BRACELET SET PINK DAISY</t>
  </si>
  <si>
    <t>m</t>
  </si>
  <si>
    <t>17028J</t>
  </si>
  <si>
    <t>INCENSE BAZAAR PEACH</t>
  </si>
  <si>
    <t>35609A</t>
  </si>
  <si>
    <t>PINK FEATHER CHRISTMAS DECORATION</t>
  </si>
  <si>
    <t>62096B</t>
  </si>
  <si>
    <t>PURPLE/TURQ FLOWERS HANDBAG</t>
  </si>
  <si>
    <t>90037A</t>
  </si>
  <si>
    <t>TINY CRYSTAL BRACELET RED</t>
  </si>
  <si>
    <t>84201B</t>
  </si>
  <si>
    <t>HAPPY BIRTHDAY CARD STRIPEY TEDDY</t>
  </si>
  <si>
    <t>82613a</t>
  </si>
  <si>
    <t>85179a</t>
  </si>
  <si>
    <t>85049c</t>
  </si>
  <si>
    <t>84596l</t>
  </si>
  <si>
    <t>84510e</t>
  </si>
  <si>
    <t>37330</t>
  </si>
  <si>
    <t>BIG POLKADOT MUG</t>
  </si>
  <si>
    <t>46115B</t>
  </si>
  <si>
    <t xml:space="preserve">GREEN POP ART MAO CUSHION COVER </t>
  </si>
  <si>
    <t>77079</t>
  </si>
  <si>
    <t>DOLPHIN WINDMILL</t>
  </si>
  <si>
    <t>21414</t>
  </si>
  <si>
    <t>SCALLOP SHELL SOAP DISH</t>
  </si>
  <si>
    <t>20860</t>
  </si>
  <si>
    <t>GOLD COSMETICS BAG WITH BUTTERFLY</t>
  </si>
  <si>
    <t>85170A</t>
  </si>
  <si>
    <t>SET/6 IVORY BIRD T-LIGHT CANDLES</t>
  </si>
  <si>
    <t>90112</t>
  </si>
  <si>
    <t>PINK DOLLY HAIR CLIPS</t>
  </si>
  <si>
    <t>47579</t>
  </si>
  <si>
    <t>TEA TIME BREAKFAST BASKET</t>
  </si>
  <si>
    <t>81953B</t>
  </si>
  <si>
    <t>84731</t>
  </si>
  <si>
    <t>3 BIRDS CANVAS SCREEN</t>
  </si>
  <si>
    <t>22146</t>
  </si>
  <si>
    <t>EASTER CRAFT IVY WREATH WITH CHICK</t>
  </si>
  <si>
    <t>21491</t>
  </si>
  <si>
    <t>SET OF THREE VINTAGE GIFT WRAPS</t>
  </si>
  <si>
    <t>22323</t>
  </si>
  <si>
    <t>PINK POLKADOT KIDS BAG</t>
  </si>
  <si>
    <t>90092</t>
  </si>
  <si>
    <t>BLUE CRYSTAL BOOT PHONE CHARM</t>
  </si>
  <si>
    <t>84550</t>
  </si>
  <si>
    <t>CROCHET LILAC/RED BEAR KEYRING</t>
  </si>
  <si>
    <t>23664</t>
  </si>
  <si>
    <t>FLOWER SHOP DESIGN MUG</t>
  </si>
  <si>
    <t>84206C</t>
  </si>
  <si>
    <t>CHAMPAGNE TRAY BLANK CARD</t>
  </si>
  <si>
    <t>84743C</t>
  </si>
  <si>
    <t>ORANGE FELT VASE + FLOWERS</t>
  </si>
  <si>
    <t>37461</t>
  </si>
  <si>
    <t>FUNKY MONKEY MUG</t>
  </si>
  <si>
    <t>35597B</t>
  </si>
  <si>
    <t>BLACKCHRISTMAS TREE 30CM</t>
  </si>
  <si>
    <t>21009</t>
  </si>
  <si>
    <t>ETCHED GLASS STAR TREE DECORATION</t>
  </si>
  <si>
    <t>35597A</t>
  </si>
  <si>
    <t>DUSTY PINK CHRISTMAS TREE 30CM</t>
  </si>
  <si>
    <t>84977</t>
  </si>
  <si>
    <t>WIRE FLOWER T-LIGHT HOLDER</t>
  </si>
  <si>
    <t>84569C</t>
  </si>
  <si>
    <t>PACK 4 FLOWER/BUTTERFLY PATCHES</t>
  </si>
  <si>
    <t>SET 36 COLOURING PENCILS DOILEY</t>
  </si>
  <si>
    <t>84990</t>
  </si>
  <si>
    <t>60 GOLD AND SILVER FAIRY CAKE CASES</t>
  </si>
  <si>
    <t>84206B</t>
  </si>
  <si>
    <t>CAT WITH SUNGLASSES BLANK CARD</t>
  </si>
  <si>
    <t>84201C</t>
  </si>
  <si>
    <t>HAPPY BIRTHDAY CARD TEDDY/CAKE</t>
  </si>
  <si>
    <t>90084</t>
  </si>
  <si>
    <t>PINK CRYSTAL GUITAR PHONE CHARM</t>
  </si>
  <si>
    <t>21268</t>
  </si>
  <si>
    <t>VINTAGE BLUE TINSEL REEL</t>
  </si>
  <si>
    <t>51014c</t>
  </si>
  <si>
    <t>SET 12 COLOURING PENCILS DOILEY</t>
  </si>
  <si>
    <t>84227</t>
  </si>
  <si>
    <t>HEN HOUSE W CHICK IN NEST</t>
  </si>
  <si>
    <t>PADS</t>
  </si>
  <si>
    <t>PADS TO MATCH ALL CUSHIONS</t>
  </si>
  <si>
    <t>Time-Series Analysis — Seasonal Trend, Variance &amp; Next-Quarter Forecast</t>
  </si>
  <si>
    <t>Month</t>
  </si>
  <si>
    <t>Time Index</t>
  </si>
  <si>
    <t>3M Moving Average</t>
  </si>
  <si>
    <t>Trend</t>
  </si>
  <si>
    <t>Variance</t>
  </si>
  <si>
    <t>Variance %</t>
  </si>
  <si>
    <t>Forecast method</t>
  </si>
  <si>
    <t>Quarterly seasonal index + linear trend on deseasonalized revenue</t>
  </si>
  <si>
    <t>Next quarter</t>
  </si>
  <si>
    <t>2011Q4 → Q1-2012</t>
  </si>
  <si>
    <t>Forecast revenue</t>
  </si>
  <si>
    <t>ToolPak reproduction</t>
  </si>
  <si>
    <t>Use Data → Data Analysis → Regression on the quarterly deseasonalized table (Time Index as X, Deseasonalized Revenue as Y). The resulting trend can be used with the Q1 seasonal index shown above.</t>
  </si>
  <si>
    <t>ToolPak Regression Reference</t>
  </si>
  <si>
    <t>Regression statistic</t>
  </si>
  <si>
    <t>Result</t>
  </si>
  <si>
    <t>Slope</t>
  </si>
  <si>
    <t>Intercept</t>
  </si>
  <si>
    <t>R-squared</t>
  </si>
  <si>
    <t>p-value (slope)</t>
  </si>
  <si>
    <t>Standard error</t>
  </si>
  <si>
    <t>Significant variance rule</t>
  </si>
  <si>
    <t>Absolute variance vs trend &gt;= 20%</t>
  </si>
  <si>
    <t>The deseasonalized quarterly trend is statistically significant at the 5% level (p≈0.005) with R²≈0.87 in this prepared regression reference.</t>
  </si>
  <si>
    <t>Quarter</t>
  </si>
  <si>
    <t>Quarter No</t>
  </si>
  <si>
    <t>Seasonal Index</t>
  </si>
  <si>
    <t>Deseasonalized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</si>
  <si>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</si>
  <si>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</si>
  <si>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</si>
  <si>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</si>
  <si>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</si>
  <si>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</si>
  <si>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</si>
  <si>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</si>
  <si>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Submission / Refresh Notes</t>
  </si>
  <si>
    <t>Source file</t>
  </si>
  <si>
    <t>OnlineRetail_Raw_Source.xlsx is the exact uploaded 541,909-row source workbook.</t>
  </si>
  <si>
    <t>Task 1</t>
  </si>
  <si>
    <t>Power Query M code is on Data_Profile. Replace &lt;PATH_TO_OnlineRetail_Raw_Source.xlsx&gt; with the actual file path, then Data → Get Data → From Other Sources → Blank Query → Advanced Editor.</t>
  </si>
  <si>
    <t>Task 2</t>
  </si>
  <si>
    <t>Hourly_Pivot_AOV is a Pivot-style analytical table. AOV = Revenue / Orders. Revenue per Minute = Revenue / 60. Review flag uses above-median Orders/Minute + below-median AOV.</t>
  </si>
  <si>
    <t>Task 3</t>
  </si>
  <si>
    <t>Pareto_Analysis uses a 20% threshold cell. Cumulative Revenue and Cumulative % are formula-driven. Change B3 from 20% to another threshold to update the top-count logic.</t>
  </si>
  <si>
    <t>Task 4</t>
  </si>
  <si>
    <t>TimeSeries_Forecast contains monthly revenue, 3M moving average, trend and variance. The forecast formula uses FORECAST.LINEAR on deseasonalized quarterly revenue multiplied by the Q1 seasonal index.</t>
  </si>
  <si>
    <t>Important</t>
  </si>
  <si>
    <t>A true conversion rate cannot be calculated from this dataset because there is no sessions/visits field.</t>
  </si>
  <si>
    <t>Profit-margin dilution cannot be proven because the dataset has no product cost/profit field.</t>
  </si>
  <si>
    <t>Excel ToolPak</t>
  </si>
  <si>
    <t>If your instructor checks the ToolPak step, enable Analysis ToolPak via File → Options → Add-ins → Excel Add-ins → Go → Analysis ToolPak. Then reproduce the regression using the quarterly table.</t>
  </si>
  <si>
    <t>Submission</t>
  </si>
  <si>
    <t>Submit both Excel files together if the portal accepts multiple files. If it accepts only one file, submit OnlineRetail_Advanced_Analysis.xlsx and include the source workbook in the same GitHub/Drive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</si>
</sst>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.00"/>
    <numFmt numFmtId="165" formatCode="mmm\-yyyy"/>
    <numFmt numFmtId="166" formatCode="0.000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rgb="FF0000FF"/>
      <name val="Calibri"/>
      <family val="2"/>
      <charset val="1"/>
    </font>
    <font>
      <b/>
      <sz val="11"/>
      <color rgb="FFFFFFFF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4A7EBB"/>
      </patternFill>
    </fill>
    <fill>
      <patternFill patternType="solid">
        <fgColor rgb="FFD9EAF7"/>
        <bgColor rgb="FFD9D9D9"/>
      </patternFill>
    </fill>
    <fill>
      <patternFill patternType="solid">
        <fgColor rgb="FF5B9BD5"/>
        <bgColor rgb="FF4F81BD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1" xfId="0" applyFont="1" applyFill="1" applyBorder="1"/>
    <xf numFmtId="3" fontId="0" fillId="0" borderId="1" xfId="0" applyNumberFormat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0" fontId="0" fillId="0" borderId="1" xfId="0" applyNumberFormat="1" applyBorder="1"/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10" fontId="0" fillId="6" borderId="1" xfId="0" applyNumberFormat="1" applyFill="1" applyBorder="1"/>
    <xf numFmtId="164" fontId="0" fillId="6" borderId="1" xfId="0" applyNumberFormat="1" applyFill="1" applyBorder="1"/>
    <xf numFmtId="4" fontId="0" fillId="6" borderId="1" xfId="0" applyNumberFormat="1" applyFill="1" applyBorder="1"/>
    <xf numFmtId="3" fontId="0" fillId="6" borderId="1" xfId="0" applyNumberFormat="1" applyFill="1" applyBorder="1"/>
    <xf numFmtId="165" fontId="0" fillId="0" borderId="1" xfId="0" applyNumberFormat="1" applyBorder="1"/>
    <xf numFmtId="0" fontId="5" fillId="3" borderId="0" xfId="0" applyFont="1" applyFill="1"/>
    <xf numFmtId="0" fontId="5" fillId="5" borderId="0" xfId="0" applyFont="1" applyFill="1" applyAlignment="1">
      <alignment horizontal="center"/>
    </xf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vertical="top" wrapText="1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5B9BD5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Revenue per Minute by Hour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Revenue/Minute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Hourly_Pivot_AOV!$A$4:$A$21</c:f>
              <c:numCache>
                <c:formatCode>#,##0</c:formatCod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</c:numCache>
            </c:numRef>
          </c:cat>
          <c:val>
            <c:numRef>
              <c:f>Hourly_Pivot_AOV!$G$4:$G$21</c:f>
              <c:numCache>
                <c:formatCode>\£#,##0.00</c:formatCode>
                <c:ptCount val="18"/>
                <c:pt idx="0">
                  <c:v>7.0833333333333331E-2</c:v>
                </c:pt>
                <c:pt idx="1">
                  <c:v>517.65350000000001</c:v>
                </c:pt>
                <c:pt idx="2">
                  <c:v>4731.1420000000007</c:v>
                </c:pt>
                <c:pt idx="3">
                  <c:v>16504.463683333332</c:v>
                </c:pt>
                <c:pt idx="4">
                  <c:v>24112.378349999999</c:v>
                </c:pt>
                <c:pt idx="5">
                  <c:v>20665.907333333333</c:v>
                </c:pt>
                <c:pt idx="6">
                  <c:v>24070.764666666666</c:v>
                </c:pt>
                <c:pt idx="7">
                  <c:v>21095.605</c:v>
                </c:pt>
                <c:pt idx="8">
                  <c:v>19696.87285</c:v>
                </c:pt>
                <c:pt idx="9">
                  <c:v>22549.536333333333</c:v>
                </c:pt>
                <c:pt idx="10">
                  <c:v>12566.776000000002</c:v>
                </c:pt>
                <c:pt idx="11">
                  <c:v>7693.3915166666666</c:v>
                </c:pt>
                <c:pt idx="12">
                  <c:v>2413.5508333333332</c:v>
                </c:pt>
                <c:pt idx="13">
                  <c:v>844.41683333333333</c:v>
                </c:pt>
                <c:pt idx="14">
                  <c:v>315.54599999999999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1-4E2A-BD73-99CFF3DC3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618860"/>
        <c:axId val="26791165"/>
      </c:barChart>
      <c:catAx>
        <c:axId val="846188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6791165"/>
        <c:crosses val="autoZero"/>
        <c:auto val="1"/>
        <c:lblAlgn val="ctr"/>
        <c:lblOffset val="100"/>
        <c:noMultiLvlLbl val="0"/>
      </c:catAx>
      <c:valAx>
        <c:axId val="26791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Revenue/Minute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46188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Pareto Chart — Top 30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Pareto_Analysis!$B$7:$B$36</c:f>
              <c:strCache>
                <c:ptCount val="30"/>
                <c:pt idx="0">
                  <c:v>DOT</c:v>
                </c:pt>
                <c:pt idx="1">
                  <c:v>22423</c:v>
                </c:pt>
                <c:pt idx="2">
                  <c:v>23843</c:v>
                </c:pt>
                <c:pt idx="3">
                  <c:v>85123A</c:v>
                </c:pt>
                <c:pt idx="4">
                  <c:v>47566</c:v>
                </c:pt>
                <c:pt idx="5">
                  <c:v>85099B</c:v>
                </c:pt>
                <c:pt idx="6">
                  <c:v>23166</c:v>
                </c:pt>
                <c:pt idx="7">
                  <c:v>M</c:v>
                </c:pt>
                <c:pt idx="8">
                  <c:v>POST</c:v>
                </c:pt>
                <c:pt idx="9">
                  <c:v>23084</c:v>
                </c:pt>
                <c:pt idx="10">
                  <c:v>22086</c:v>
                </c:pt>
                <c:pt idx="11">
                  <c:v>84879</c:v>
                </c:pt>
                <c:pt idx="12">
                  <c:v>79321</c:v>
                </c:pt>
                <c:pt idx="13">
                  <c:v>23298</c:v>
                </c:pt>
                <c:pt idx="14">
                  <c:v>22386</c:v>
                </c:pt>
                <c:pt idx="15">
                  <c:v>21137</c:v>
                </c:pt>
                <c:pt idx="16">
                  <c:v>22502</c:v>
                </c:pt>
                <c:pt idx="17">
                  <c:v>23284</c:v>
                </c:pt>
                <c:pt idx="18">
                  <c:v>22720</c:v>
                </c:pt>
                <c:pt idx="19">
                  <c:v>22960</c:v>
                </c:pt>
                <c:pt idx="20">
                  <c:v>82484</c:v>
                </c:pt>
                <c:pt idx="21">
                  <c:v>20725</c:v>
                </c:pt>
                <c:pt idx="22">
                  <c:v>22197</c:v>
                </c:pt>
                <c:pt idx="23">
                  <c:v>22178</c:v>
                </c:pt>
                <c:pt idx="24">
                  <c:v>22114</c:v>
                </c:pt>
                <c:pt idx="25">
                  <c:v>22910</c:v>
                </c:pt>
                <c:pt idx="26">
                  <c:v>22112</c:v>
                </c:pt>
                <c:pt idx="27">
                  <c:v>85099F</c:v>
                </c:pt>
                <c:pt idx="28">
                  <c:v>22469</c:v>
                </c:pt>
                <c:pt idx="29">
                  <c:v>23245</c:v>
                </c:pt>
              </c:strCache>
            </c:strRef>
          </c:cat>
          <c:val>
            <c:numRef>
              <c:f>Pareto_Analysis!$D$7:$D$36</c:f>
              <c:numCache>
                <c:formatCode>\£#,##0.00</c:formatCode>
                <c:ptCount val="30"/>
                <c:pt idx="0">
                  <c:v>206248.77</c:v>
                </c:pt>
                <c:pt idx="1">
                  <c:v>174484.74</c:v>
                </c:pt>
                <c:pt idx="2">
                  <c:v>168469.6</c:v>
                </c:pt>
                <c:pt idx="3">
                  <c:v>104340.29</c:v>
                </c:pt>
                <c:pt idx="4">
                  <c:v>99504.33</c:v>
                </c:pt>
                <c:pt idx="5">
                  <c:v>94340.05</c:v>
                </c:pt>
                <c:pt idx="6">
                  <c:v>81700.92</c:v>
                </c:pt>
                <c:pt idx="7">
                  <c:v>78110.27</c:v>
                </c:pt>
                <c:pt idx="8">
                  <c:v>78101.88</c:v>
                </c:pt>
                <c:pt idx="9">
                  <c:v>66964.990000000005</c:v>
                </c:pt>
                <c:pt idx="10">
                  <c:v>64952.29</c:v>
                </c:pt>
                <c:pt idx="11">
                  <c:v>59094.93</c:v>
                </c:pt>
                <c:pt idx="12">
                  <c:v>54117.760000000002</c:v>
                </c:pt>
                <c:pt idx="13">
                  <c:v>42548.13</c:v>
                </c:pt>
                <c:pt idx="14">
                  <c:v>42436.24</c:v>
                </c:pt>
                <c:pt idx="15">
                  <c:v>40652.129999999997</c:v>
                </c:pt>
                <c:pt idx="16">
                  <c:v>39619.5</c:v>
                </c:pt>
                <c:pt idx="17">
                  <c:v>38166.639999999999</c:v>
                </c:pt>
                <c:pt idx="18">
                  <c:v>38158.39</c:v>
                </c:pt>
                <c:pt idx="19">
                  <c:v>37128.879999999997</c:v>
                </c:pt>
                <c:pt idx="20">
                  <c:v>36030.22</c:v>
                </c:pt>
                <c:pt idx="21">
                  <c:v>35752.01</c:v>
                </c:pt>
                <c:pt idx="22">
                  <c:v>34298.870000000003</c:v>
                </c:pt>
                <c:pt idx="23">
                  <c:v>33187.97</c:v>
                </c:pt>
                <c:pt idx="24">
                  <c:v>33002.589999999997</c:v>
                </c:pt>
                <c:pt idx="25">
                  <c:v>32873.339999999997</c:v>
                </c:pt>
                <c:pt idx="26">
                  <c:v>32866.18</c:v>
                </c:pt>
                <c:pt idx="27">
                  <c:v>32570.47</c:v>
                </c:pt>
                <c:pt idx="28">
                  <c:v>32107.8</c:v>
                </c:pt>
                <c:pt idx="29">
                  <c:v>31177.95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4-4D63-8CD0-43336F25C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06474"/>
        <c:axId val="91278286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Pareto_Analysis!$B$7:$B$36</c:f>
              <c:strCache>
                <c:ptCount val="30"/>
                <c:pt idx="0">
                  <c:v>DOT</c:v>
                </c:pt>
                <c:pt idx="1">
                  <c:v>22423</c:v>
                </c:pt>
                <c:pt idx="2">
                  <c:v>23843</c:v>
                </c:pt>
                <c:pt idx="3">
                  <c:v>85123A</c:v>
                </c:pt>
                <c:pt idx="4">
                  <c:v>47566</c:v>
                </c:pt>
                <c:pt idx="5">
                  <c:v>85099B</c:v>
                </c:pt>
                <c:pt idx="6">
                  <c:v>23166</c:v>
                </c:pt>
                <c:pt idx="7">
                  <c:v>M</c:v>
                </c:pt>
                <c:pt idx="8">
                  <c:v>POST</c:v>
                </c:pt>
                <c:pt idx="9">
                  <c:v>23084</c:v>
                </c:pt>
                <c:pt idx="10">
                  <c:v>22086</c:v>
                </c:pt>
                <c:pt idx="11">
                  <c:v>84879</c:v>
                </c:pt>
                <c:pt idx="12">
                  <c:v>79321</c:v>
                </c:pt>
                <c:pt idx="13">
                  <c:v>23298</c:v>
                </c:pt>
                <c:pt idx="14">
                  <c:v>22386</c:v>
                </c:pt>
                <c:pt idx="15">
                  <c:v>21137</c:v>
                </c:pt>
                <c:pt idx="16">
                  <c:v>22502</c:v>
                </c:pt>
                <c:pt idx="17">
                  <c:v>23284</c:v>
                </c:pt>
                <c:pt idx="18">
                  <c:v>22720</c:v>
                </c:pt>
                <c:pt idx="19">
                  <c:v>22960</c:v>
                </c:pt>
                <c:pt idx="20">
                  <c:v>82484</c:v>
                </c:pt>
                <c:pt idx="21">
                  <c:v>20725</c:v>
                </c:pt>
                <c:pt idx="22">
                  <c:v>22197</c:v>
                </c:pt>
                <c:pt idx="23">
                  <c:v>22178</c:v>
                </c:pt>
                <c:pt idx="24">
                  <c:v>22114</c:v>
                </c:pt>
                <c:pt idx="25">
                  <c:v>22910</c:v>
                </c:pt>
                <c:pt idx="26">
                  <c:v>22112</c:v>
                </c:pt>
                <c:pt idx="27">
                  <c:v>85099F</c:v>
                </c:pt>
                <c:pt idx="28">
                  <c:v>22469</c:v>
                </c:pt>
                <c:pt idx="29">
                  <c:v>23245</c:v>
                </c:pt>
              </c:strCache>
            </c:strRef>
          </c:cat>
          <c:val>
            <c:numRef>
              <c:f>Pareto_Analysis!$H$7:$H$36</c:f>
              <c:numCache>
                <c:formatCode>0.00%</c:formatCode>
                <c:ptCount val="30"/>
                <c:pt idx="0">
                  <c:v>1.933578978071623E-2</c:v>
                </c:pt>
                <c:pt idx="1">
                  <c:v>3.5693706739847328E-2</c:v>
                </c:pt>
                <c:pt idx="2">
                  <c:v>5.1487705269105705E-2</c:v>
                </c:pt>
                <c:pt idx="3">
                  <c:v>6.126959106216507E-2</c:v>
                </c:pt>
                <c:pt idx="4">
                  <c:v>7.0598106365073368E-2</c:v>
                </c:pt>
                <c:pt idx="5">
                  <c:v>7.9442471229417819E-2</c:v>
                </c:pt>
                <c:pt idx="6">
                  <c:v>8.7101919642182252E-2</c:v>
                </c:pt>
                <c:pt idx="7">
                  <c:v>9.4424745181626607E-2</c:v>
                </c:pt>
                <c:pt idx="8">
                  <c:v>0.10174678415988925</c:v>
                </c:pt>
                <c:pt idx="9">
                  <c:v>0.10802474145053279</c:v>
                </c:pt>
                <c:pt idx="10">
                  <c:v>0.11411400843242131</c:v>
                </c:pt>
                <c:pt idx="11">
                  <c:v>0.11965414883464595</c:v>
                </c:pt>
                <c:pt idx="12">
                  <c:v>0.12472768033140715</c:v>
                </c:pt>
                <c:pt idx="13">
                  <c:v>0.12871656083354338</c:v>
                </c:pt>
                <c:pt idx="14">
                  <c:v>0.13269495166576034</c:v>
                </c:pt>
                <c:pt idx="15">
                  <c:v>0.13650608246580509</c:v>
                </c:pt>
                <c:pt idx="16">
                  <c:v>0.14022040436560157</c:v>
                </c:pt>
                <c:pt idx="17">
                  <c:v>0.14379852086867828</c:v>
                </c:pt>
                <c:pt idx="18">
                  <c:v>0.14737586393555127</c:v>
                </c:pt>
                <c:pt idx="19">
                  <c:v>0.15085669060168574</c:v>
                </c:pt>
                <c:pt idx="20">
                  <c:v>0.15423451806544689</c:v>
                </c:pt>
                <c:pt idx="21">
                  <c:v>0.15758626338542173</c:v>
                </c:pt>
                <c:pt idx="22">
                  <c:v>0.16080177705872081</c:v>
                </c:pt>
                <c:pt idx="23">
                  <c:v>0.16391314403156973</c:v>
                </c:pt>
                <c:pt idx="24">
                  <c:v>0.16700713165854647</c:v>
                </c:pt>
                <c:pt idx="25">
                  <c:v>0.17008900211833156</c:v>
                </c:pt>
                <c:pt idx="26">
                  <c:v>0.17317020132924166</c:v>
                </c:pt>
                <c:pt idx="27">
                  <c:v>0.17622367777411513</c:v>
                </c:pt>
                <c:pt idx="28">
                  <c:v>0.17923377897918549</c:v>
                </c:pt>
                <c:pt idx="29">
                  <c:v>0.18215670689285829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74-4D63-8CD0-43336F25C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832638"/>
        <c:axId val="86462796"/>
      </c:lineChart>
      <c:catAx>
        <c:axId val="333064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1278286"/>
        <c:crosses val="autoZero"/>
        <c:auto val="1"/>
        <c:lblAlgn val="ctr"/>
        <c:lblOffset val="100"/>
        <c:noMultiLvlLbl val="0"/>
      </c:catAx>
      <c:valAx>
        <c:axId val="912782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3306474"/>
        <c:crosses val="autoZero"/>
        <c:crossBetween val="between"/>
      </c:valAx>
      <c:catAx>
        <c:axId val="278326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462796"/>
        <c:crosses val="autoZero"/>
        <c:auto val="1"/>
        <c:lblAlgn val="ctr"/>
        <c:lblOffset val="100"/>
        <c:noMultiLvlLbl val="0"/>
      </c:catAx>
      <c:valAx>
        <c:axId val="86462796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783263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&amp; 3-Month Moving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TimeSeries_Forecast!$A$4:$A$27</c:f>
              <c:numCache>
                <c:formatCode>mmm\-yyyy</c:formatCode>
                <c:ptCount val="24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</c:numCache>
            </c:numRef>
          </c:cat>
          <c:val>
            <c:numRef>
              <c:f>TimeSeries_Forecast!$B$4:$B$27</c:f>
              <c:numCache>
                <c:formatCode>\£#,##0.00</c:formatCode>
                <c:ptCount val="24"/>
                <c:pt idx="0">
                  <c:v>58960.79</c:v>
                </c:pt>
                <c:pt idx="1">
                  <c:v>47748.38</c:v>
                </c:pt>
                <c:pt idx="2">
                  <c:v>46943.71</c:v>
                </c:pt>
                <c:pt idx="3">
                  <c:v>0</c:v>
                </c:pt>
                <c:pt idx="4">
                  <c:v>31774.95</c:v>
                </c:pt>
                <c:pt idx="5">
                  <c:v>54830.46</c:v>
                </c:pt>
                <c:pt idx="6">
                  <c:v>99618.2</c:v>
                </c:pt>
                <c:pt idx="7">
                  <c:v>45389.98</c:v>
                </c:pt>
                <c:pt idx="8">
                  <c:v>53586.18</c:v>
                </c:pt>
                <c:pt idx="9">
                  <c:v>59182.92</c:v>
                </c:pt>
                <c:pt idx="10">
                  <c:v>0</c:v>
                </c:pt>
                <c:pt idx="11">
                  <c:v>325710.57</c:v>
                </c:pt>
                <c:pt idx="12">
                  <c:v>702201.27</c:v>
                </c:pt>
                <c:pt idx="13">
                  <c:v>576737.18999999994</c:v>
                </c:pt>
                <c:pt idx="14">
                  <c:v>758658.51</c:v>
                </c:pt>
                <c:pt idx="15">
                  <c:v>707968.04099999997</c:v>
                </c:pt>
                <c:pt idx="16">
                  <c:v>826693.54</c:v>
                </c:pt>
                <c:pt idx="17">
                  <c:v>788024.86</c:v>
                </c:pt>
                <c:pt idx="18">
                  <c:v>906494.27099999995</c:v>
                </c:pt>
                <c:pt idx="19">
                  <c:v>755231.15</c:v>
                </c:pt>
                <c:pt idx="20">
                  <c:v>1205462.4720000001</c:v>
                </c:pt>
                <c:pt idx="21">
                  <c:v>1029973.78</c:v>
                </c:pt>
                <c:pt idx="22">
                  <c:v>1340417.58</c:v>
                </c:pt>
                <c:pt idx="23">
                  <c:v>245075.74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FA-4ADF-A7E3-A3C02800E4BF}"/>
            </c:ext>
          </c:extLst>
        </c:ser>
        <c:ser>
          <c:idx val="1"/>
          <c:order val="1"/>
          <c:tx>
            <c:v>3M Moving Average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TimeSeries_Forecast!$A$4:$A$27</c:f>
              <c:numCache>
                <c:formatCode>mmm\-yyyy</c:formatCode>
                <c:ptCount val="24"/>
                <c:pt idx="0">
                  <c:v>40179</c:v>
                </c:pt>
                <c:pt idx="1">
                  <c:v>40210</c:v>
                </c:pt>
                <c:pt idx="2">
                  <c:v>40238</c:v>
                </c:pt>
                <c:pt idx="3">
                  <c:v>40269</c:v>
                </c:pt>
                <c:pt idx="4">
                  <c:v>40299</c:v>
                </c:pt>
                <c:pt idx="5">
                  <c:v>40330</c:v>
                </c:pt>
                <c:pt idx="6">
                  <c:v>40360</c:v>
                </c:pt>
                <c:pt idx="7">
                  <c:v>40391</c:v>
                </c:pt>
                <c:pt idx="8">
                  <c:v>40422</c:v>
                </c:pt>
                <c:pt idx="9">
                  <c:v>40452</c:v>
                </c:pt>
                <c:pt idx="10">
                  <c:v>40483</c:v>
                </c:pt>
                <c:pt idx="11">
                  <c:v>40513</c:v>
                </c:pt>
                <c:pt idx="12">
                  <c:v>40544</c:v>
                </c:pt>
                <c:pt idx="13">
                  <c:v>40575</c:v>
                </c:pt>
                <c:pt idx="14">
                  <c:v>40603</c:v>
                </c:pt>
                <c:pt idx="15">
                  <c:v>40634</c:v>
                </c:pt>
                <c:pt idx="16">
                  <c:v>40664</c:v>
                </c:pt>
                <c:pt idx="17">
                  <c:v>40695</c:v>
                </c:pt>
                <c:pt idx="18">
                  <c:v>40725</c:v>
                </c:pt>
                <c:pt idx="19">
                  <c:v>40756</c:v>
                </c:pt>
                <c:pt idx="20">
                  <c:v>40787</c:v>
                </c:pt>
                <c:pt idx="21">
                  <c:v>40817</c:v>
                </c:pt>
                <c:pt idx="22">
                  <c:v>40848</c:v>
                </c:pt>
                <c:pt idx="23">
                  <c:v>40878</c:v>
                </c:pt>
              </c:numCache>
            </c:numRef>
          </c:cat>
          <c:val>
            <c:numRef>
              <c:f>TimeSeries_Forecast!$D$4:$D$27</c:f>
              <c:numCache>
                <c:formatCode>\£#,##0.00</c:formatCode>
                <c:ptCount val="24"/>
                <c:pt idx="2">
                  <c:v>51217.6266666667</c:v>
                </c:pt>
                <c:pt idx="3">
                  <c:v>31564.03</c:v>
                </c:pt>
                <c:pt idx="4">
                  <c:v>26239.553333333301</c:v>
                </c:pt>
                <c:pt idx="5">
                  <c:v>28868.47</c:v>
                </c:pt>
                <c:pt idx="6">
                  <c:v>62074.536666666703</c:v>
                </c:pt>
                <c:pt idx="7">
                  <c:v>66612.88</c:v>
                </c:pt>
                <c:pt idx="8">
                  <c:v>66198.12</c:v>
                </c:pt>
                <c:pt idx="9">
                  <c:v>52719.6933333333</c:v>
                </c:pt>
                <c:pt idx="10">
                  <c:v>37589.699999999997</c:v>
                </c:pt>
                <c:pt idx="11">
                  <c:v>128297.83</c:v>
                </c:pt>
                <c:pt idx="12">
                  <c:v>342637.28</c:v>
                </c:pt>
                <c:pt idx="13">
                  <c:v>534883.01</c:v>
                </c:pt>
                <c:pt idx="14">
                  <c:v>679198.99</c:v>
                </c:pt>
                <c:pt idx="15">
                  <c:v>681121.24699999997</c:v>
                </c:pt>
                <c:pt idx="16">
                  <c:v>764440.03033333295</c:v>
                </c:pt>
                <c:pt idx="17">
                  <c:v>774228.81366666697</c:v>
                </c:pt>
                <c:pt idx="18">
                  <c:v>840404.22366666701</c:v>
                </c:pt>
                <c:pt idx="19">
                  <c:v>816583.42700000003</c:v>
                </c:pt>
                <c:pt idx="20">
                  <c:v>955729.29766666703</c:v>
                </c:pt>
                <c:pt idx="21">
                  <c:v>996889.13399999996</c:v>
                </c:pt>
                <c:pt idx="22">
                  <c:v>1191951.2773333299</c:v>
                </c:pt>
                <c:pt idx="23">
                  <c:v>871822.36666666705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FA-4ADF-A7E3-A3C02800E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077894"/>
        <c:axId val="40008550"/>
      </c:lineChart>
      <c:dateAx>
        <c:axId val="330778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0008550"/>
        <c:crosses val="autoZero"/>
        <c:auto val="1"/>
        <c:lblOffset val="100"/>
        <c:baseTimeUnit val="months"/>
      </c:dateAx>
      <c:valAx>
        <c:axId val="400085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3077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101160</xdr:rowOff>
    </xdr:from>
    <xdr:to>
      <xdr:col>19</xdr:col>
      <xdr:colOff>227880</xdr:colOff>
      <xdr:row>18</xdr:row>
      <xdr:rowOff>71640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101160</xdr:rowOff>
    </xdr:from>
    <xdr:to>
      <xdr:col>17</xdr:col>
      <xdr:colOff>610920</xdr:colOff>
      <xdr:row>37</xdr:row>
      <xdr:rowOff>100080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312480</xdr:rowOff>
    </xdr:from>
    <xdr:to>
      <xdr:col>16</xdr:col>
      <xdr:colOff>342360</xdr:colOff>
      <xdr:row>25</xdr:row>
      <xdr:rowOff>51120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Normal="100" workbookViewId="0">
      <selection activeCell="B12" sqref="B12"/>
    </sheetView>
  </sheetViews>
  <sheetFormatPr defaultColWidth="8.7109375" defaultRowHeight="15" x14ac:dyDescent="0.25"/>
  <cols>
    <col min="1" max="1" width="32.7109375" style="22" customWidth="1"/>
    <col min="2" max="2" width="22.7109375" style="22" customWidth="1"/>
    <col min="4" max="4" width="63" customWidth="1"/>
    <col min="5" max="5" width="65.7109375" customWidth="1"/>
  </cols>
  <sheetData>
    <row r="1" spans="1:5" ht="23.25" x14ac:dyDescent="0.25">
      <c r="A1" s="2" t="s">
        <v>0</v>
      </c>
      <c r="B1" s="2"/>
      <c r="C1" s="2"/>
      <c r="D1" s="2"/>
      <c r="E1" s="2"/>
    </row>
    <row r="3" spans="1:5" x14ac:dyDescent="0.25">
      <c r="D3" s="3" t="s">
        <v>1</v>
      </c>
    </row>
    <row r="4" spans="1:5" ht="30" x14ac:dyDescent="0.25">
      <c r="A4" s="23" t="s">
        <v>2</v>
      </c>
      <c r="B4" s="24">
        <f>Data_Profile!B4</f>
        <v>541909</v>
      </c>
      <c r="D4" s="6" t="s">
        <v>3</v>
      </c>
    </row>
    <row r="5" spans="1:5" ht="45" x14ac:dyDescent="0.25">
      <c r="A5" s="23" t="s">
        <v>4</v>
      </c>
      <c r="B5" s="24">
        <f>Data_Profile!B5</f>
        <v>135080</v>
      </c>
      <c r="D5" s="6" t="s">
        <v>5</v>
      </c>
    </row>
    <row r="6" spans="1:5" x14ac:dyDescent="0.25">
      <c r="A6" s="23" t="s">
        <v>6</v>
      </c>
      <c r="B6" s="24">
        <f>Data_Profile!B6</f>
        <v>1454</v>
      </c>
      <c r="D6" s="6" t="s">
        <v>7</v>
      </c>
    </row>
    <row r="7" spans="1:5" ht="30" x14ac:dyDescent="0.25">
      <c r="A7" s="23" t="s">
        <v>8</v>
      </c>
      <c r="B7" s="24">
        <f>Data_Profile!B7</f>
        <v>530104</v>
      </c>
      <c r="D7" s="6" t="s">
        <v>9</v>
      </c>
    </row>
    <row r="8" spans="1:5" ht="30" x14ac:dyDescent="0.25">
      <c r="A8" s="23" t="s">
        <v>10</v>
      </c>
      <c r="B8" s="25">
        <f>Data_Profile!C7</f>
        <v>10666684.544</v>
      </c>
      <c r="D8" s="6" t="s">
        <v>11</v>
      </c>
    </row>
    <row r="9" spans="1:5" x14ac:dyDescent="0.25">
      <c r="A9" s="23" t="s">
        <v>12</v>
      </c>
      <c r="B9" s="24">
        <f>Data_Profile!D7</f>
        <v>19960</v>
      </c>
    </row>
    <row r="10" spans="1:5" x14ac:dyDescent="0.25">
      <c r="A10" s="23" t="s">
        <v>13</v>
      </c>
      <c r="B10" s="25">
        <f>B8/B9</f>
        <v>534.40303326653304</v>
      </c>
    </row>
    <row r="11" spans="1:5" x14ac:dyDescent="0.25">
      <c r="A11" s="23" t="s">
        <v>14</v>
      </c>
      <c r="B11" s="25">
        <f>Data_Profile!C5</f>
        <v>1755276.64</v>
      </c>
    </row>
    <row r="12" spans="1:5" x14ac:dyDescent="0.25">
      <c r="A12" s="23" t="s">
        <v>15</v>
      </c>
      <c r="B12" s="26">
        <f>B11/B8</f>
        <v>0.16455690920262017</v>
      </c>
    </row>
    <row r="13" spans="1:5" x14ac:dyDescent="0.25">
      <c r="A13" s="23" t="s">
        <v>16</v>
      </c>
      <c r="B13" s="27">
        <f>Pareto_Analysis!K8</f>
        <v>0.79888897293707772</v>
      </c>
    </row>
    <row r="14" spans="1:5" x14ac:dyDescent="0.25">
      <c r="A14" s="23" t="s">
        <v>17</v>
      </c>
      <c r="B14" s="28">
        <f>Pareto_Analysis!K10</f>
        <v>2.1417351292019131E-3</v>
      </c>
    </row>
    <row r="15" spans="1:5" x14ac:dyDescent="0.25">
      <c r="A15" s="23" t="s">
        <v>18</v>
      </c>
      <c r="B15" s="25">
        <f>TimeSeries_Forecast!J6</f>
        <v>2692926.1849907124</v>
      </c>
    </row>
  </sheetData>
  <mergeCells count="1">
    <mergeCell ref="A1:E1"/>
  </mergeCells>
  <hyperlinks>
    <hyperlink ref="B12" location="Pareto_Analysis!K8" display="#Pareto_Analysis.K8" xr:uid="{00000000-0004-0000-0000-000000000000}"/>
    <hyperlink ref="B13" location="TimeSeries_Forecast!J6" display="#TimeSeries_Forecast.J6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Normal="100" workbookViewId="0">
      <selection sqref="A1:E1"/>
    </sheetView>
  </sheetViews>
  <sheetFormatPr defaultColWidth="8.7109375" defaultRowHeight="15" customHeight="1" x14ac:dyDescent="0.25"/>
  <cols>
    <col min="1" max="1" width="30.7109375" customWidth="1"/>
    <col min="2" max="4" width="20.7109375" customWidth="1"/>
    <col min="5" max="5" width="70.7109375" customWidth="1"/>
  </cols>
  <sheetData>
    <row r="1" spans="1:5" ht="21.75" customHeight="1" x14ac:dyDescent="0.25">
      <c r="A1" s="2" t="s">
        <v>19</v>
      </c>
      <c r="B1" s="2"/>
      <c r="C1" s="2"/>
      <c r="D1" s="2"/>
      <c r="E1" s="2"/>
    </row>
    <row r="3" spans="1:5" ht="15" customHeight="1" x14ac:dyDescent="0.25">
      <c r="A3" s="9" t="s">
        <v>20</v>
      </c>
      <c r="B3" s="9" t="s">
        <v>21</v>
      </c>
      <c r="C3" s="9" t="s">
        <v>22</v>
      </c>
      <c r="D3" s="9" t="s">
        <v>23</v>
      </c>
      <c r="E3" s="9" t="s">
        <v>24</v>
      </c>
    </row>
    <row r="4" spans="1:5" ht="15" customHeight="1" x14ac:dyDescent="0.25">
      <c r="A4" s="10" t="s">
        <v>25</v>
      </c>
      <c r="B4" s="5">
        <v>541909</v>
      </c>
      <c r="C4" s="7">
        <v>10666684.544</v>
      </c>
      <c r="D4" s="5">
        <v>19960</v>
      </c>
      <c r="E4" s="6" t="s">
        <v>26</v>
      </c>
    </row>
    <row r="5" spans="1:5" ht="15" customHeight="1" x14ac:dyDescent="0.25">
      <c r="A5" s="10" t="s">
        <v>4</v>
      </c>
      <c r="B5" s="5">
        <v>135080</v>
      </c>
      <c r="C5" s="7">
        <v>1755276.64</v>
      </c>
      <c r="D5" s="5">
        <v>1428</v>
      </c>
      <c r="E5" s="6" t="s">
        <v>27</v>
      </c>
    </row>
    <row r="6" spans="1:5" ht="27.75" customHeight="1" x14ac:dyDescent="0.25">
      <c r="A6" s="10" t="s">
        <v>6</v>
      </c>
      <c r="B6" s="5">
        <v>1454</v>
      </c>
      <c r="C6" s="7">
        <v>0</v>
      </c>
      <c r="D6" s="5">
        <v>0</v>
      </c>
      <c r="E6" s="6" t="s">
        <v>28</v>
      </c>
    </row>
    <row r="7" spans="1:5" ht="15" customHeight="1" x14ac:dyDescent="0.25">
      <c r="A7" s="10" t="s">
        <v>8</v>
      </c>
      <c r="B7" s="5">
        <v>530104</v>
      </c>
      <c r="C7" s="7">
        <v>10666684.544</v>
      </c>
      <c r="D7" s="5">
        <v>19960</v>
      </c>
      <c r="E7" s="6" t="s">
        <v>29</v>
      </c>
    </row>
    <row r="9" spans="1:5" ht="15" customHeight="1" x14ac:dyDescent="0.25">
      <c r="A9" s="4" t="s">
        <v>30</v>
      </c>
      <c r="B9" s="11">
        <f>B5/B4</f>
        <v>0.24926694334288599</v>
      </c>
    </row>
    <row r="10" spans="1:5" ht="15" customHeight="1" x14ac:dyDescent="0.25">
      <c r="A10" s="4" t="s">
        <v>31</v>
      </c>
      <c r="B10" s="11">
        <f>B6/B4</f>
        <v>2.6831073113751571E-3</v>
      </c>
    </row>
    <row r="11" spans="1:5" ht="15" customHeight="1" x14ac:dyDescent="0.25">
      <c r="A11" s="4" t="s">
        <v>15</v>
      </c>
      <c r="B11" s="11">
        <f>C5/C4</f>
        <v>0.16455690920262017</v>
      </c>
    </row>
    <row r="12" spans="1:5" ht="15" customHeight="1" x14ac:dyDescent="0.25">
      <c r="A12" s="4" t="s">
        <v>32</v>
      </c>
      <c r="B12" s="11">
        <f>C6/C4</f>
        <v>0</v>
      </c>
    </row>
    <row r="15" spans="1:5" ht="15" customHeight="1" x14ac:dyDescent="0.25">
      <c r="A15" s="3" t="s">
        <v>33</v>
      </c>
    </row>
    <row r="16" spans="1:5" ht="219.75" customHeight="1" x14ac:dyDescent="0.25">
      <c r="A16" s="6" t="s">
        <v>34</v>
      </c>
    </row>
    <row r="20" spans="1:1" ht="15" customHeight="1" x14ac:dyDescent="0.25">
      <c r="A20" s="3" t="s">
        <v>35</v>
      </c>
    </row>
    <row r="21" spans="1:1" ht="219.75" customHeight="1" x14ac:dyDescent="0.25">
      <c r="A21" s="6" t="s">
        <v>36</v>
      </c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Normal="100" workbookViewId="0">
      <selection sqref="A1:I1"/>
    </sheetView>
  </sheetViews>
  <sheetFormatPr defaultColWidth="8.7109375" defaultRowHeight="15" customHeight="1" x14ac:dyDescent="0.25"/>
  <cols>
    <col min="1" max="1" width="10.7109375" customWidth="1"/>
    <col min="2" max="8" width="18.7109375" customWidth="1"/>
    <col min="9" max="9" width="24.7109375" customWidth="1"/>
  </cols>
  <sheetData>
    <row r="1" spans="1:9" ht="21.75" customHeight="1" x14ac:dyDescent="0.25">
      <c r="A1" s="2" t="s">
        <v>37</v>
      </c>
      <c r="B1" s="2"/>
      <c r="C1" s="2"/>
      <c r="D1" s="2"/>
      <c r="E1" s="2"/>
      <c r="F1" s="2"/>
      <c r="G1" s="2"/>
      <c r="H1" s="2"/>
      <c r="I1" s="2"/>
    </row>
    <row r="3" spans="1:9" ht="15" customHeight="1" x14ac:dyDescent="0.25">
      <c r="A3" s="9" t="s">
        <v>38</v>
      </c>
      <c r="B3" s="9" t="s">
        <v>22</v>
      </c>
      <c r="C3" s="9" t="s">
        <v>23</v>
      </c>
      <c r="D3" s="9" t="s">
        <v>39</v>
      </c>
      <c r="E3" s="9" t="s">
        <v>13</v>
      </c>
      <c r="F3" s="9" t="s">
        <v>40</v>
      </c>
      <c r="G3" s="9" t="s">
        <v>41</v>
      </c>
      <c r="H3" s="9" t="s">
        <v>42</v>
      </c>
      <c r="I3" s="9" t="s">
        <v>43</v>
      </c>
    </row>
    <row r="4" spans="1:9" ht="15" customHeight="1" x14ac:dyDescent="0.25">
      <c r="A4" s="5">
        <v>6</v>
      </c>
      <c r="B4" s="7">
        <v>4.25</v>
      </c>
      <c r="C4" s="5">
        <v>1</v>
      </c>
      <c r="D4" s="5">
        <v>1</v>
      </c>
      <c r="E4" s="12">
        <f t="shared" ref="E4:E18" si="0">B4/C4</f>
        <v>4.25</v>
      </c>
      <c r="F4" s="13">
        <f t="shared" ref="F4:F18" si="1">C4/60</f>
        <v>1.6666666666666666E-2</v>
      </c>
      <c r="G4" s="12">
        <f t="shared" ref="G4:G18" si="2">B4/60</f>
        <v>7.0833333333333331E-2</v>
      </c>
      <c r="H4" s="11">
        <f t="shared" ref="H4:H18" si="3">D4/C4</f>
        <v>1</v>
      </c>
      <c r="I4" s="10" t="str">
        <f t="shared" ref="I4:I18" si="4">IF(AND(F4&gt;=MEDIAN($F$4:$F$21),E4&lt;MEDIAN($E$4:$E$21)),"Review","Normal")</f>
        <v>Normal</v>
      </c>
    </row>
    <row r="5" spans="1:9" ht="15" customHeight="1" x14ac:dyDescent="0.25">
      <c r="A5" s="5">
        <v>7</v>
      </c>
      <c r="B5" s="7">
        <v>31059.21</v>
      </c>
      <c r="C5" s="5">
        <v>29</v>
      </c>
      <c r="D5" s="5">
        <v>28</v>
      </c>
      <c r="E5" s="12">
        <f t="shared" si="0"/>
        <v>1071.0072413793102</v>
      </c>
      <c r="F5" s="13">
        <f t="shared" si="1"/>
        <v>0.48333333333333334</v>
      </c>
      <c r="G5" s="12">
        <f t="shared" si="2"/>
        <v>517.65350000000001</v>
      </c>
      <c r="H5" s="11">
        <f t="shared" si="3"/>
        <v>0.96551724137931039</v>
      </c>
      <c r="I5" s="10" t="str">
        <f t="shared" si="4"/>
        <v>Normal</v>
      </c>
    </row>
    <row r="6" spans="1:9" ht="15" customHeight="1" x14ac:dyDescent="0.25">
      <c r="A6" s="5">
        <v>8</v>
      </c>
      <c r="B6" s="7">
        <v>283868.52</v>
      </c>
      <c r="C6" s="5">
        <v>566</v>
      </c>
      <c r="D6" s="5">
        <v>427</v>
      </c>
      <c r="E6" s="12">
        <f t="shared" si="0"/>
        <v>501.53448763250884</v>
      </c>
      <c r="F6" s="13">
        <f t="shared" si="1"/>
        <v>9.4333333333333336</v>
      </c>
      <c r="G6" s="12">
        <f t="shared" si="2"/>
        <v>4731.1420000000007</v>
      </c>
      <c r="H6" s="11">
        <f t="shared" si="3"/>
        <v>0.75441696113074208</v>
      </c>
      <c r="I6" s="10" t="str">
        <f t="shared" si="4"/>
        <v>Normal</v>
      </c>
    </row>
    <row r="7" spans="1:9" ht="15" customHeight="1" x14ac:dyDescent="0.25">
      <c r="A7" s="5">
        <v>9</v>
      </c>
      <c r="B7" s="7">
        <v>990267.821</v>
      </c>
      <c r="C7" s="5">
        <v>1484</v>
      </c>
      <c r="D7" s="5">
        <v>890</v>
      </c>
      <c r="E7" s="12">
        <f t="shared" si="0"/>
        <v>667.29637533692721</v>
      </c>
      <c r="F7" s="13">
        <f t="shared" si="1"/>
        <v>24.733333333333334</v>
      </c>
      <c r="G7" s="12">
        <f t="shared" si="2"/>
        <v>16504.463683333332</v>
      </c>
      <c r="H7" s="11">
        <f t="shared" si="3"/>
        <v>0.59973045822102422</v>
      </c>
      <c r="I7" s="10" t="str">
        <f t="shared" si="4"/>
        <v>Normal</v>
      </c>
    </row>
    <row r="8" spans="1:9" ht="15" customHeight="1" x14ac:dyDescent="0.25">
      <c r="A8" s="5">
        <v>10</v>
      </c>
      <c r="B8" s="7">
        <v>1446742.7009999999</v>
      </c>
      <c r="C8" s="5">
        <v>2361</v>
      </c>
      <c r="D8" s="5">
        <v>1268</v>
      </c>
      <c r="E8" s="12">
        <f t="shared" si="0"/>
        <v>612.76692121982205</v>
      </c>
      <c r="F8" s="13">
        <f t="shared" si="1"/>
        <v>39.35</v>
      </c>
      <c r="G8" s="12">
        <f t="shared" si="2"/>
        <v>24112.378349999999</v>
      </c>
      <c r="H8" s="11">
        <f t="shared" si="3"/>
        <v>0.53706056755612031</v>
      </c>
      <c r="I8" s="10" t="str">
        <f t="shared" si="4"/>
        <v>Normal</v>
      </c>
    </row>
    <row r="9" spans="1:9" ht="15" customHeight="1" x14ac:dyDescent="0.25">
      <c r="A9" s="5">
        <v>11</v>
      </c>
      <c r="B9" s="7">
        <v>1239954.44</v>
      </c>
      <c r="C9" s="5">
        <v>2396</v>
      </c>
      <c r="D9" s="5">
        <v>1303</v>
      </c>
      <c r="E9" s="12">
        <f t="shared" si="0"/>
        <v>517.51020033388977</v>
      </c>
      <c r="F9" s="13">
        <f t="shared" si="1"/>
        <v>39.93333333333333</v>
      </c>
      <c r="G9" s="12">
        <f t="shared" si="2"/>
        <v>20665.907333333333</v>
      </c>
      <c r="H9" s="11">
        <f t="shared" si="3"/>
        <v>0.54382303839732893</v>
      </c>
      <c r="I9" s="10" t="str">
        <f t="shared" si="4"/>
        <v>Review</v>
      </c>
    </row>
    <row r="10" spans="1:9" ht="15" customHeight="1" x14ac:dyDescent="0.25">
      <c r="A10" s="5">
        <v>12</v>
      </c>
      <c r="B10" s="7">
        <v>1444245.88</v>
      </c>
      <c r="C10" s="5">
        <v>3220</v>
      </c>
      <c r="D10" s="5">
        <v>1637</v>
      </c>
      <c r="E10" s="12">
        <f t="shared" si="0"/>
        <v>448.52356521739125</v>
      </c>
      <c r="F10" s="13">
        <f t="shared" si="1"/>
        <v>53.666666666666664</v>
      </c>
      <c r="G10" s="12">
        <f t="shared" si="2"/>
        <v>24070.764666666666</v>
      </c>
      <c r="H10" s="11">
        <f t="shared" si="3"/>
        <v>0.50838509316770186</v>
      </c>
      <c r="I10" s="10" t="str">
        <f t="shared" si="4"/>
        <v>Review</v>
      </c>
    </row>
    <row r="11" spans="1:9" ht="15" customHeight="1" x14ac:dyDescent="0.25">
      <c r="A11" s="5">
        <v>13</v>
      </c>
      <c r="B11" s="7">
        <v>1265736.3</v>
      </c>
      <c r="C11" s="5">
        <v>2753</v>
      </c>
      <c r="D11" s="5">
        <v>1573</v>
      </c>
      <c r="E11" s="12">
        <f t="shared" si="0"/>
        <v>459.76618234653108</v>
      </c>
      <c r="F11" s="13">
        <f t="shared" si="1"/>
        <v>45.883333333333333</v>
      </c>
      <c r="G11" s="12">
        <f t="shared" si="2"/>
        <v>21095.605</v>
      </c>
      <c r="H11" s="11">
        <f t="shared" si="3"/>
        <v>0.57137667998547037</v>
      </c>
      <c r="I11" s="10" t="str">
        <f t="shared" si="4"/>
        <v>Review</v>
      </c>
    </row>
    <row r="12" spans="1:9" ht="15" customHeight="1" x14ac:dyDescent="0.25">
      <c r="A12" s="5">
        <v>14</v>
      </c>
      <c r="B12" s="7">
        <v>1181812.371</v>
      </c>
      <c r="C12" s="5">
        <v>2457</v>
      </c>
      <c r="D12" s="5">
        <v>1386</v>
      </c>
      <c r="E12" s="12">
        <f t="shared" si="0"/>
        <v>480.998115995116</v>
      </c>
      <c r="F12" s="13">
        <f t="shared" si="1"/>
        <v>40.950000000000003</v>
      </c>
      <c r="G12" s="12">
        <f t="shared" si="2"/>
        <v>19696.87285</v>
      </c>
      <c r="H12" s="11">
        <f t="shared" si="3"/>
        <v>0.5641025641025641</v>
      </c>
      <c r="I12" s="10" t="str">
        <f t="shared" si="4"/>
        <v>Review</v>
      </c>
    </row>
    <row r="13" spans="1:9" ht="15" customHeight="1" x14ac:dyDescent="0.25">
      <c r="A13" s="5">
        <v>15</v>
      </c>
      <c r="B13" s="7">
        <v>1352972.18</v>
      </c>
      <c r="C13" s="5">
        <v>2336</v>
      </c>
      <c r="D13" s="5">
        <v>1275</v>
      </c>
      <c r="E13" s="12">
        <f t="shared" si="0"/>
        <v>579.18329623287673</v>
      </c>
      <c r="F13" s="13">
        <f t="shared" si="1"/>
        <v>38.93333333333333</v>
      </c>
      <c r="G13" s="12">
        <f t="shared" si="2"/>
        <v>22549.536333333333</v>
      </c>
      <c r="H13" s="11">
        <f t="shared" si="3"/>
        <v>0.54580479452054798</v>
      </c>
      <c r="I13" s="10" t="str">
        <f t="shared" si="4"/>
        <v>Normal</v>
      </c>
    </row>
    <row r="14" spans="1:9" ht="15" customHeight="1" x14ac:dyDescent="0.25">
      <c r="A14" s="5">
        <v>16</v>
      </c>
      <c r="B14" s="7">
        <v>754006.56</v>
      </c>
      <c r="C14" s="5">
        <v>1335</v>
      </c>
      <c r="D14" s="5">
        <v>749</v>
      </c>
      <c r="E14" s="12">
        <f t="shared" si="0"/>
        <v>564.79892134831459</v>
      </c>
      <c r="F14" s="13">
        <f t="shared" si="1"/>
        <v>22.25</v>
      </c>
      <c r="G14" s="12">
        <f t="shared" si="2"/>
        <v>12566.776000000002</v>
      </c>
      <c r="H14" s="11">
        <f t="shared" si="3"/>
        <v>0.56104868913857675</v>
      </c>
      <c r="I14" s="10" t="str">
        <f t="shared" si="4"/>
        <v>Normal</v>
      </c>
    </row>
    <row r="15" spans="1:9" ht="15" customHeight="1" x14ac:dyDescent="0.25">
      <c r="A15" s="5">
        <v>17</v>
      </c>
      <c r="B15" s="7">
        <v>461603.49099999998</v>
      </c>
      <c r="C15" s="5">
        <v>667</v>
      </c>
      <c r="D15" s="5">
        <v>414</v>
      </c>
      <c r="E15" s="12">
        <f t="shared" si="0"/>
        <v>692.0592068965517</v>
      </c>
      <c r="F15" s="13">
        <f t="shared" si="1"/>
        <v>11.116666666666667</v>
      </c>
      <c r="G15" s="12">
        <f t="shared" si="2"/>
        <v>7693.3915166666666</v>
      </c>
      <c r="H15" s="11">
        <f t="shared" si="3"/>
        <v>0.62068965517241381</v>
      </c>
      <c r="I15" s="10" t="str">
        <f t="shared" si="4"/>
        <v>Normal</v>
      </c>
    </row>
    <row r="16" spans="1:9" ht="15" customHeight="1" x14ac:dyDescent="0.25">
      <c r="A16" s="5">
        <v>18</v>
      </c>
      <c r="B16" s="7">
        <v>144813.04999999999</v>
      </c>
      <c r="C16" s="5">
        <v>192</v>
      </c>
      <c r="D16" s="5">
        <v>141</v>
      </c>
      <c r="E16" s="12">
        <f t="shared" si="0"/>
        <v>754.23463541666661</v>
      </c>
      <c r="F16" s="13">
        <f t="shared" si="1"/>
        <v>3.2</v>
      </c>
      <c r="G16" s="12">
        <f t="shared" si="2"/>
        <v>2413.5508333333332</v>
      </c>
      <c r="H16" s="11">
        <f t="shared" si="3"/>
        <v>0.734375</v>
      </c>
      <c r="I16" s="10" t="str">
        <f t="shared" si="4"/>
        <v>Normal</v>
      </c>
    </row>
    <row r="17" spans="1:9" ht="15" customHeight="1" x14ac:dyDescent="0.25">
      <c r="A17" s="5">
        <v>19</v>
      </c>
      <c r="B17" s="7">
        <v>50665.01</v>
      </c>
      <c r="C17" s="5">
        <v>146</v>
      </c>
      <c r="D17" s="5">
        <v>98</v>
      </c>
      <c r="E17" s="12">
        <f t="shared" si="0"/>
        <v>347.02061643835617</v>
      </c>
      <c r="F17" s="13">
        <f t="shared" si="1"/>
        <v>2.4333333333333331</v>
      </c>
      <c r="G17" s="12">
        <f t="shared" si="2"/>
        <v>844.41683333333333</v>
      </c>
      <c r="H17" s="11">
        <f t="shared" si="3"/>
        <v>0.67123287671232879</v>
      </c>
      <c r="I17" s="10" t="str">
        <f t="shared" si="4"/>
        <v>Normal</v>
      </c>
    </row>
    <row r="18" spans="1:9" ht="15" customHeight="1" x14ac:dyDescent="0.25">
      <c r="A18" s="5">
        <v>20</v>
      </c>
      <c r="B18" s="7">
        <v>18932.759999999998</v>
      </c>
      <c r="C18" s="5">
        <v>18</v>
      </c>
      <c r="D18" s="5">
        <v>15</v>
      </c>
      <c r="E18" s="12">
        <f t="shared" si="0"/>
        <v>1051.82</v>
      </c>
      <c r="F18" s="13">
        <f t="shared" si="1"/>
        <v>0.3</v>
      </c>
      <c r="G18" s="12">
        <f t="shared" si="2"/>
        <v>315.54599999999999</v>
      </c>
      <c r="H18" s="11">
        <f t="shared" si="3"/>
        <v>0.83333333333333337</v>
      </c>
      <c r="I18" s="10" t="str">
        <f t="shared" si="4"/>
        <v>Normal</v>
      </c>
    </row>
    <row r="25" spans="1:9" ht="15" customHeight="1" x14ac:dyDescent="0.25">
      <c r="A25" s="3" t="s">
        <v>44</v>
      </c>
    </row>
    <row r="26" spans="1:9" ht="15" customHeight="1" x14ac:dyDescent="0.25">
      <c r="A26" s="1" t="s">
        <v>45</v>
      </c>
      <c r="B26" s="1"/>
      <c r="C26" s="1"/>
      <c r="D26" s="1"/>
      <c r="E26" s="1"/>
      <c r="F26" s="1"/>
      <c r="G26" s="1"/>
      <c r="H26" s="1"/>
      <c r="I26" s="1"/>
    </row>
    <row r="27" spans="1:9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</row>
  </sheetData>
  <mergeCells count="2">
    <mergeCell ref="A1:I1"/>
    <mergeCell ref="A26:I28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67"/>
  <sheetViews>
    <sheetView zoomScaleNormal="100" workbookViewId="0">
      <selection sqref="A1:H1"/>
    </sheetView>
  </sheetViews>
  <sheetFormatPr defaultColWidth="8.7109375" defaultRowHeight="15" customHeight="1" x14ac:dyDescent="0.25"/>
  <cols>
    <col min="1" max="1" width="10.7109375" customWidth="1"/>
    <col min="2" max="2" width="14.7109375" customWidth="1"/>
    <col min="3" max="3" width="40.7109375" customWidth="1"/>
    <col min="4" max="7" width="17.7109375" customWidth="1"/>
    <col min="8" max="8" width="16.7109375" customWidth="1"/>
    <col min="10" max="11" width="28.7109375" customWidth="1"/>
  </cols>
  <sheetData>
    <row r="1" spans="1:11" ht="21.75" customHeight="1" x14ac:dyDescent="0.25">
      <c r="A1" s="2" t="s">
        <v>46</v>
      </c>
      <c r="B1" s="2"/>
      <c r="C1" s="2"/>
      <c r="D1" s="2"/>
      <c r="E1" s="2"/>
      <c r="F1" s="2"/>
      <c r="G1" s="2"/>
      <c r="H1" s="2"/>
    </row>
    <row r="3" spans="1:11" ht="15" customHeight="1" x14ac:dyDescent="0.25">
      <c r="A3" s="4" t="s">
        <v>47</v>
      </c>
      <c r="B3" s="8">
        <v>0.2</v>
      </c>
      <c r="D3" s="4" t="s">
        <v>48</v>
      </c>
      <c r="E3" s="14">
        <f>ROUNDUP(COUNTA(C7:C4167)*$B$3,0)</f>
        <v>833</v>
      </c>
      <c r="G3" s="4" t="s">
        <v>49</v>
      </c>
      <c r="H3" s="14">
        <f>ROUNDUP(COUNTA(C7:C4167)*$B$3,0)</f>
        <v>833</v>
      </c>
    </row>
    <row r="5" spans="1:11" ht="15" customHeight="1" x14ac:dyDescent="0.25">
      <c r="J5" s="3" t="s">
        <v>50</v>
      </c>
    </row>
    <row r="6" spans="1:11" ht="15" customHeight="1" x14ac:dyDescent="0.25">
      <c r="A6" s="9" t="s">
        <v>51</v>
      </c>
      <c r="B6" s="9" t="s">
        <v>52</v>
      </c>
      <c r="C6" s="9" t="s">
        <v>53</v>
      </c>
      <c r="D6" s="9" t="s">
        <v>22</v>
      </c>
      <c r="E6" s="9" t="s">
        <v>54</v>
      </c>
      <c r="F6" s="9" t="s">
        <v>23</v>
      </c>
      <c r="G6" s="9" t="s">
        <v>55</v>
      </c>
      <c r="H6" s="9" t="s">
        <v>56</v>
      </c>
      <c r="J6" s="4" t="s">
        <v>57</v>
      </c>
      <c r="K6" s="7">
        <f>SUM(D7:D4167)</f>
        <v>10666684.544000054</v>
      </c>
    </row>
    <row r="7" spans="1:11" ht="15" customHeight="1" x14ac:dyDescent="0.25">
      <c r="A7" s="5">
        <v>1</v>
      </c>
      <c r="B7" s="10" t="s">
        <v>58</v>
      </c>
      <c r="C7" s="10" t="s">
        <v>59</v>
      </c>
      <c r="D7" s="7">
        <v>206248.77</v>
      </c>
      <c r="E7" s="5">
        <v>706</v>
      </c>
      <c r="F7" s="5">
        <v>706</v>
      </c>
      <c r="G7" s="12">
        <f>SUM($D$7:D7)</f>
        <v>206248.77</v>
      </c>
      <c r="H7" s="11">
        <f t="shared" ref="H7:H70" si="0">G7/SUM($D$7:$D$4167)</f>
        <v>1.933578978071623E-2</v>
      </c>
      <c r="J7" s="4" t="s">
        <v>60</v>
      </c>
      <c r="K7" s="7">
        <f>SUMIF(A7:A4167,"&lt;="&amp;E3,D7:D4167)</f>
        <v>8521496.6600000039</v>
      </c>
    </row>
    <row r="8" spans="1:11" ht="15" customHeight="1" x14ac:dyDescent="0.25">
      <c r="A8" s="5">
        <v>2</v>
      </c>
      <c r="B8" s="10" t="s">
        <v>61</v>
      </c>
      <c r="C8" s="10" t="s">
        <v>62</v>
      </c>
      <c r="D8" s="7">
        <v>174484.74</v>
      </c>
      <c r="E8" s="5">
        <v>13879</v>
      </c>
      <c r="F8" s="5">
        <v>1988</v>
      </c>
      <c r="G8" s="12">
        <f>SUM($D$7:D8)</f>
        <v>380733.51</v>
      </c>
      <c r="H8" s="11">
        <f t="shared" si="0"/>
        <v>3.5693706739847328E-2</v>
      </c>
      <c r="J8" s="4" t="s">
        <v>16</v>
      </c>
      <c r="K8" s="8">
        <f>K7/K6</f>
        <v>0.79888897293707772</v>
      </c>
    </row>
    <row r="9" spans="1:11" ht="15" customHeight="1" x14ac:dyDescent="0.25">
      <c r="A9" s="5">
        <v>3</v>
      </c>
      <c r="B9" s="10" t="s">
        <v>63</v>
      </c>
      <c r="C9" s="10" t="s">
        <v>64</v>
      </c>
      <c r="D9" s="7">
        <v>168469.6</v>
      </c>
      <c r="E9" s="5">
        <v>80995</v>
      </c>
      <c r="F9" s="5">
        <v>1</v>
      </c>
      <c r="G9" s="12">
        <f>SUM($D$7:D9)</f>
        <v>549203.11</v>
      </c>
      <c r="H9" s="11">
        <f t="shared" si="0"/>
        <v>5.1487705269105705E-2</v>
      </c>
      <c r="J9" s="4" t="s">
        <v>65</v>
      </c>
      <c r="K9" s="7">
        <f>SUMIF(A7:A4167,"&gt;"&amp;COUNTA(C7:C4167)-H3,D7:D4167)</f>
        <v>22845.213000000003</v>
      </c>
    </row>
    <row r="10" spans="1:11" ht="15" customHeight="1" x14ac:dyDescent="0.25">
      <c r="A10" s="5">
        <v>4</v>
      </c>
      <c r="B10" s="10" t="s">
        <v>66</v>
      </c>
      <c r="C10" s="10" t="s">
        <v>67</v>
      </c>
      <c r="D10" s="7">
        <v>104340.29</v>
      </c>
      <c r="E10" s="5">
        <v>37599</v>
      </c>
      <c r="F10" s="5">
        <v>2189</v>
      </c>
      <c r="G10" s="12">
        <f>SUM($D$7:D10)</f>
        <v>653543.4</v>
      </c>
      <c r="H10" s="11">
        <f t="shared" si="0"/>
        <v>6.126959106216507E-2</v>
      </c>
      <c r="J10" s="4" t="s">
        <v>17</v>
      </c>
      <c r="K10" s="8">
        <f>K9/K6</f>
        <v>2.1417351292019131E-3</v>
      </c>
    </row>
    <row r="11" spans="1:11" ht="15" customHeight="1" x14ac:dyDescent="0.25">
      <c r="A11" s="5">
        <v>5</v>
      </c>
      <c r="B11" s="10" t="s">
        <v>68</v>
      </c>
      <c r="C11" s="10" t="s">
        <v>69</v>
      </c>
      <c r="D11" s="7">
        <v>99504.33</v>
      </c>
      <c r="E11" s="5">
        <v>18295</v>
      </c>
      <c r="F11" s="5">
        <v>1685</v>
      </c>
      <c r="G11" s="12">
        <f>SUM($D$7:D11)</f>
        <v>753047.73</v>
      </c>
      <c r="H11" s="11">
        <f t="shared" si="0"/>
        <v>7.0598106365073368E-2</v>
      </c>
    </row>
    <row r="12" spans="1:11" ht="15" customHeight="1" x14ac:dyDescent="0.25">
      <c r="A12" s="5">
        <v>6</v>
      </c>
      <c r="B12" s="10" t="s">
        <v>70</v>
      </c>
      <c r="C12" s="10" t="s">
        <v>71</v>
      </c>
      <c r="D12" s="7">
        <v>94340.05</v>
      </c>
      <c r="E12" s="5">
        <v>48474</v>
      </c>
      <c r="F12" s="5">
        <v>2089</v>
      </c>
      <c r="G12" s="12">
        <f>SUM($D$7:D12)</f>
        <v>847387.78</v>
      </c>
      <c r="H12" s="11">
        <f t="shared" si="0"/>
        <v>7.9442471229417819E-2</v>
      </c>
      <c r="J12" s="3" t="s">
        <v>72</v>
      </c>
    </row>
    <row r="13" spans="1:11" ht="15" customHeight="1" x14ac:dyDescent="0.25">
      <c r="A13" s="5">
        <v>7</v>
      </c>
      <c r="B13" s="10" t="s">
        <v>73</v>
      </c>
      <c r="C13" s="10" t="s">
        <v>74</v>
      </c>
      <c r="D13" s="7">
        <v>81700.92</v>
      </c>
      <c r="E13" s="5">
        <v>78033</v>
      </c>
      <c r="F13" s="5">
        <v>247</v>
      </c>
      <c r="G13" s="12">
        <f>SUM($D$7:D13)</f>
        <v>929088.70000000007</v>
      </c>
      <c r="H13" s="11">
        <f t="shared" si="0"/>
        <v>8.7101919642182252E-2</v>
      </c>
      <c r="J13" s="1" t="s">
        <v>75</v>
      </c>
      <c r="K13" s="1"/>
    </row>
    <row r="14" spans="1:11" ht="15" customHeight="1" x14ac:dyDescent="0.25">
      <c r="A14" s="5">
        <v>8</v>
      </c>
      <c r="B14" s="10" t="s">
        <v>76</v>
      </c>
      <c r="C14" s="10" t="s">
        <v>77</v>
      </c>
      <c r="D14" s="7">
        <v>78110.27</v>
      </c>
      <c r="E14" s="5">
        <v>7224</v>
      </c>
      <c r="F14" s="5">
        <v>289</v>
      </c>
      <c r="G14" s="12">
        <f>SUM($D$7:D14)</f>
        <v>1007198.9700000001</v>
      </c>
      <c r="H14" s="11">
        <f t="shared" si="0"/>
        <v>9.4424745181626607E-2</v>
      </c>
      <c r="J14" s="1"/>
      <c r="K14" s="1"/>
    </row>
    <row r="15" spans="1:11" ht="15" customHeight="1" x14ac:dyDescent="0.25">
      <c r="A15" s="5">
        <v>9</v>
      </c>
      <c r="B15" s="10" t="s">
        <v>78</v>
      </c>
      <c r="C15" s="10" t="s">
        <v>79</v>
      </c>
      <c r="D15" s="7">
        <v>78101.88</v>
      </c>
      <c r="E15" s="5">
        <v>3150</v>
      </c>
      <c r="F15" s="5">
        <v>1126</v>
      </c>
      <c r="G15" s="12">
        <f>SUM($D$7:D15)</f>
        <v>1085300.8500000001</v>
      </c>
      <c r="H15" s="11">
        <f t="shared" si="0"/>
        <v>0.10174678415988925</v>
      </c>
      <c r="J15" s="1"/>
      <c r="K15" s="1"/>
    </row>
    <row r="16" spans="1:11" ht="15" customHeight="1" x14ac:dyDescent="0.25">
      <c r="A16" s="5">
        <v>10</v>
      </c>
      <c r="B16" s="10" t="s">
        <v>80</v>
      </c>
      <c r="C16" s="10" t="s">
        <v>81</v>
      </c>
      <c r="D16" s="7">
        <v>66964.990000000005</v>
      </c>
      <c r="E16" s="5">
        <v>30788</v>
      </c>
      <c r="F16" s="5">
        <v>994</v>
      </c>
      <c r="G16" s="12">
        <f>SUM($D$7:D16)</f>
        <v>1152265.8400000001</v>
      </c>
      <c r="H16" s="11">
        <f t="shared" si="0"/>
        <v>0.10802474145053279</v>
      </c>
      <c r="J16" s="1"/>
      <c r="K16" s="1"/>
    </row>
    <row r="17" spans="1:8" ht="15" customHeight="1" x14ac:dyDescent="0.25">
      <c r="A17" s="5">
        <v>11</v>
      </c>
      <c r="B17" s="10" t="s">
        <v>82</v>
      </c>
      <c r="C17" s="10" t="s">
        <v>83</v>
      </c>
      <c r="D17" s="7">
        <v>64952.29</v>
      </c>
      <c r="E17" s="5">
        <v>19355</v>
      </c>
      <c r="F17" s="5">
        <v>1160</v>
      </c>
      <c r="G17" s="12">
        <f>SUM($D$7:D17)</f>
        <v>1217218.1300000001</v>
      </c>
      <c r="H17" s="11">
        <f t="shared" si="0"/>
        <v>0.11411400843242131</v>
      </c>
    </row>
    <row r="18" spans="1:8" ht="15" customHeight="1" x14ac:dyDescent="0.25">
      <c r="A18" s="5">
        <v>12</v>
      </c>
      <c r="B18" s="10" t="s">
        <v>84</v>
      </c>
      <c r="C18" s="10" t="s">
        <v>85</v>
      </c>
      <c r="D18" s="7">
        <v>59094.93</v>
      </c>
      <c r="E18" s="5">
        <v>36461</v>
      </c>
      <c r="F18" s="5">
        <v>1455</v>
      </c>
      <c r="G18" s="12">
        <f>SUM($D$7:D18)</f>
        <v>1276313.06</v>
      </c>
      <c r="H18" s="11">
        <f t="shared" si="0"/>
        <v>0.11965414883464595</v>
      </c>
    </row>
    <row r="19" spans="1:8" ht="15" customHeight="1" x14ac:dyDescent="0.25">
      <c r="A19" s="5">
        <v>13</v>
      </c>
      <c r="B19" s="10" t="s">
        <v>86</v>
      </c>
      <c r="C19" s="10" t="s">
        <v>87</v>
      </c>
      <c r="D19" s="7">
        <v>54117.760000000002</v>
      </c>
      <c r="E19" s="5">
        <v>10306</v>
      </c>
      <c r="F19" s="5">
        <v>661</v>
      </c>
      <c r="G19" s="12">
        <f>SUM($D$7:D19)</f>
        <v>1330430.82</v>
      </c>
      <c r="H19" s="11">
        <f t="shared" si="0"/>
        <v>0.12472768033140715</v>
      </c>
    </row>
    <row r="20" spans="1:8" ht="15" customHeight="1" x14ac:dyDescent="0.25">
      <c r="A20" s="5">
        <v>14</v>
      </c>
      <c r="B20" s="10" t="s">
        <v>88</v>
      </c>
      <c r="C20" s="10" t="s">
        <v>89</v>
      </c>
      <c r="D20" s="7">
        <v>42548.13</v>
      </c>
      <c r="E20" s="5">
        <v>8327</v>
      </c>
      <c r="F20" s="5">
        <v>1140</v>
      </c>
      <c r="G20" s="12">
        <f>SUM($D$7:D20)</f>
        <v>1372978.95</v>
      </c>
      <c r="H20" s="11">
        <f t="shared" si="0"/>
        <v>0.12871656083354338</v>
      </c>
    </row>
    <row r="21" spans="1:8" ht="15" customHeight="1" x14ac:dyDescent="0.25">
      <c r="A21" s="5">
        <v>15</v>
      </c>
      <c r="B21" s="10" t="s">
        <v>90</v>
      </c>
      <c r="C21" s="10" t="s">
        <v>91</v>
      </c>
      <c r="D21" s="7">
        <v>42436.24</v>
      </c>
      <c r="E21" s="5">
        <v>21465</v>
      </c>
      <c r="F21" s="5">
        <v>1218</v>
      </c>
      <c r="G21" s="12">
        <f>SUM($D$7:D21)</f>
        <v>1415415.19</v>
      </c>
      <c r="H21" s="11">
        <f t="shared" si="0"/>
        <v>0.13269495166576034</v>
      </c>
    </row>
    <row r="22" spans="1:8" ht="15" customHeight="1" x14ac:dyDescent="0.25">
      <c r="A22" s="5">
        <v>16</v>
      </c>
      <c r="B22" s="10" t="s">
        <v>92</v>
      </c>
      <c r="C22" s="10" t="s">
        <v>93</v>
      </c>
      <c r="D22" s="7">
        <v>40652.129999999997</v>
      </c>
      <c r="E22" s="5">
        <v>11656</v>
      </c>
      <c r="F22" s="5">
        <v>375</v>
      </c>
      <c r="G22" s="12">
        <f>SUM($D$7:D22)</f>
        <v>1456067.3199999998</v>
      </c>
      <c r="H22" s="11">
        <f t="shared" si="0"/>
        <v>0.13650608246580509</v>
      </c>
    </row>
    <row r="23" spans="1:8" ht="15" customHeight="1" x14ac:dyDescent="0.25">
      <c r="A23" s="5">
        <v>17</v>
      </c>
      <c r="B23" s="10" t="s">
        <v>94</v>
      </c>
      <c r="C23" s="10" t="s">
        <v>95</v>
      </c>
      <c r="D23" s="7">
        <v>39619.5</v>
      </c>
      <c r="E23" s="5">
        <v>61</v>
      </c>
      <c r="F23" s="5">
        <v>2</v>
      </c>
      <c r="G23" s="12">
        <f>SUM($D$7:D23)</f>
        <v>1495686.8199999998</v>
      </c>
      <c r="H23" s="11">
        <f t="shared" si="0"/>
        <v>0.14022040436560157</v>
      </c>
    </row>
    <row r="24" spans="1:8" ht="15" customHeight="1" x14ac:dyDescent="0.25">
      <c r="A24" s="5">
        <v>18</v>
      </c>
      <c r="B24" s="10" t="s">
        <v>96</v>
      </c>
      <c r="C24" s="10" t="s">
        <v>97</v>
      </c>
      <c r="D24" s="7">
        <v>38166.639999999999</v>
      </c>
      <c r="E24" s="5">
        <v>5491</v>
      </c>
      <c r="F24" s="5">
        <v>728</v>
      </c>
      <c r="G24" s="12">
        <f>SUM($D$7:D24)</f>
        <v>1533853.4599999997</v>
      </c>
      <c r="H24" s="11">
        <f t="shared" si="0"/>
        <v>0.14379852086867828</v>
      </c>
    </row>
    <row r="25" spans="1:8" ht="15" customHeight="1" x14ac:dyDescent="0.25">
      <c r="A25" s="5">
        <v>19</v>
      </c>
      <c r="B25" s="10" t="s">
        <v>98</v>
      </c>
      <c r="C25" s="10" t="s">
        <v>99</v>
      </c>
      <c r="D25" s="7">
        <v>38158.39</v>
      </c>
      <c r="E25" s="5">
        <v>7493</v>
      </c>
      <c r="F25" s="5">
        <v>1385</v>
      </c>
      <c r="G25" s="12">
        <f>SUM($D$7:D25)</f>
        <v>1572011.8499999996</v>
      </c>
      <c r="H25" s="11">
        <f t="shared" si="0"/>
        <v>0.14737586393555127</v>
      </c>
    </row>
    <row r="26" spans="1:8" ht="15" customHeight="1" x14ac:dyDescent="0.25">
      <c r="A26" s="5">
        <v>20</v>
      </c>
      <c r="B26" s="10" t="s">
        <v>100</v>
      </c>
      <c r="C26" s="10" t="s">
        <v>101</v>
      </c>
      <c r="D26" s="7">
        <v>37128.879999999997</v>
      </c>
      <c r="E26" s="5">
        <v>8706</v>
      </c>
      <c r="F26" s="5">
        <v>1132</v>
      </c>
      <c r="G26" s="12">
        <f>SUM($D$7:D26)</f>
        <v>1609140.7299999995</v>
      </c>
      <c r="H26" s="11">
        <f t="shared" si="0"/>
        <v>0.15085669060168574</v>
      </c>
    </row>
    <row r="27" spans="1:8" ht="15" customHeight="1" x14ac:dyDescent="0.25">
      <c r="A27" s="5">
        <v>21</v>
      </c>
      <c r="B27" s="10" t="s">
        <v>102</v>
      </c>
      <c r="C27" s="10" t="s">
        <v>103</v>
      </c>
      <c r="D27" s="7">
        <v>36030.22</v>
      </c>
      <c r="E27" s="5">
        <v>6020</v>
      </c>
      <c r="F27" s="5">
        <v>685</v>
      </c>
      <c r="G27" s="12">
        <f>SUM($D$7:D27)</f>
        <v>1645170.9499999995</v>
      </c>
      <c r="H27" s="11">
        <f t="shared" si="0"/>
        <v>0.15423451806544689</v>
      </c>
    </row>
    <row r="28" spans="1:8" ht="15" customHeight="1" x14ac:dyDescent="0.25">
      <c r="A28" s="5">
        <v>22</v>
      </c>
      <c r="B28" s="10" t="s">
        <v>104</v>
      </c>
      <c r="C28" s="10" t="s">
        <v>105</v>
      </c>
      <c r="D28" s="7">
        <v>35752.01</v>
      </c>
      <c r="E28" s="5">
        <v>19353</v>
      </c>
      <c r="F28" s="5">
        <v>1564</v>
      </c>
      <c r="G28" s="12">
        <f>SUM($D$7:D28)</f>
        <v>1680922.9599999995</v>
      </c>
      <c r="H28" s="11">
        <f t="shared" si="0"/>
        <v>0.15758626338542173</v>
      </c>
    </row>
    <row r="29" spans="1:8" ht="15" customHeight="1" x14ac:dyDescent="0.25">
      <c r="A29" s="5">
        <v>23</v>
      </c>
      <c r="B29" s="10" t="s">
        <v>106</v>
      </c>
      <c r="C29" s="10" t="s">
        <v>107</v>
      </c>
      <c r="D29" s="7">
        <v>34298.870000000003</v>
      </c>
      <c r="E29" s="5">
        <v>36761</v>
      </c>
      <c r="F29" s="5">
        <v>803</v>
      </c>
      <c r="G29" s="12">
        <f>SUM($D$7:D29)</f>
        <v>1715221.8299999996</v>
      </c>
      <c r="H29" s="11">
        <f t="shared" si="0"/>
        <v>0.16080177705872081</v>
      </c>
    </row>
    <row r="30" spans="1:8" ht="15" customHeight="1" x14ac:dyDescent="0.25">
      <c r="A30" s="5">
        <v>24</v>
      </c>
      <c r="B30" s="10" t="s">
        <v>108</v>
      </c>
      <c r="C30" s="10" t="s">
        <v>109</v>
      </c>
      <c r="D30" s="7">
        <v>33187.97</v>
      </c>
      <c r="E30" s="5">
        <v>24304</v>
      </c>
      <c r="F30" s="5">
        <v>1037</v>
      </c>
      <c r="G30" s="12">
        <f>SUM($D$7:D30)</f>
        <v>1748409.7999999996</v>
      </c>
      <c r="H30" s="11">
        <f t="shared" si="0"/>
        <v>0.16391314403156973</v>
      </c>
    </row>
    <row r="31" spans="1:8" ht="15" customHeight="1" x14ac:dyDescent="0.25">
      <c r="A31" s="5">
        <v>25</v>
      </c>
      <c r="B31" s="10" t="s">
        <v>110</v>
      </c>
      <c r="C31" s="10" t="s">
        <v>111</v>
      </c>
      <c r="D31" s="7">
        <v>33002.589999999997</v>
      </c>
      <c r="E31" s="5">
        <v>5747</v>
      </c>
      <c r="F31" s="5">
        <v>643</v>
      </c>
      <c r="G31" s="12">
        <f>SUM($D$7:D31)</f>
        <v>1781412.3899999997</v>
      </c>
      <c r="H31" s="11">
        <f t="shared" si="0"/>
        <v>0.16700713165854647</v>
      </c>
    </row>
    <row r="32" spans="1:8" ht="15" customHeight="1" x14ac:dyDescent="0.25">
      <c r="A32" s="5">
        <v>26</v>
      </c>
      <c r="B32" s="10" t="s">
        <v>112</v>
      </c>
      <c r="C32" s="10" t="s">
        <v>113</v>
      </c>
      <c r="D32" s="7">
        <v>32873.339999999997</v>
      </c>
      <c r="E32" s="5">
        <v>10604</v>
      </c>
      <c r="F32" s="5">
        <v>820</v>
      </c>
      <c r="G32" s="12">
        <f>SUM($D$7:D32)</f>
        <v>1814285.7299999997</v>
      </c>
      <c r="H32" s="11">
        <f t="shared" si="0"/>
        <v>0.17008900211833156</v>
      </c>
    </row>
    <row r="33" spans="1:8" ht="15" customHeight="1" x14ac:dyDescent="0.25">
      <c r="A33" s="5">
        <v>27</v>
      </c>
      <c r="B33" s="10" t="s">
        <v>114</v>
      </c>
      <c r="C33" s="10" t="s">
        <v>115</v>
      </c>
      <c r="D33" s="7">
        <v>32866.18</v>
      </c>
      <c r="E33" s="5">
        <v>6025</v>
      </c>
      <c r="F33" s="5">
        <v>858</v>
      </c>
      <c r="G33" s="12">
        <f>SUM($D$7:D33)</f>
        <v>1847151.9099999997</v>
      </c>
      <c r="H33" s="11">
        <f t="shared" si="0"/>
        <v>0.17317020132924166</v>
      </c>
    </row>
    <row r="34" spans="1:8" ht="15" customHeight="1" x14ac:dyDescent="0.25">
      <c r="A34" s="5">
        <v>28</v>
      </c>
      <c r="B34" s="10" t="s">
        <v>116</v>
      </c>
      <c r="C34" s="10" t="s">
        <v>117</v>
      </c>
      <c r="D34" s="7">
        <v>32570.47</v>
      </c>
      <c r="E34" s="5">
        <v>17273</v>
      </c>
      <c r="F34" s="5">
        <v>812</v>
      </c>
      <c r="G34" s="12">
        <f>SUM($D$7:D34)</f>
        <v>1879722.3799999997</v>
      </c>
      <c r="H34" s="11">
        <f t="shared" si="0"/>
        <v>0.17622367777411513</v>
      </c>
    </row>
    <row r="35" spans="1:8" ht="15" customHeight="1" x14ac:dyDescent="0.25">
      <c r="A35" s="5">
        <v>29</v>
      </c>
      <c r="B35" s="10" t="s">
        <v>118</v>
      </c>
      <c r="C35" s="10" t="s">
        <v>119</v>
      </c>
      <c r="D35" s="7">
        <v>32107.8</v>
      </c>
      <c r="E35" s="5">
        <v>17971</v>
      </c>
      <c r="F35" s="5">
        <v>1201</v>
      </c>
      <c r="G35" s="12">
        <f>SUM($D$7:D35)</f>
        <v>1911830.1799999997</v>
      </c>
      <c r="H35" s="11">
        <f t="shared" si="0"/>
        <v>0.17923377897918549</v>
      </c>
    </row>
    <row r="36" spans="1:8" ht="15" customHeight="1" x14ac:dyDescent="0.25">
      <c r="A36" s="5">
        <v>30</v>
      </c>
      <c r="B36" s="10" t="s">
        <v>120</v>
      </c>
      <c r="C36" s="10" t="s">
        <v>121</v>
      </c>
      <c r="D36" s="7">
        <v>31177.95</v>
      </c>
      <c r="E36" s="5">
        <v>6357</v>
      </c>
      <c r="F36" s="5">
        <v>873</v>
      </c>
      <c r="G36" s="12">
        <f>SUM($D$7:D36)</f>
        <v>1943008.1299999997</v>
      </c>
      <c r="H36" s="11">
        <f t="shared" si="0"/>
        <v>0.18215670689285829</v>
      </c>
    </row>
    <row r="37" spans="1:8" ht="15" customHeight="1" x14ac:dyDescent="0.25">
      <c r="A37" s="5">
        <v>31</v>
      </c>
      <c r="B37" s="10" t="s">
        <v>122</v>
      </c>
      <c r="C37" s="10" t="s">
        <v>123</v>
      </c>
      <c r="D37" s="7">
        <v>30770.12</v>
      </c>
      <c r="E37" s="5">
        <v>13654</v>
      </c>
      <c r="F37" s="5">
        <v>1184</v>
      </c>
      <c r="G37" s="12">
        <f>SUM($D$7:D37)</f>
        <v>1973778.2499999998</v>
      </c>
      <c r="H37" s="11">
        <f t="shared" si="0"/>
        <v>0.18504140080811129</v>
      </c>
    </row>
    <row r="38" spans="1:8" ht="15" customHeight="1" x14ac:dyDescent="0.25">
      <c r="A38" s="5">
        <v>32</v>
      </c>
      <c r="B38" s="10" t="s">
        <v>124</v>
      </c>
      <c r="C38" s="10" t="s">
        <v>125</v>
      </c>
      <c r="D38" s="7">
        <v>30701.119999999999</v>
      </c>
      <c r="E38" s="5">
        <v>7815</v>
      </c>
      <c r="F38" s="5">
        <v>1051</v>
      </c>
      <c r="G38" s="12">
        <f>SUM($D$7:D38)</f>
        <v>2004479.3699999999</v>
      </c>
      <c r="H38" s="11">
        <f t="shared" si="0"/>
        <v>0.18791962598420589</v>
      </c>
    </row>
    <row r="39" spans="1:8" ht="15" customHeight="1" x14ac:dyDescent="0.25">
      <c r="A39" s="5">
        <v>33</v>
      </c>
      <c r="B39" s="10" t="s">
        <v>126</v>
      </c>
      <c r="C39" s="10" t="s">
        <v>127</v>
      </c>
      <c r="D39" s="7">
        <v>30475.65</v>
      </c>
      <c r="E39" s="5">
        <v>14920</v>
      </c>
      <c r="F39" s="5">
        <v>978</v>
      </c>
      <c r="G39" s="12">
        <f>SUM($D$7:D39)</f>
        <v>2034955.0199999998</v>
      </c>
      <c r="H39" s="11">
        <f t="shared" si="0"/>
        <v>0.19077671338322738</v>
      </c>
    </row>
    <row r="40" spans="1:8" ht="15" customHeight="1" x14ac:dyDescent="0.25">
      <c r="A40" s="5">
        <v>34</v>
      </c>
      <c r="B40" s="10" t="s">
        <v>128</v>
      </c>
      <c r="C40" s="10" t="s">
        <v>129</v>
      </c>
      <c r="D40" s="7">
        <v>30139.41</v>
      </c>
      <c r="E40" s="5">
        <v>9901</v>
      </c>
      <c r="F40" s="5">
        <v>925</v>
      </c>
      <c r="G40" s="12">
        <f>SUM($D$7:D40)</f>
        <v>2065094.4299999997</v>
      </c>
      <c r="H40" s="11">
        <f t="shared" si="0"/>
        <v>0.19360227833508051</v>
      </c>
    </row>
    <row r="41" spans="1:8" ht="15" customHeight="1" x14ac:dyDescent="0.25">
      <c r="A41" s="5">
        <v>35</v>
      </c>
      <c r="B41" s="10" t="s">
        <v>130</v>
      </c>
      <c r="C41" s="10" t="s">
        <v>131</v>
      </c>
      <c r="D41" s="7">
        <v>29277.95</v>
      </c>
      <c r="E41" s="5">
        <v>18152</v>
      </c>
      <c r="F41" s="5">
        <v>882</v>
      </c>
      <c r="G41" s="12">
        <f>SUM($D$7:D41)</f>
        <v>2094372.3799999997</v>
      </c>
      <c r="H41" s="11">
        <f t="shared" si="0"/>
        <v>0.1963470815472903</v>
      </c>
    </row>
    <row r="42" spans="1:8" ht="15" customHeight="1" x14ac:dyDescent="0.25">
      <c r="A42" s="5">
        <v>36</v>
      </c>
      <c r="B42" s="10" t="s">
        <v>132</v>
      </c>
      <c r="C42" s="10" t="s">
        <v>133</v>
      </c>
      <c r="D42" s="7">
        <v>29095.27</v>
      </c>
      <c r="E42" s="5">
        <v>9877</v>
      </c>
      <c r="F42" s="5">
        <v>1065</v>
      </c>
      <c r="G42" s="12">
        <f>SUM($D$7:D42)</f>
        <v>2123467.6499999994</v>
      </c>
      <c r="H42" s="11">
        <f t="shared" si="0"/>
        <v>0.19907475853820364</v>
      </c>
    </row>
    <row r="43" spans="1:8" ht="15" customHeight="1" x14ac:dyDescent="0.25">
      <c r="A43" s="5">
        <v>37</v>
      </c>
      <c r="B43" s="10" t="s">
        <v>134</v>
      </c>
      <c r="C43" s="10" t="s">
        <v>135</v>
      </c>
      <c r="D43" s="7">
        <v>28842.55</v>
      </c>
      <c r="E43" s="5">
        <v>5841</v>
      </c>
      <c r="F43" s="5">
        <v>782</v>
      </c>
      <c r="G43" s="12">
        <f>SUM($D$7:D43)</f>
        <v>2152310.1999999993</v>
      </c>
      <c r="H43" s="11">
        <f t="shared" si="0"/>
        <v>0.20177874306882554</v>
      </c>
    </row>
    <row r="44" spans="1:8" ht="15" customHeight="1" x14ac:dyDescent="0.25">
      <c r="A44" s="5">
        <v>38</v>
      </c>
      <c r="B44" s="10" t="s">
        <v>136</v>
      </c>
      <c r="C44" s="10" t="s">
        <v>137</v>
      </c>
      <c r="D44" s="7">
        <v>28634.95</v>
      </c>
      <c r="E44" s="5">
        <v>12602</v>
      </c>
      <c r="F44" s="5">
        <v>1175</v>
      </c>
      <c r="G44" s="12">
        <f>SUM($D$7:D44)</f>
        <v>2180945.1499999994</v>
      </c>
      <c r="H44" s="11">
        <f t="shared" si="0"/>
        <v>0.20446326513206656</v>
      </c>
    </row>
    <row r="45" spans="1:8" ht="15" customHeight="1" x14ac:dyDescent="0.25">
      <c r="A45" s="5">
        <v>39</v>
      </c>
      <c r="B45" s="10" t="s">
        <v>138</v>
      </c>
      <c r="C45" s="10" t="s">
        <v>139</v>
      </c>
      <c r="D45" s="7">
        <v>28147.96</v>
      </c>
      <c r="E45" s="5">
        <v>9172</v>
      </c>
      <c r="F45" s="5">
        <v>1249</v>
      </c>
      <c r="G45" s="12">
        <f>SUM($D$7:D45)</f>
        <v>2209093.1099999994</v>
      </c>
      <c r="H45" s="11">
        <f t="shared" si="0"/>
        <v>0.20710213195932572</v>
      </c>
    </row>
    <row r="46" spans="1:8" ht="15" customHeight="1" x14ac:dyDescent="0.25">
      <c r="A46" s="5">
        <v>40</v>
      </c>
      <c r="B46" s="10" t="s">
        <v>140</v>
      </c>
      <c r="C46" s="10" t="s">
        <v>141</v>
      </c>
      <c r="D46" s="7">
        <v>28092.2</v>
      </c>
      <c r="E46" s="5">
        <v>13922</v>
      </c>
      <c r="F46" s="5">
        <v>933</v>
      </c>
      <c r="G46" s="12">
        <f>SUM($D$7:D46)</f>
        <v>2237185.3099999996</v>
      </c>
      <c r="H46" s="11">
        <f t="shared" si="0"/>
        <v>0.20973577129534621</v>
      </c>
    </row>
    <row r="47" spans="1:8" ht="15" customHeight="1" x14ac:dyDescent="0.25">
      <c r="A47" s="5">
        <v>41</v>
      </c>
      <c r="B47" s="10" t="s">
        <v>142</v>
      </c>
      <c r="C47" s="10" t="s">
        <v>143</v>
      </c>
      <c r="D47" s="7">
        <v>28082.54</v>
      </c>
      <c r="E47" s="5">
        <v>4092</v>
      </c>
      <c r="F47" s="5">
        <v>696</v>
      </c>
      <c r="G47" s="12">
        <f>SUM($D$7:D47)</f>
        <v>2265267.8499999996</v>
      </c>
      <c r="H47" s="11">
        <f t="shared" si="0"/>
        <v>0.21236850500788451</v>
      </c>
    </row>
    <row r="48" spans="1:8" ht="15" customHeight="1" x14ac:dyDescent="0.25">
      <c r="A48" s="5">
        <v>42</v>
      </c>
      <c r="B48" s="10" t="s">
        <v>144</v>
      </c>
      <c r="C48" s="10" t="s">
        <v>145</v>
      </c>
      <c r="D48" s="7">
        <v>27890.17</v>
      </c>
      <c r="E48" s="5">
        <v>13379</v>
      </c>
      <c r="F48" s="5">
        <v>906</v>
      </c>
      <c r="G48" s="12">
        <f>SUM($D$7:D48)</f>
        <v>2293158.0199999996</v>
      </c>
      <c r="H48" s="11">
        <f t="shared" si="0"/>
        <v>0.21498320406314886</v>
      </c>
    </row>
    <row r="49" spans="1:8" ht="15" customHeight="1" x14ac:dyDescent="0.25">
      <c r="A49" s="5">
        <v>43</v>
      </c>
      <c r="B49" s="10" t="s">
        <v>146</v>
      </c>
      <c r="C49" s="10" t="s">
        <v>147</v>
      </c>
      <c r="D49" s="7">
        <v>27196.53</v>
      </c>
      <c r="E49" s="5">
        <v>6430</v>
      </c>
      <c r="F49" s="5">
        <v>980</v>
      </c>
      <c r="G49" s="12">
        <f>SUM($D$7:D49)</f>
        <v>2320354.5499999993</v>
      </c>
      <c r="H49" s="11">
        <f t="shared" si="0"/>
        <v>0.21753287447740122</v>
      </c>
    </row>
    <row r="50" spans="1:8" ht="15" customHeight="1" x14ac:dyDescent="0.25">
      <c r="A50" s="5">
        <v>44</v>
      </c>
      <c r="B50" s="10" t="s">
        <v>148</v>
      </c>
      <c r="C50" s="10" t="s">
        <v>149</v>
      </c>
      <c r="D50" s="7">
        <v>26463.83</v>
      </c>
      <c r="E50" s="5">
        <v>9476</v>
      </c>
      <c r="F50" s="5">
        <v>449</v>
      </c>
      <c r="G50" s="12">
        <f>SUM($D$7:D50)</f>
        <v>2346818.3799999994</v>
      </c>
      <c r="H50" s="11">
        <f t="shared" si="0"/>
        <v>0.22001385438177889</v>
      </c>
    </row>
    <row r="51" spans="1:8" ht="15" customHeight="1" x14ac:dyDescent="0.25">
      <c r="A51" s="5">
        <v>45</v>
      </c>
      <c r="B51" s="10" t="s">
        <v>150</v>
      </c>
      <c r="C51" s="10" t="s">
        <v>151</v>
      </c>
      <c r="D51" s="7">
        <v>26331.58</v>
      </c>
      <c r="E51" s="5">
        <v>21933</v>
      </c>
      <c r="F51" s="5">
        <v>661</v>
      </c>
      <c r="G51" s="12">
        <f>SUM($D$7:D51)</f>
        <v>2373149.9599999995</v>
      </c>
      <c r="H51" s="11">
        <f t="shared" si="0"/>
        <v>0.22248243586943631</v>
      </c>
    </row>
    <row r="52" spans="1:8" ht="15" customHeight="1" x14ac:dyDescent="0.25">
      <c r="A52" s="5">
        <v>46</v>
      </c>
      <c r="B52" s="10" t="s">
        <v>152</v>
      </c>
      <c r="C52" s="10" t="s">
        <v>153</v>
      </c>
      <c r="D52" s="7">
        <v>26240.6</v>
      </c>
      <c r="E52" s="5">
        <v>8276</v>
      </c>
      <c r="F52" s="5">
        <v>1111</v>
      </c>
      <c r="G52" s="12">
        <f>SUM($D$7:D52)</f>
        <v>2399390.5599999996</v>
      </c>
      <c r="H52" s="11">
        <f t="shared" si="0"/>
        <v>0.22494248799638894</v>
      </c>
    </row>
    <row r="53" spans="1:8" ht="15" customHeight="1" x14ac:dyDescent="0.25">
      <c r="A53" s="5">
        <v>47</v>
      </c>
      <c r="B53" s="10" t="s">
        <v>154</v>
      </c>
      <c r="C53" s="10" t="s">
        <v>155</v>
      </c>
      <c r="D53" s="7">
        <v>25836.57</v>
      </c>
      <c r="E53" s="5">
        <v>11727</v>
      </c>
      <c r="F53" s="5">
        <v>759</v>
      </c>
      <c r="G53" s="12">
        <f>SUM($D$7:D53)</f>
        <v>2425227.1299999994</v>
      </c>
      <c r="H53" s="11">
        <f t="shared" si="0"/>
        <v>0.22736466237432465</v>
      </c>
    </row>
    <row r="54" spans="1:8" ht="15" customHeight="1" x14ac:dyDescent="0.25">
      <c r="A54" s="5">
        <v>48</v>
      </c>
      <c r="B54" s="10" t="s">
        <v>156</v>
      </c>
      <c r="C54" s="10" t="s">
        <v>157</v>
      </c>
      <c r="D54" s="7">
        <v>25740.47</v>
      </c>
      <c r="E54" s="5">
        <v>14260</v>
      </c>
      <c r="F54" s="5">
        <v>900</v>
      </c>
      <c r="G54" s="12">
        <f>SUM($D$7:D54)</f>
        <v>2450967.5999999996</v>
      </c>
      <c r="H54" s="11">
        <f t="shared" si="0"/>
        <v>0.22977782739236011</v>
      </c>
    </row>
    <row r="55" spans="1:8" ht="15" customHeight="1" x14ac:dyDescent="0.25">
      <c r="A55" s="5">
        <v>49</v>
      </c>
      <c r="B55" s="10" t="s">
        <v>158</v>
      </c>
      <c r="C55" s="10" t="s">
        <v>159</v>
      </c>
      <c r="D55" s="7">
        <v>25660.98</v>
      </c>
      <c r="E55" s="5">
        <v>16412</v>
      </c>
      <c r="F55" s="5">
        <v>1162</v>
      </c>
      <c r="G55" s="12">
        <f>SUM($D$7:D55)</f>
        <v>2476628.5799999996</v>
      </c>
      <c r="H55" s="11">
        <f t="shared" si="0"/>
        <v>0.23218354023538537</v>
      </c>
    </row>
    <row r="56" spans="1:8" ht="15" customHeight="1" x14ac:dyDescent="0.25">
      <c r="A56" s="5">
        <v>50</v>
      </c>
      <c r="B56" s="10" t="s">
        <v>160</v>
      </c>
      <c r="C56" s="10" t="s">
        <v>161</v>
      </c>
      <c r="D56" s="7">
        <v>25609.599999999999</v>
      </c>
      <c r="E56" s="5">
        <v>3762</v>
      </c>
      <c r="F56" s="5">
        <v>616</v>
      </c>
      <c r="G56" s="12">
        <f>SUM($D$7:D56)</f>
        <v>2502238.1799999997</v>
      </c>
      <c r="H56" s="11">
        <f t="shared" si="0"/>
        <v>0.2345844362114837</v>
      </c>
    </row>
    <row r="57" spans="1:8" ht="15" customHeight="1" x14ac:dyDescent="0.25">
      <c r="A57" s="5">
        <v>51</v>
      </c>
      <c r="B57" s="10" t="s">
        <v>162</v>
      </c>
      <c r="C57" s="10" t="s">
        <v>163</v>
      </c>
      <c r="D57" s="7">
        <v>25290.58</v>
      </c>
      <c r="E57" s="5">
        <v>12305</v>
      </c>
      <c r="F57" s="5">
        <v>845</v>
      </c>
      <c r="G57" s="12">
        <f>SUM($D$7:D57)</f>
        <v>2527528.7599999998</v>
      </c>
      <c r="H57" s="11">
        <f t="shared" si="0"/>
        <v>0.23695542411270798</v>
      </c>
    </row>
    <row r="58" spans="1:8" ht="15" customHeight="1" x14ac:dyDescent="0.25">
      <c r="A58" s="5">
        <v>52</v>
      </c>
      <c r="B58" s="10" t="s">
        <v>164</v>
      </c>
      <c r="C58" s="10" t="s">
        <v>165</v>
      </c>
      <c r="D58" s="7">
        <v>24918.93</v>
      </c>
      <c r="E58" s="5">
        <v>2770</v>
      </c>
      <c r="F58" s="5">
        <v>416</v>
      </c>
      <c r="G58" s="12">
        <f>SUM($D$7:D58)</f>
        <v>2552447.69</v>
      </c>
      <c r="H58" s="11">
        <f t="shared" si="0"/>
        <v>0.23929156988482767</v>
      </c>
    </row>
    <row r="59" spans="1:8" ht="15" customHeight="1" x14ac:dyDescent="0.25">
      <c r="A59" s="5">
        <v>53</v>
      </c>
      <c r="B59" s="10" t="s">
        <v>166</v>
      </c>
      <c r="C59" s="10" t="s">
        <v>167</v>
      </c>
      <c r="D59" s="7">
        <v>24542.83</v>
      </c>
      <c r="E59" s="5">
        <v>2789</v>
      </c>
      <c r="F59" s="5">
        <v>475</v>
      </c>
      <c r="G59" s="12">
        <f>SUM($D$7:D59)</f>
        <v>2576990.52</v>
      </c>
      <c r="H59" s="11">
        <f t="shared" si="0"/>
        <v>0.24159245634104196</v>
      </c>
    </row>
    <row r="60" spans="1:8" ht="15" customHeight="1" x14ac:dyDescent="0.25">
      <c r="A60" s="5">
        <v>54</v>
      </c>
      <c r="B60" s="10" t="s">
        <v>168</v>
      </c>
      <c r="C60" s="10" t="s">
        <v>169</v>
      </c>
      <c r="D60" s="7">
        <v>24522.36</v>
      </c>
      <c r="E60" s="5">
        <v>11464</v>
      </c>
      <c r="F60" s="5">
        <v>711</v>
      </c>
      <c r="G60" s="12">
        <f>SUM($D$7:D60)</f>
        <v>2601512.88</v>
      </c>
      <c r="H60" s="11">
        <f t="shared" si="0"/>
        <v>0.24389142373797257</v>
      </c>
    </row>
    <row r="61" spans="1:8" ht="15" customHeight="1" x14ac:dyDescent="0.25">
      <c r="A61" s="5">
        <v>55</v>
      </c>
      <c r="B61" s="10" t="s">
        <v>170</v>
      </c>
      <c r="C61" s="10" t="s">
        <v>171</v>
      </c>
      <c r="D61" s="7">
        <v>24509.84</v>
      </c>
      <c r="E61" s="5">
        <v>4666</v>
      </c>
      <c r="F61" s="5">
        <v>771</v>
      </c>
      <c r="G61" s="12">
        <f>SUM($D$7:D61)</f>
        <v>2626022.7199999997</v>
      </c>
      <c r="H61" s="11">
        <f t="shared" si="0"/>
        <v>0.24618921738687038</v>
      </c>
    </row>
    <row r="62" spans="1:8" ht="15" customHeight="1" x14ac:dyDescent="0.25">
      <c r="A62" s="5">
        <v>56</v>
      </c>
      <c r="B62" s="10" t="s">
        <v>172</v>
      </c>
      <c r="C62" s="10" t="s">
        <v>173</v>
      </c>
      <c r="D62" s="7">
        <v>24483.66</v>
      </c>
      <c r="E62" s="5">
        <v>5978</v>
      </c>
      <c r="F62" s="5">
        <v>834</v>
      </c>
      <c r="G62" s="12">
        <f>SUM($D$7:D62)</f>
        <v>2650506.38</v>
      </c>
      <c r="H62" s="11">
        <f t="shared" si="0"/>
        <v>0.24848455666488176</v>
      </c>
    </row>
    <row r="63" spans="1:8" ht="15" customHeight="1" x14ac:dyDescent="0.25">
      <c r="A63" s="5">
        <v>57</v>
      </c>
      <c r="B63" s="10" t="s">
        <v>174</v>
      </c>
      <c r="C63" s="10" t="s">
        <v>175</v>
      </c>
      <c r="D63" s="7">
        <v>24438.62</v>
      </c>
      <c r="E63" s="5">
        <v>8560</v>
      </c>
      <c r="F63" s="5">
        <v>732</v>
      </c>
      <c r="G63" s="12">
        <f>SUM($D$7:D63)</f>
        <v>2674945</v>
      </c>
      <c r="H63" s="11">
        <f t="shared" si="0"/>
        <v>0.25077567344997004</v>
      </c>
    </row>
    <row r="64" spans="1:8" ht="15" customHeight="1" x14ac:dyDescent="0.25">
      <c r="A64" s="5">
        <v>58</v>
      </c>
      <c r="B64" s="10" t="s">
        <v>176</v>
      </c>
      <c r="C64" s="10" t="s">
        <v>177</v>
      </c>
      <c r="D64" s="7">
        <v>24292.84</v>
      </c>
      <c r="E64" s="5">
        <v>3830</v>
      </c>
      <c r="F64" s="5">
        <v>600</v>
      </c>
      <c r="G64" s="12">
        <f>SUM($D$7:D64)</f>
        <v>2699237.84</v>
      </c>
      <c r="H64" s="11">
        <f t="shared" si="0"/>
        <v>0.25305312338296393</v>
      </c>
    </row>
    <row r="65" spans="1:8" ht="15" customHeight="1" x14ac:dyDescent="0.25">
      <c r="A65" s="5">
        <v>59</v>
      </c>
      <c r="B65" s="10" t="s">
        <v>178</v>
      </c>
      <c r="C65" s="10" t="s">
        <v>179</v>
      </c>
      <c r="D65" s="7">
        <v>24239.72</v>
      </c>
      <c r="E65" s="5">
        <v>4948</v>
      </c>
      <c r="F65" s="5">
        <v>934</v>
      </c>
      <c r="G65" s="12">
        <f>SUM($D$7:D65)</f>
        <v>2723477.56</v>
      </c>
      <c r="H65" s="11">
        <f t="shared" si="0"/>
        <v>0.25532559332430432</v>
      </c>
    </row>
    <row r="66" spans="1:8" ht="15" customHeight="1" x14ac:dyDescent="0.25">
      <c r="A66" s="5">
        <v>60</v>
      </c>
      <c r="B66" s="10" t="s">
        <v>180</v>
      </c>
      <c r="C66" s="10" t="s">
        <v>181</v>
      </c>
      <c r="D66" s="7">
        <v>23932.98</v>
      </c>
      <c r="E66" s="5">
        <v>14009</v>
      </c>
      <c r="F66" s="5">
        <v>849</v>
      </c>
      <c r="G66" s="12">
        <f>SUM($D$7:D66)</f>
        <v>2747410.54</v>
      </c>
      <c r="H66" s="11">
        <f t="shared" si="0"/>
        <v>0.25756930643884113</v>
      </c>
    </row>
    <row r="67" spans="1:8" ht="15" customHeight="1" x14ac:dyDescent="0.25">
      <c r="A67" s="5">
        <v>61</v>
      </c>
      <c r="B67" s="10" t="s">
        <v>182</v>
      </c>
      <c r="C67" s="10" t="s">
        <v>183</v>
      </c>
      <c r="D67" s="7">
        <v>23888.81</v>
      </c>
      <c r="E67" s="5">
        <v>3617</v>
      </c>
      <c r="F67" s="5">
        <v>365</v>
      </c>
      <c r="G67" s="12">
        <f>SUM($D$7:D67)</f>
        <v>2771299.35</v>
      </c>
      <c r="H67" s="11">
        <f t="shared" si="0"/>
        <v>0.25980887862281815</v>
      </c>
    </row>
    <row r="68" spans="1:8" ht="15" customHeight="1" x14ac:dyDescent="0.25">
      <c r="A68" s="5">
        <v>62</v>
      </c>
      <c r="B68" s="10" t="s">
        <v>184</v>
      </c>
      <c r="C68" s="10" t="s">
        <v>185</v>
      </c>
      <c r="D68" s="7">
        <v>23815.75</v>
      </c>
      <c r="E68" s="5">
        <v>10306</v>
      </c>
      <c r="F68" s="5">
        <v>716</v>
      </c>
      <c r="G68" s="12">
        <f>SUM($D$7:D68)</f>
        <v>2795115.1</v>
      </c>
      <c r="H68" s="11">
        <f t="shared" si="0"/>
        <v>0.26204160144327465</v>
      </c>
    </row>
    <row r="69" spans="1:8" ht="15" customHeight="1" x14ac:dyDescent="0.25">
      <c r="A69" s="5">
        <v>63</v>
      </c>
      <c r="B69" s="10" t="s">
        <v>186</v>
      </c>
      <c r="C69" s="10" t="s">
        <v>187</v>
      </c>
      <c r="D69" s="7">
        <v>23514.17</v>
      </c>
      <c r="E69" s="5">
        <v>4805</v>
      </c>
      <c r="F69" s="5">
        <v>470</v>
      </c>
      <c r="G69" s="12">
        <f>SUM($D$7:D69)</f>
        <v>2818629.27</v>
      </c>
      <c r="H69" s="11">
        <f t="shared" si="0"/>
        <v>0.26424605118611688</v>
      </c>
    </row>
    <row r="70" spans="1:8" ht="15" customHeight="1" x14ac:dyDescent="0.25">
      <c r="A70" s="5">
        <v>64</v>
      </c>
      <c r="B70" s="10" t="s">
        <v>188</v>
      </c>
      <c r="C70" s="10" t="s">
        <v>189</v>
      </c>
      <c r="D70" s="7">
        <v>23463.47</v>
      </c>
      <c r="E70" s="5">
        <v>8291</v>
      </c>
      <c r="F70" s="5">
        <v>524</v>
      </c>
      <c r="G70" s="12">
        <f>SUM($D$7:D70)</f>
        <v>2842092.74</v>
      </c>
      <c r="H70" s="11">
        <f t="shared" si="0"/>
        <v>0.26644574781192537</v>
      </c>
    </row>
    <row r="71" spans="1:8" ht="15" customHeight="1" x14ac:dyDescent="0.25">
      <c r="A71" s="5">
        <v>65</v>
      </c>
      <c r="B71" s="10" t="s">
        <v>190</v>
      </c>
      <c r="C71" s="10" t="s">
        <v>191</v>
      </c>
      <c r="D71" s="7">
        <v>23228.74</v>
      </c>
      <c r="E71" s="5">
        <v>7882</v>
      </c>
      <c r="F71" s="5">
        <v>741</v>
      </c>
      <c r="G71" s="12">
        <f>SUM($D$7:D71)</f>
        <v>2865321.4800000004</v>
      </c>
      <c r="H71" s="11">
        <f t="shared" ref="H71:H134" si="1">G71/SUM($D$7:$D$4167)</f>
        <v>0.26862343853711568</v>
      </c>
    </row>
    <row r="72" spans="1:8" ht="15" customHeight="1" x14ac:dyDescent="0.25">
      <c r="A72" s="5">
        <v>66</v>
      </c>
      <c r="B72" s="10" t="s">
        <v>192</v>
      </c>
      <c r="C72" s="10" t="s">
        <v>193</v>
      </c>
      <c r="D72" s="7">
        <v>23181.14</v>
      </c>
      <c r="E72" s="5">
        <v>11007</v>
      </c>
      <c r="F72" s="5">
        <v>865</v>
      </c>
      <c r="G72" s="12">
        <f>SUM($D$7:D72)</f>
        <v>2888502.6200000006</v>
      </c>
      <c r="H72" s="11">
        <f t="shared" si="1"/>
        <v>0.2707966667697852</v>
      </c>
    </row>
    <row r="73" spans="1:8" ht="15" customHeight="1" x14ac:dyDescent="0.25">
      <c r="A73" s="5">
        <v>67</v>
      </c>
      <c r="B73" s="10" t="s">
        <v>194</v>
      </c>
      <c r="C73" s="10" t="s">
        <v>195</v>
      </c>
      <c r="D73" s="7">
        <v>23113.26</v>
      </c>
      <c r="E73" s="5">
        <v>9006</v>
      </c>
      <c r="F73" s="5">
        <v>1100</v>
      </c>
      <c r="G73" s="12">
        <f>SUM($D$7:D73)</f>
        <v>2911615.8800000004</v>
      </c>
      <c r="H73" s="11">
        <f t="shared" si="1"/>
        <v>0.27296353126312028</v>
      </c>
    </row>
    <row r="74" spans="1:8" ht="15" customHeight="1" x14ac:dyDescent="0.25">
      <c r="A74" s="5">
        <v>68</v>
      </c>
      <c r="B74" s="10" t="s">
        <v>196</v>
      </c>
      <c r="C74" s="10" t="s">
        <v>197</v>
      </c>
      <c r="D74" s="7">
        <v>23030.959999999999</v>
      </c>
      <c r="E74" s="5">
        <v>11444</v>
      </c>
      <c r="F74" s="5">
        <v>657</v>
      </c>
      <c r="G74" s="12">
        <f>SUM($D$7:D74)</f>
        <v>2934646.8400000003</v>
      </c>
      <c r="H74" s="11">
        <f t="shared" si="1"/>
        <v>0.27512268014438673</v>
      </c>
    </row>
    <row r="75" spans="1:8" ht="15" customHeight="1" x14ac:dyDescent="0.25">
      <c r="A75" s="5">
        <v>69</v>
      </c>
      <c r="B75" s="10" t="s">
        <v>198</v>
      </c>
      <c r="C75" s="10" t="s">
        <v>199</v>
      </c>
      <c r="D75" s="7">
        <v>23010.09</v>
      </c>
      <c r="E75" s="5">
        <v>3272</v>
      </c>
      <c r="F75" s="5">
        <v>221</v>
      </c>
      <c r="G75" s="12">
        <f>SUM($D$7:D75)</f>
        <v>2957656.93</v>
      </c>
      <c r="H75" s="11">
        <f t="shared" si="1"/>
        <v>0.27727987246643238</v>
      </c>
    </row>
    <row r="76" spans="1:8" ht="15" customHeight="1" x14ac:dyDescent="0.25">
      <c r="A76" s="5">
        <v>70</v>
      </c>
      <c r="B76" s="10" t="s">
        <v>200</v>
      </c>
      <c r="C76" s="10" t="s">
        <v>201</v>
      </c>
      <c r="D76" s="7">
        <v>22912.81</v>
      </c>
      <c r="E76" s="5">
        <v>4527</v>
      </c>
      <c r="F76" s="5">
        <v>962</v>
      </c>
      <c r="G76" s="12">
        <f>SUM($D$7:D76)</f>
        <v>2980569.74</v>
      </c>
      <c r="H76" s="11">
        <f t="shared" si="1"/>
        <v>0.2794279448037631</v>
      </c>
    </row>
    <row r="77" spans="1:8" ht="15" customHeight="1" x14ac:dyDescent="0.25">
      <c r="A77" s="5">
        <v>71</v>
      </c>
      <c r="B77" s="10" t="s">
        <v>202</v>
      </c>
      <c r="C77" s="10" t="s">
        <v>203</v>
      </c>
      <c r="D77" s="7">
        <v>22826.3</v>
      </c>
      <c r="E77" s="5">
        <v>7302</v>
      </c>
      <c r="F77" s="5">
        <v>1013</v>
      </c>
      <c r="G77" s="12">
        <f>SUM($D$7:D77)</f>
        <v>3003396.04</v>
      </c>
      <c r="H77" s="11">
        <f t="shared" si="1"/>
        <v>0.28156790684218674</v>
      </c>
    </row>
    <row r="78" spans="1:8" ht="15" customHeight="1" x14ac:dyDescent="0.25">
      <c r="A78" s="5">
        <v>72</v>
      </c>
      <c r="B78" s="10" t="s">
        <v>204</v>
      </c>
      <c r="C78" s="10" t="s">
        <v>205</v>
      </c>
      <c r="D78" s="7">
        <v>22790.959999999999</v>
      </c>
      <c r="E78" s="5">
        <v>7564</v>
      </c>
      <c r="F78" s="5">
        <v>798</v>
      </c>
      <c r="G78" s="12">
        <f>SUM($D$7:D78)</f>
        <v>3026187</v>
      </c>
      <c r="H78" s="11">
        <f t="shared" si="1"/>
        <v>0.2837045557611631</v>
      </c>
    </row>
    <row r="79" spans="1:8" ht="15" customHeight="1" x14ac:dyDescent="0.25">
      <c r="A79" s="5">
        <v>73</v>
      </c>
      <c r="B79" s="10" t="s">
        <v>206</v>
      </c>
      <c r="C79" s="10" t="s">
        <v>207</v>
      </c>
      <c r="D79" s="7">
        <v>22708.95</v>
      </c>
      <c r="E79" s="5">
        <v>1793</v>
      </c>
      <c r="F79" s="5">
        <v>519</v>
      </c>
      <c r="G79" s="12">
        <f>SUM($D$7:D79)</f>
        <v>3048895.95</v>
      </c>
      <c r="H79" s="11">
        <f t="shared" si="1"/>
        <v>0.28583351625552533</v>
      </c>
    </row>
    <row r="80" spans="1:8" ht="15" customHeight="1" x14ac:dyDescent="0.25">
      <c r="A80" s="5">
        <v>74</v>
      </c>
      <c r="B80" s="10" t="s">
        <v>208</v>
      </c>
      <c r="C80" s="10" t="s">
        <v>209</v>
      </c>
      <c r="D80" s="7">
        <v>22421.21</v>
      </c>
      <c r="E80" s="5">
        <v>12240</v>
      </c>
      <c r="F80" s="5">
        <v>1273</v>
      </c>
      <c r="G80" s="12">
        <f>SUM($D$7:D80)</f>
        <v>3071317.16</v>
      </c>
      <c r="H80" s="11">
        <f t="shared" si="1"/>
        <v>0.28793550117009858</v>
      </c>
    </row>
    <row r="81" spans="1:8" ht="15" customHeight="1" x14ac:dyDescent="0.25">
      <c r="A81" s="5">
        <v>75</v>
      </c>
      <c r="B81" s="10" t="s">
        <v>210</v>
      </c>
      <c r="C81" s="10" t="s">
        <v>211</v>
      </c>
      <c r="D81" s="7">
        <v>22176.49</v>
      </c>
      <c r="E81" s="5">
        <v>3954</v>
      </c>
      <c r="F81" s="5">
        <v>456</v>
      </c>
      <c r="G81" s="12">
        <f>SUM($D$7:D81)</f>
        <v>3093493.6500000004</v>
      </c>
      <c r="H81" s="11">
        <f t="shared" si="1"/>
        <v>0.29001454362312346</v>
      </c>
    </row>
    <row r="82" spans="1:8" ht="15" customHeight="1" x14ac:dyDescent="0.25">
      <c r="A82" s="5">
        <v>76</v>
      </c>
      <c r="B82" s="10" t="s">
        <v>212</v>
      </c>
      <c r="C82" s="10" t="s">
        <v>213</v>
      </c>
      <c r="D82" s="7">
        <v>22144.98</v>
      </c>
      <c r="E82" s="5">
        <v>4765</v>
      </c>
      <c r="F82" s="5">
        <v>429</v>
      </c>
      <c r="G82" s="12">
        <f>SUM($D$7:D82)</f>
        <v>3115638.6300000004</v>
      </c>
      <c r="H82" s="11">
        <f t="shared" si="1"/>
        <v>0.29209063201859931</v>
      </c>
    </row>
    <row r="83" spans="1:8" ht="15" customHeight="1" x14ac:dyDescent="0.25">
      <c r="A83" s="5">
        <v>77</v>
      </c>
      <c r="B83" s="10" t="s">
        <v>214</v>
      </c>
      <c r="C83" s="10" t="s">
        <v>215</v>
      </c>
      <c r="D83" s="7">
        <v>22138.57</v>
      </c>
      <c r="E83" s="5">
        <v>3419</v>
      </c>
      <c r="F83" s="5">
        <v>592</v>
      </c>
      <c r="G83" s="12">
        <f>SUM($D$7:D83)</f>
        <v>3137777.2</v>
      </c>
      <c r="H83" s="11">
        <f t="shared" si="1"/>
        <v>0.29416611947758231</v>
      </c>
    </row>
    <row r="84" spans="1:8" ht="15" customHeight="1" x14ac:dyDescent="0.25">
      <c r="A84" s="5">
        <v>78</v>
      </c>
      <c r="B84" s="10" t="s">
        <v>216</v>
      </c>
      <c r="C84" s="10" t="s">
        <v>217</v>
      </c>
      <c r="D84" s="7">
        <v>22092.42</v>
      </c>
      <c r="E84" s="5">
        <v>9773</v>
      </c>
      <c r="F84" s="5">
        <v>863</v>
      </c>
      <c r="G84" s="12">
        <f>SUM($D$7:D84)</f>
        <v>3159869.62</v>
      </c>
      <c r="H84" s="11">
        <f t="shared" si="1"/>
        <v>0.29623728038131658</v>
      </c>
    </row>
    <row r="85" spans="1:8" ht="15" customHeight="1" x14ac:dyDescent="0.25">
      <c r="A85" s="5">
        <v>79</v>
      </c>
      <c r="B85" s="10" t="s">
        <v>218</v>
      </c>
      <c r="C85" s="10" t="s">
        <v>219</v>
      </c>
      <c r="D85" s="7">
        <v>21852.81</v>
      </c>
      <c r="E85" s="5">
        <v>10962</v>
      </c>
      <c r="F85" s="5">
        <v>879</v>
      </c>
      <c r="G85" s="12">
        <f>SUM($D$7:D85)</f>
        <v>3181722.43</v>
      </c>
      <c r="H85" s="11">
        <f t="shared" si="1"/>
        <v>0.29828597788519956</v>
      </c>
    </row>
    <row r="86" spans="1:8" ht="15" customHeight="1" x14ac:dyDescent="0.25">
      <c r="A86" s="5">
        <v>80</v>
      </c>
      <c r="B86" s="10" t="s">
        <v>220</v>
      </c>
      <c r="C86" s="10" t="s">
        <v>221</v>
      </c>
      <c r="D86" s="7">
        <v>21776.79</v>
      </c>
      <c r="E86" s="5">
        <v>17765</v>
      </c>
      <c r="F86" s="5">
        <v>1032</v>
      </c>
      <c r="G86" s="12">
        <f>SUM($D$7:D86)</f>
        <v>3203499.22</v>
      </c>
      <c r="H86" s="11">
        <f t="shared" si="1"/>
        <v>0.30032754852602717</v>
      </c>
    </row>
    <row r="87" spans="1:8" ht="15" customHeight="1" x14ac:dyDescent="0.25">
      <c r="A87" s="5">
        <v>81</v>
      </c>
      <c r="B87" s="10" t="s">
        <v>222</v>
      </c>
      <c r="C87" s="10" t="s">
        <v>223</v>
      </c>
      <c r="D87" s="7">
        <v>21750.63</v>
      </c>
      <c r="E87" s="5">
        <v>11817</v>
      </c>
      <c r="F87" s="5">
        <v>1150</v>
      </c>
      <c r="G87" s="12">
        <f>SUM($D$7:D87)</f>
        <v>3225249.85</v>
      </c>
      <c r="H87" s="11">
        <f t="shared" si="1"/>
        <v>0.30236666667096512</v>
      </c>
    </row>
    <row r="88" spans="1:8" ht="15" customHeight="1" x14ac:dyDescent="0.25">
      <c r="A88" s="5">
        <v>82</v>
      </c>
      <c r="B88" s="10" t="s">
        <v>224</v>
      </c>
      <c r="C88" s="10" t="s">
        <v>225</v>
      </c>
      <c r="D88" s="7">
        <v>21635.14</v>
      </c>
      <c r="E88" s="5">
        <v>11793</v>
      </c>
      <c r="F88" s="5">
        <v>850</v>
      </c>
      <c r="G88" s="12">
        <f>SUM($D$7:D88)</f>
        <v>3246884.99</v>
      </c>
      <c r="H88" s="11">
        <f t="shared" si="1"/>
        <v>0.30439495764654945</v>
      </c>
    </row>
    <row r="89" spans="1:8" ht="15" customHeight="1" x14ac:dyDescent="0.25">
      <c r="A89" s="5">
        <v>83</v>
      </c>
      <c r="B89" s="10" t="s">
        <v>226</v>
      </c>
      <c r="C89" s="10" t="s">
        <v>227</v>
      </c>
      <c r="D89" s="7">
        <v>21601.69</v>
      </c>
      <c r="E89" s="5">
        <v>3246</v>
      </c>
      <c r="F89" s="5">
        <v>502</v>
      </c>
      <c r="G89" s="12">
        <f>SUM($D$7:D89)</f>
        <v>3268486.68</v>
      </c>
      <c r="H89" s="11">
        <f t="shared" si="1"/>
        <v>0.30642011268988961</v>
      </c>
    </row>
    <row r="90" spans="1:8" ht="15" customHeight="1" x14ac:dyDescent="0.25">
      <c r="A90" s="5">
        <v>84</v>
      </c>
      <c r="B90" s="10" t="s">
        <v>228</v>
      </c>
      <c r="C90" s="10" t="s">
        <v>229</v>
      </c>
      <c r="D90" s="7">
        <v>21365.25</v>
      </c>
      <c r="E90" s="5">
        <v>2013</v>
      </c>
      <c r="F90" s="5">
        <v>539</v>
      </c>
      <c r="G90" s="12">
        <f>SUM($D$7:D90)</f>
        <v>3289851.93</v>
      </c>
      <c r="H90" s="11">
        <f t="shared" si="1"/>
        <v>0.30842310152038033</v>
      </c>
    </row>
    <row r="91" spans="1:8" ht="15" customHeight="1" x14ac:dyDescent="0.25">
      <c r="A91" s="5">
        <v>85</v>
      </c>
      <c r="B91" s="10" t="s">
        <v>230</v>
      </c>
      <c r="C91" s="10" t="s">
        <v>231</v>
      </c>
      <c r="D91" s="7">
        <v>21259.1</v>
      </c>
      <c r="E91" s="5">
        <v>36419</v>
      </c>
      <c r="F91" s="5">
        <v>1320</v>
      </c>
      <c r="G91" s="12">
        <f>SUM($D$7:D91)</f>
        <v>3311111.0300000003</v>
      </c>
      <c r="H91" s="11">
        <f t="shared" si="1"/>
        <v>0.31041613880504981</v>
      </c>
    </row>
    <row r="92" spans="1:8" ht="15" customHeight="1" x14ac:dyDescent="0.25">
      <c r="A92" s="5">
        <v>86</v>
      </c>
      <c r="B92" s="10" t="s">
        <v>232</v>
      </c>
      <c r="C92" s="10" t="s">
        <v>233</v>
      </c>
      <c r="D92" s="7">
        <v>20957.64</v>
      </c>
      <c r="E92" s="5">
        <v>10364</v>
      </c>
      <c r="F92" s="5">
        <v>723</v>
      </c>
      <c r="G92" s="12">
        <f>SUM($D$7:D92)</f>
        <v>3332068.6700000004</v>
      </c>
      <c r="H92" s="11">
        <f t="shared" si="1"/>
        <v>0.31238091426208614</v>
      </c>
    </row>
    <row r="93" spans="1:8" ht="15" customHeight="1" x14ac:dyDescent="0.25">
      <c r="A93" s="5">
        <v>87</v>
      </c>
      <c r="B93" s="10" t="s">
        <v>234</v>
      </c>
      <c r="C93" s="10" t="s">
        <v>235</v>
      </c>
      <c r="D93" s="7">
        <v>20911.98</v>
      </c>
      <c r="E93" s="5">
        <v>12183</v>
      </c>
      <c r="F93" s="5">
        <v>1036</v>
      </c>
      <c r="G93" s="12">
        <f>SUM($D$7:D93)</f>
        <v>3352980.6500000004</v>
      </c>
      <c r="H93" s="11">
        <f t="shared" si="1"/>
        <v>0.31434140910129682</v>
      </c>
    </row>
    <row r="94" spans="1:8" ht="15" customHeight="1" x14ac:dyDescent="0.25">
      <c r="A94" s="5">
        <v>88</v>
      </c>
      <c r="B94" s="10" t="s">
        <v>236</v>
      </c>
      <c r="C94" s="10" t="s">
        <v>237</v>
      </c>
      <c r="D94" s="7">
        <v>20818.7</v>
      </c>
      <c r="E94" s="5">
        <v>11523</v>
      </c>
      <c r="F94" s="5">
        <v>707</v>
      </c>
      <c r="G94" s="12">
        <f>SUM($D$7:D94)</f>
        <v>3373799.3500000006</v>
      </c>
      <c r="H94" s="11">
        <f t="shared" si="1"/>
        <v>0.31629315895516402</v>
      </c>
    </row>
    <row r="95" spans="1:8" ht="15" customHeight="1" x14ac:dyDescent="0.25">
      <c r="A95" s="5">
        <v>89</v>
      </c>
      <c r="B95" s="10" t="s">
        <v>238</v>
      </c>
      <c r="C95" s="10" t="s">
        <v>239</v>
      </c>
      <c r="D95" s="7">
        <v>20702.150000000001</v>
      </c>
      <c r="E95" s="5">
        <v>5364</v>
      </c>
      <c r="F95" s="5">
        <v>783</v>
      </c>
      <c r="G95" s="12">
        <f>SUM($D$7:D95)</f>
        <v>3394501.5000000005</v>
      </c>
      <c r="H95" s="11">
        <f t="shared" si="1"/>
        <v>0.31823398226484417</v>
      </c>
    </row>
    <row r="96" spans="1:8" ht="15" customHeight="1" x14ac:dyDescent="0.25">
      <c r="A96" s="5">
        <v>90</v>
      </c>
      <c r="B96" s="10" t="s">
        <v>240</v>
      </c>
      <c r="C96" s="10" t="s">
        <v>241</v>
      </c>
      <c r="D96" s="7">
        <v>20594.45</v>
      </c>
      <c r="E96" s="5">
        <v>3918</v>
      </c>
      <c r="F96" s="5">
        <v>499</v>
      </c>
      <c r="G96" s="12">
        <f>SUM($D$7:D96)</f>
        <v>3415095.9500000007</v>
      </c>
      <c r="H96" s="11">
        <f t="shared" si="1"/>
        <v>0.32016470871644664</v>
      </c>
    </row>
    <row r="97" spans="1:8" ht="15" customHeight="1" x14ac:dyDescent="0.25">
      <c r="A97" s="5">
        <v>91</v>
      </c>
      <c r="B97" s="10" t="s">
        <v>242</v>
      </c>
      <c r="C97" s="10" t="s">
        <v>243</v>
      </c>
      <c r="D97" s="7">
        <v>19640.79</v>
      </c>
      <c r="E97" s="5">
        <v>6749</v>
      </c>
      <c r="F97" s="5">
        <v>910</v>
      </c>
      <c r="G97" s="12">
        <f>SUM($D$7:D97)</f>
        <v>3434736.7400000007</v>
      </c>
      <c r="H97" s="11">
        <f t="shared" si="1"/>
        <v>0.32200602969289266</v>
      </c>
    </row>
    <row r="98" spans="1:8" ht="15" customHeight="1" x14ac:dyDescent="0.25">
      <c r="A98" s="5">
        <v>92</v>
      </c>
      <c r="B98" s="10" t="s">
        <v>244</v>
      </c>
      <c r="C98" s="10" t="s">
        <v>245</v>
      </c>
      <c r="D98" s="7">
        <v>19411.62</v>
      </c>
      <c r="E98" s="5">
        <v>14688</v>
      </c>
      <c r="F98" s="5">
        <v>689</v>
      </c>
      <c r="G98" s="12">
        <f>SUM($D$7:D98)</f>
        <v>3454148.3600000008</v>
      </c>
      <c r="H98" s="11">
        <f t="shared" si="1"/>
        <v>0.32382586601784702</v>
      </c>
    </row>
    <row r="99" spans="1:8" ht="15" customHeight="1" x14ac:dyDescent="0.25">
      <c r="A99" s="5">
        <v>93</v>
      </c>
      <c r="B99" s="10" t="s">
        <v>246</v>
      </c>
      <c r="C99" s="10" t="s">
        <v>247</v>
      </c>
      <c r="D99" s="7">
        <v>19322.16</v>
      </c>
      <c r="E99" s="5">
        <v>1604</v>
      </c>
      <c r="F99" s="5">
        <v>445</v>
      </c>
      <c r="G99" s="12">
        <f>SUM($D$7:D99)</f>
        <v>3473470.5200000009</v>
      </c>
      <c r="H99" s="11">
        <f t="shared" si="1"/>
        <v>0.3256373154818577</v>
      </c>
    </row>
    <row r="100" spans="1:8" ht="15" customHeight="1" x14ac:dyDescent="0.25">
      <c r="A100" s="5">
        <v>94</v>
      </c>
      <c r="B100" s="10" t="s">
        <v>248</v>
      </c>
      <c r="C100" s="10" t="s">
        <v>249</v>
      </c>
      <c r="D100" s="7">
        <v>19130.37</v>
      </c>
      <c r="E100" s="5">
        <v>6847</v>
      </c>
      <c r="F100" s="5">
        <v>581</v>
      </c>
      <c r="G100" s="12">
        <f>SUM($D$7:D100)</f>
        <v>3492600.8900000011</v>
      </c>
      <c r="H100" s="11">
        <f t="shared" si="1"/>
        <v>0.32743078466350334</v>
      </c>
    </row>
    <row r="101" spans="1:8" ht="15" customHeight="1" x14ac:dyDescent="0.25">
      <c r="A101" s="5">
        <v>95</v>
      </c>
      <c r="B101" s="10" t="s">
        <v>250</v>
      </c>
      <c r="C101" s="10" t="s">
        <v>251</v>
      </c>
      <c r="D101" s="7">
        <v>18890.47</v>
      </c>
      <c r="E101" s="5">
        <v>7962</v>
      </c>
      <c r="F101" s="5">
        <v>681</v>
      </c>
      <c r="G101" s="12">
        <f>SUM($D$7:D101)</f>
        <v>3511491.3600000013</v>
      </c>
      <c r="H101" s="11">
        <f t="shared" si="1"/>
        <v>0.32920176325784323</v>
      </c>
    </row>
    <row r="102" spans="1:8" ht="15" customHeight="1" x14ac:dyDescent="0.25">
      <c r="A102" s="5">
        <v>96</v>
      </c>
      <c r="B102" s="10" t="s">
        <v>252</v>
      </c>
      <c r="C102" s="10" t="s">
        <v>253</v>
      </c>
      <c r="D102" s="7">
        <v>18788.55</v>
      </c>
      <c r="E102" s="5">
        <v>12532</v>
      </c>
      <c r="F102" s="5">
        <v>646</v>
      </c>
      <c r="G102" s="12">
        <f>SUM($D$7:D102)</f>
        <v>3530279.9100000011</v>
      </c>
      <c r="H102" s="11">
        <f t="shared" si="1"/>
        <v>0.33096318686819726</v>
      </c>
    </row>
    <row r="103" spans="1:8" ht="15" customHeight="1" x14ac:dyDescent="0.25">
      <c r="A103" s="5">
        <v>97</v>
      </c>
      <c r="B103" s="10" t="s">
        <v>254</v>
      </c>
      <c r="C103" s="10" t="s">
        <v>255</v>
      </c>
      <c r="D103" s="7">
        <v>18750.580000000002</v>
      </c>
      <c r="E103" s="5">
        <v>10332</v>
      </c>
      <c r="F103" s="5">
        <v>1084</v>
      </c>
      <c r="G103" s="12">
        <f>SUM($D$7:D103)</f>
        <v>3549030.4900000012</v>
      </c>
      <c r="H103" s="11">
        <f t="shared" si="1"/>
        <v>0.3327210507970173</v>
      </c>
    </row>
    <row r="104" spans="1:8" ht="15" customHeight="1" x14ac:dyDescent="0.25">
      <c r="A104" s="5">
        <v>98</v>
      </c>
      <c r="B104" s="10" t="s">
        <v>256</v>
      </c>
      <c r="C104" s="10" t="s">
        <v>257</v>
      </c>
      <c r="D104" s="7">
        <v>18569.84</v>
      </c>
      <c r="E104" s="5">
        <v>23826</v>
      </c>
      <c r="F104" s="5">
        <v>518</v>
      </c>
      <c r="G104" s="12">
        <f>SUM($D$7:D104)</f>
        <v>3567600.330000001</v>
      </c>
      <c r="H104" s="11">
        <f t="shared" si="1"/>
        <v>0.33446197037923603</v>
      </c>
    </row>
    <row r="105" spans="1:8" ht="15" customHeight="1" x14ac:dyDescent="0.25">
      <c r="A105" s="5">
        <v>99</v>
      </c>
      <c r="B105" s="10" t="s">
        <v>258</v>
      </c>
      <c r="C105" s="10" t="s">
        <v>259</v>
      </c>
      <c r="D105" s="7">
        <v>18323.38</v>
      </c>
      <c r="E105" s="5">
        <v>9933</v>
      </c>
      <c r="F105" s="5">
        <v>1017</v>
      </c>
      <c r="G105" s="12">
        <f>SUM($D$7:D105)</f>
        <v>3585923.7100000009</v>
      </c>
      <c r="H105" s="11">
        <f t="shared" si="1"/>
        <v>0.33617978437517976</v>
      </c>
    </row>
    <row r="106" spans="1:8" ht="15" customHeight="1" x14ac:dyDescent="0.25">
      <c r="A106" s="5">
        <v>100</v>
      </c>
      <c r="B106" s="10" t="s">
        <v>260</v>
      </c>
      <c r="C106" s="10" t="s">
        <v>261</v>
      </c>
      <c r="D106" s="7">
        <v>18092.36</v>
      </c>
      <c r="E106" s="5">
        <v>10464</v>
      </c>
      <c r="F106" s="5">
        <v>1157</v>
      </c>
      <c r="G106" s="12">
        <f>SUM($D$7:D106)</f>
        <v>3604016.0700000008</v>
      </c>
      <c r="H106" s="11">
        <f t="shared" si="1"/>
        <v>0.33787594028242246</v>
      </c>
    </row>
    <row r="107" spans="1:8" ht="15" customHeight="1" x14ac:dyDescent="0.25">
      <c r="A107" s="5">
        <v>101</v>
      </c>
      <c r="B107" s="10" t="s">
        <v>262</v>
      </c>
      <c r="C107" s="10" t="s">
        <v>263</v>
      </c>
      <c r="D107" s="7">
        <v>18069.28</v>
      </c>
      <c r="E107" s="5">
        <v>10253</v>
      </c>
      <c r="F107" s="5">
        <v>262</v>
      </c>
      <c r="G107" s="12">
        <f>SUM($D$7:D107)</f>
        <v>3622085.3500000006</v>
      </c>
      <c r="H107" s="11">
        <f t="shared" si="1"/>
        <v>0.33956993244329159</v>
      </c>
    </row>
    <row r="108" spans="1:8" ht="15" customHeight="1" x14ac:dyDescent="0.25">
      <c r="A108" s="5">
        <v>102</v>
      </c>
      <c r="B108" s="10" t="s">
        <v>264</v>
      </c>
      <c r="C108" s="10" t="s">
        <v>265</v>
      </c>
      <c r="D108" s="7">
        <v>18055.11</v>
      </c>
      <c r="E108" s="5">
        <v>3474</v>
      </c>
      <c r="F108" s="5">
        <v>657</v>
      </c>
      <c r="G108" s="12">
        <f>SUM($D$7:D108)</f>
        <v>3640140.4600000004</v>
      </c>
      <c r="H108" s="11">
        <f t="shared" si="1"/>
        <v>0.34126259616888716</v>
      </c>
    </row>
    <row r="109" spans="1:8" ht="15" customHeight="1" x14ac:dyDescent="0.25">
      <c r="A109" s="5">
        <v>103</v>
      </c>
      <c r="B109" s="10" t="s">
        <v>266</v>
      </c>
      <c r="C109" s="10" t="s">
        <v>267</v>
      </c>
      <c r="D109" s="7">
        <v>17927.45</v>
      </c>
      <c r="E109" s="5">
        <v>16244</v>
      </c>
      <c r="F109" s="5">
        <v>305</v>
      </c>
      <c r="G109" s="12">
        <f>SUM($D$7:D109)</f>
        <v>3658067.9100000006</v>
      </c>
      <c r="H109" s="11">
        <f t="shared" si="1"/>
        <v>0.3429432917895413</v>
      </c>
    </row>
    <row r="110" spans="1:8" ht="15" customHeight="1" x14ac:dyDescent="0.25">
      <c r="A110" s="5">
        <v>104</v>
      </c>
      <c r="B110" s="10" t="s">
        <v>268</v>
      </c>
      <c r="C110" s="10" t="s">
        <v>269</v>
      </c>
      <c r="D110" s="7">
        <v>17910.03</v>
      </c>
      <c r="E110" s="5">
        <v>8498</v>
      </c>
      <c r="F110" s="5">
        <v>654</v>
      </c>
      <c r="G110" s="12">
        <f>SUM($D$7:D110)</f>
        <v>3675977.9400000004</v>
      </c>
      <c r="H110" s="11">
        <f t="shared" si="1"/>
        <v>0.34462235428793253</v>
      </c>
    </row>
    <row r="111" spans="1:8" ht="15" customHeight="1" x14ac:dyDescent="0.25">
      <c r="A111" s="5">
        <v>105</v>
      </c>
      <c r="B111" s="10" t="s">
        <v>270</v>
      </c>
      <c r="C111" s="10" t="s">
        <v>271</v>
      </c>
      <c r="D111" s="7">
        <v>17708.53</v>
      </c>
      <c r="E111" s="5">
        <v>3533</v>
      </c>
      <c r="F111" s="5">
        <v>623</v>
      </c>
      <c r="G111" s="12">
        <f>SUM($D$7:D111)</f>
        <v>3693686.47</v>
      </c>
      <c r="H111" s="11">
        <f t="shared" si="1"/>
        <v>0.34628252619298439</v>
      </c>
    </row>
    <row r="112" spans="1:8" ht="15" customHeight="1" x14ac:dyDescent="0.25">
      <c r="A112" s="5">
        <v>106</v>
      </c>
      <c r="B112" s="10" t="s">
        <v>272</v>
      </c>
      <c r="C112" s="10" t="s">
        <v>273</v>
      </c>
      <c r="D112" s="7">
        <v>17655.8</v>
      </c>
      <c r="E112" s="5">
        <v>6084</v>
      </c>
      <c r="F112" s="5">
        <v>879</v>
      </c>
      <c r="G112" s="12">
        <f>SUM($D$7:D112)</f>
        <v>3711342.27</v>
      </c>
      <c r="H112" s="11">
        <f t="shared" si="1"/>
        <v>0.34793775466882143</v>
      </c>
    </row>
    <row r="113" spans="1:8" ht="15" customHeight="1" x14ac:dyDescent="0.25">
      <c r="A113" s="5">
        <v>107</v>
      </c>
      <c r="B113" s="10" t="s">
        <v>274</v>
      </c>
      <c r="C113" s="10" t="s">
        <v>275</v>
      </c>
      <c r="D113" s="7">
        <v>17551.759999999998</v>
      </c>
      <c r="E113" s="5">
        <v>5824</v>
      </c>
      <c r="F113" s="5">
        <v>765</v>
      </c>
      <c r="G113" s="12">
        <f>SUM($D$7:D113)</f>
        <v>3728894.03</v>
      </c>
      <c r="H113" s="11">
        <f t="shared" si="1"/>
        <v>0.34958322941100572</v>
      </c>
    </row>
    <row r="114" spans="1:8" ht="15" customHeight="1" x14ac:dyDescent="0.25">
      <c r="A114" s="5">
        <v>108</v>
      </c>
      <c r="B114" s="10" t="s">
        <v>276</v>
      </c>
      <c r="C114" s="10" t="s">
        <v>277</v>
      </c>
      <c r="D114" s="7">
        <v>17435.189999999999</v>
      </c>
      <c r="E114" s="5">
        <v>10515</v>
      </c>
      <c r="F114" s="5">
        <v>1090</v>
      </c>
      <c r="G114" s="12">
        <f>SUM($D$7:D114)</f>
        <v>3746329.2199999997</v>
      </c>
      <c r="H114" s="11">
        <f t="shared" si="1"/>
        <v>0.35121777573400609</v>
      </c>
    </row>
    <row r="115" spans="1:8" ht="15" customHeight="1" x14ac:dyDescent="0.25">
      <c r="A115" s="5">
        <v>109</v>
      </c>
      <c r="B115" s="10" t="s">
        <v>168</v>
      </c>
      <c r="C115" s="10" t="s">
        <v>278</v>
      </c>
      <c r="D115" s="7">
        <v>17272.849999999999</v>
      </c>
      <c r="E115" s="5">
        <v>8895</v>
      </c>
      <c r="F115" s="5">
        <v>514</v>
      </c>
      <c r="G115" s="12">
        <f>SUM($D$7:D115)</f>
        <v>3763602.07</v>
      </c>
      <c r="H115" s="11">
        <f t="shared" si="1"/>
        <v>0.35283710270751406</v>
      </c>
    </row>
    <row r="116" spans="1:8" ht="15" customHeight="1" x14ac:dyDescent="0.25">
      <c r="A116" s="5">
        <v>110</v>
      </c>
      <c r="B116" s="10" t="s">
        <v>279</v>
      </c>
      <c r="C116" s="10" t="s">
        <v>280</v>
      </c>
      <c r="D116" s="7">
        <v>17245.93</v>
      </c>
      <c r="E116" s="5">
        <v>8414</v>
      </c>
      <c r="F116" s="5">
        <v>662</v>
      </c>
      <c r="G116" s="12">
        <f>SUM($D$7:D116)</f>
        <v>3780848</v>
      </c>
      <c r="H116" s="11">
        <f t="shared" si="1"/>
        <v>0.35445390593525189</v>
      </c>
    </row>
    <row r="117" spans="1:8" ht="15" customHeight="1" x14ac:dyDescent="0.25">
      <c r="A117" s="5">
        <v>111</v>
      </c>
      <c r="B117" s="10" t="s">
        <v>281</v>
      </c>
      <c r="C117" s="10" t="s">
        <v>282</v>
      </c>
      <c r="D117" s="7">
        <v>17205.37</v>
      </c>
      <c r="E117" s="5">
        <v>9183</v>
      </c>
      <c r="F117" s="5">
        <v>955</v>
      </c>
      <c r="G117" s="12">
        <f>SUM($D$7:D117)</f>
        <v>3798053.37</v>
      </c>
      <c r="H117" s="11">
        <f t="shared" si="1"/>
        <v>0.35606690666936264</v>
      </c>
    </row>
    <row r="118" spans="1:8" ht="15" customHeight="1" x14ac:dyDescent="0.25">
      <c r="A118" s="5">
        <v>112</v>
      </c>
      <c r="B118" s="10" t="s">
        <v>283</v>
      </c>
      <c r="C118" s="10" t="s">
        <v>284</v>
      </c>
      <c r="D118" s="7">
        <v>17081.86</v>
      </c>
      <c r="E118" s="5">
        <v>8671</v>
      </c>
      <c r="F118" s="5">
        <v>686</v>
      </c>
      <c r="G118" s="12">
        <f>SUM($D$7:D118)</f>
        <v>3815135.23</v>
      </c>
      <c r="H118" s="11">
        <f t="shared" si="1"/>
        <v>0.35766832836037987</v>
      </c>
    </row>
    <row r="119" spans="1:8" ht="15" customHeight="1" x14ac:dyDescent="0.25">
      <c r="A119" s="5">
        <v>113</v>
      </c>
      <c r="B119" s="10" t="s">
        <v>285</v>
      </c>
      <c r="C119" s="10" t="s">
        <v>286</v>
      </c>
      <c r="D119" s="7">
        <v>17073.650000000001</v>
      </c>
      <c r="E119" s="5">
        <v>5737</v>
      </c>
      <c r="F119" s="5">
        <v>264</v>
      </c>
      <c r="G119" s="12">
        <f>SUM($D$7:D119)</f>
        <v>3832208.88</v>
      </c>
      <c r="H119" s="11">
        <f t="shared" si="1"/>
        <v>0.35926898036518706</v>
      </c>
    </row>
    <row r="120" spans="1:8" ht="15" customHeight="1" x14ac:dyDescent="0.25">
      <c r="A120" s="5">
        <v>114</v>
      </c>
      <c r="B120" s="10" t="s">
        <v>106</v>
      </c>
      <c r="C120" s="10" t="s">
        <v>287</v>
      </c>
      <c r="D120" s="7">
        <v>17055.150000000001</v>
      </c>
      <c r="E120" s="5">
        <v>20160</v>
      </c>
      <c r="F120" s="5">
        <v>589</v>
      </c>
      <c r="G120" s="12">
        <f>SUM($D$7:D120)</f>
        <v>3849264.03</v>
      </c>
      <c r="H120" s="11">
        <f t="shared" si="1"/>
        <v>0.36086789799790114</v>
      </c>
    </row>
    <row r="121" spans="1:8" ht="15" customHeight="1" x14ac:dyDescent="0.25">
      <c r="A121" s="5">
        <v>115</v>
      </c>
      <c r="B121" s="10" t="s">
        <v>288</v>
      </c>
      <c r="C121" s="10" t="s">
        <v>289</v>
      </c>
      <c r="D121" s="7">
        <v>17049.919999999998</v>
      </c>
      <c r="E121" s="5">
        <v>2780</v>
      </c>
      <c r="F121" s="5">
        <v>777</v>
      </c>
      <c r="G121" s="12">
        <f>SUM($D$7:D121)</f>
        <v>3866313.9499999997</v>
      </c>
      <c r="H121" s="11">
        <f t="shared" si="1"/>
        <v>0.36246632531893691</v>
      </c>
    </row>
    <row r="122" spans="1:8" ht="15" customHeight="1" x14ac:dyDescent="0.25">
      <c r="A122" s="5">
        <v>116</v>
      </c>
      <c r="B122" s="10" t="s">
        <v>290</v>
      </c>
      <c r="C122" s="10" t="s">
        <v>291</v>
      </c>
      <c r="D122" s="7">
        <v>17047.060000000001</v>
      </c>
      <c r="E122" s="5">
        <v>7306</v>
      </c>
      <c r="F122" s="5">
        <v>609</v>
      </c>
      <c r="G122" s="12">
        <f>SUM($D$7:D122)</f>
        <v>3883361.01</v>
      </c>
      <c r="H122" s="11">
        <f t="shared" si="1"/>
        <v>0.36406448451542212</v>
      </c>
    </row>
    <row r="123" spans="1:8" ht="15" customHeight="1" x14ac:dyDescent="0.25">
      <c r="A123" s="5">
        <v>117</v>
      </c>
      <c r="B123" s="10" t="s">
        <v>292</v>
      </c>
      <c r="C123" s="10" t="s">
        <v>293</v>
      </c>
      <c r="D123" s="7">
        <v>16937.82</v>
      </c>
      <c r="E123" s="5">
        <v>26633</v>
      </c>
      <c r="F123" s="5">
        <v>380</v>
      </c>
      <c r="G123" s="12">
        <f>SUM($D$7:D123)</f>
        <v>3900298.8299999996</v>
      </c>
      <c r="H123" s="11">
        <f t="shared" si="1"/>
        <v>0.36565240247907155</v>
      </c>
    </row>
    <row r="124" spans="1:8" ht="15" customHeight="1" x14ac:dyDescent="0.25">
      <c r="A124" s="5">
        <v>118</v>
      </c>
      <c r="B124" s="10" t="s">
        <v>294</v>
      </c>
      <c r="C124" s="10" t="s">
        <v>295</v>
      </c>
      <c r="D124" s="7">
        <v>16759.75</v>
      </c>
      <c r="E124" s="5">
        <v>13308</v>
      </c>
      <c r="F124" s="5">
        <v>833</v>
      </c>
      <c r="G124" s="12">
        <f>SUM($D$7:D124)</f>
        <v>3917058.5799999996</v>
      </c>
      <c r="H124" s="11">
        <f t="shared" si="1"/>
        <v>0.36722362640820028</v>
      </c>
    </row>
    <row r="125" spans="1:8" ht="15" customHeight="1" x14ac:dyDescent="0.25">
      <c r="A125" s="5">
        <v>119</v>
      </c>
      <c r="B125" s="10" t="s">
        <v>296</v>
      </c>
      <c r="C125" s="10" t="s">
        <v>297</v>
      </c>
      <c r="D125" s="7">
        <v>16528.310000000001</v>
      </c>
      <c r="E125" s="5">
        <v>1901</v>
      </c>
      <c r="F125" s="5">
        <v>711</v>
      </c>
      <c r="G125" s="12">
        <f>SUM($D$7:D125)</f>
        <v>3933586.8899999997</v>
      </c>
      <c r="H125" s="11">
        <f t="shared" si="1"/>
        <v>0.36877315287369389</v>
      </c>
    </row>
    <row r="126" spans="1:8" ht="15" customHeight="1" x14ac:dyDescent="0.25">
      <c r="A126" s="5">
        <v>120</v>
      </c>
      <c r="B126" s="10" t="s">
        <v>298</v>
      </c>
      <c r="C126" s="10" t="s">
        <v>299</v>
      </c>
      <c r="D126" s="7">
        <v>16507.23</v>
      </c>
      <c r="E126" s="5">
        <v>12672</v>
      </c>
      <c r="F126" s="5">
        <v>1073</v>
      </c>
      <c r="G126" s="12">
        <f>SUM($D$7:D126)</f>
        <v>3950094.1199999996</v>
      </c>
      <c r="H126" s="11">
        <f t="shared" si="1"/>
        <v>0.3703207030924997</v>
      </c>
    </row>
    <row r="127" spans="1:8" ht="15" customHeight="1" x14ac:dyDescent="0.25">
      <c r="A127" s="5">
        <v>121</v>
      </c>
      <c r="B127" s="10" t="s">
        <v>300</v>
      </c>
      <c r="C127" s="10" t="s">
        <v>301</v>
      </c>
      <c r="D127" s="7">
        <v>16477.53</v>
      </c>
      <c r="E127" s="5">
        <v>12512</v>
      </c>
      <c r="F127" s="5">
        <v>728</v>
      </c>
      <c r="G127" s="12">
        <f>SUM($D$7:D127)</f>
        <v>3966571.6499999994</v>
      </c>
      <c r="H127" s="11">
        <f t="shared" si="1"/>
        <v>0.37186546894097211</v>
      </c>
    </row>
    <row r="128" spans="1:8" ht="15" customHeight="1" x14ac:dyDescent="0.25">
      <c r="A128" s="5">
        <v>122</v>
      </c>
      <c r="B128" s="10" t="s">
        <v>302</v>
      </c>
      <c r="C128" s="10" t="s">
        <v>303</v>
      </c>
      <c r="D128" s="7">
        <v>16363.3</v>
      </c>
      <c r="E128" s="5">
        <v>415</v>
      </c>
      <c r="F128" s="5">
        <v>155</v>
      </c>
      <c r="G128" s="12">
        <f>SUM($D$7:D128)</f>
        <v>3982934.9499999993</v>
      </c>
      <c r="H128" s="11">
        <f t="shared" si="1"/>
        <v>0.37339952574489288</v>
      </c>
    </row>
    <row r="129" spans="1:8" ht="15" customHeight="1" x14ac:dyDescent="0.25">
      <c r="A129" s="5">
        <v>123</v>
      </c>
      <c r="B129" s="10" t="s">
        <v>304</v>
      </c>
      <c r="C129" s="10" t="s">
        <v>305</v>
      </c>
      <c r="D129" s="7">
        <v>16357.05</v>
      </c>
      <c r="E129" s="5">
        <v>8825</v>
      </c>
      <c r="F129" s="5">
        <v>913</v>
      </c>
      <c r="G129" s="12">
        <f>SUM($D$7:D129)</f>
        <v>3999291.9999999991</v>
      </c>
      <c r="H129" s="11">
        <f t="shared" si="1"/>
        <v>0.37493299661229568</v>
      </c>
    </row>
    <row r="130" spans="1:8" ht="15" customHeight="1" x14ac:dyDescent="0.25">
      <c r="A130" s="5">
        <v>124</v>
      </c>
      <c r="B130" s="10" t="s">
        <v>306</v>
      </c>
      <c r="C130" s="10" t="s">
        <v>307</v>
      </c>
      <c r="D130" s="7">
        <v>16164.04</v>
      </c>
      <c r="E130" s="5">
        <v>3323</v>
      </c>
      <c r="F130" s="5">
        <v>459</v>
      </c>
      <c r="G130" s="12">
        <f>SUM($D$7:D130)</f>
        <v>4015456.0399999991</v>
      </c>
      <c r="H130" s="11">
        <f t="shared" si="1"/>
        <v>0.37644837282252519</v>
      </c>
    </row>
    <row r="131" spans="1:8" ht="15" customHeight="1" x14ac:dyDescent="0.25">
      <c r="A131" s="5">
        <v>125</v>
      </c>
      <c r="B131" s="10" t="s">
        <v>308</v>
      </c>
      <c r="C131" s="10" t="s">
        <v>309</v>
      </c>
      <c r="D131" s="7">
        <v>15983.33</v>
      </c>
      <c r="E131" s="5">
        <v>8272</v>
      </c>
      <c r="F131" s="5">
        <v>677</v>
      </c>
      <c r="G131" s="12">
        <f>SUM($D$7:D131)</f>
        <v>4031439.3699999992</v>
      </c>
      <c r="H131" s="11">
        <f t="shared" si="1"/>
        <v>0.37794680749864867</v>
      </c>
    </row>
    <row r="132" spans="1:8" ht="15" customHeight="1" x14ac:dyDescent="0.25">
      <c r="A132" s="5">
        <v>126</v>
      </c>
      <c r="B132" s="10" t="s">
        <v>310</v>
      </c>
      <c r="C132" s="10" t="s">
        <v>311</v>
      </c>
      <c r="D132" s="7">
        <v>15833.31</v>
      </c>
      <c r="E132" s="5">
        <v>2997</v>
      </c>
      <c r="F132" s="5">
        <v>401</v>
      </c>
      <c r="G132" s="12">
        <f>SUM($D$7:D132)</f>
        <v>4047272.6799999992</v>
      </c>
      <c r="H132" s="11">
        <f t="shared" si="1"/>
        <v>0.37943117782334396</v>
      </c>
    </row>
    <row r="133" spans="1:8" ht="15" customHeight="1" x14ac:dyDescent="0.25">
      <c r="A133" s="5">
        <v>127</v>
      </c>
      <c r="B133" s="10" t="s">
        <v>312</v>
      </c>
      <c r="C133" s="10" t="s">
        <v>313</v>
      </c>
      <c r="D133" s="7">
        <v>15828.84</v>
      </c>
      <c r="E133" s="5">
        <v>2844</v>
      </c>
      <c r="F133" s="5">
        <v>321</v>
      </c>
      <c r="G133" s="12">
        <f>SUM($D$7:D133)</f>
        <v>4063101.5199999991</v>
      </c>
      <c r="H133" s="11">
        <f t="shared" si="1"/>
        <v>0.38091512908624164</v>
      </c>
    </row>
    <row r="134" spans="1:8" ht="15" customHeight="1" x14ac:dyDescent="0.25">
      <c r="A134" s="5">
        <v>128</v>
      </c>
      <c r="B134" s="10" t="s">
        <v>314</v>
      </c>
      <c r="C134" s="10" t="s">
        <v>315</v>
      </c>
      <c r="D134" s="7">
        <v>15636.99</v>
      </c>
      <c r="E134" s="5">
        <v>6910</v>
      </c>
      <c r="F134" s="5">
        <v>748</v>
      </c>
      <c r="G134" s="12">
        <f>SUM($D$7:D134)</f>
        <v>4078738.5099999993</v>
      </c>
      <c r="H134" s="11">
        <f t="shared" si="1"/>
        <v>0.3823810944417837</v>
      </c>
    </row>
    <row r="135" spans="1:8" ht="15" customHeight="1" x14ac:dyDescent="0.25">
      <c r="A135" s="5">
        <v>129</v>
      </c>
      <c r="B135" s="10" t="s">
        <v>316</v>
      </c>
      <c r="C135" s="10" t="s">
        <v>317</v>
      </c>
      <c r="D135" s="7">
        <v>15240.07</v>
      </c>
      <c r="E135" s="5">
        <v>2403</v>
      </c>
      <c r="F135" s="5">
        <v>543</v>
      </c>
      <c r="G135" s="12">
        <f>SUM($D$7:D135)</f>
        <v>4093978.5799999991</v>
      </c>
      <c r="H135" s="11">
        <f t="shared" ref="H135:H198" si="2">G135/SUM($D$7:$D$4167)</f>
        <v>0.3838098486096917</v>
      </c>
    </row>
    <row r="136" spans="1:8" ht="15" customHeight="1" x14ac:dyDescent="0.25">
      <c r="A136" s="5">
        <v>130</v>
      </c>
      <c r="B136" s="10" t="s">
        <v>318</v>
      </c>
      <c r="C136" s="10" t="s">
        <v>319</v>
      </c>
      <c r="D136" s="7">
        <v>15122.97</v>
      </c>
      <c r="E136" s="5">
        <v>5189</v>
      </c>
      <c r="F136" s="5">
        <v>436</v>
      </c>
      <c r="G136" s="12">
        <f>SUM($D$7:D136)</f>
        <v>4109101.5499999993</v>
      </c>
      <c r="H136" s="11">
        <f t="shared" si="2"/>
        <v>0.38522762467099902</v>
      </c>
    </row>
    <row r="137" spans="1:8" ht="15" customHeight="1" x14ac:dyDescent="0.25">
      <c r="A137" s="5">
        <v>131</v>
      </c>
      <c r="B137" s="10" t="s">
        <v>320</v>
      </c>
      <c r="C137" s="10" t="s">
        <v>321</v>
      </c>
      <c r="D137" s="7">
        <v>14501.94</v>
      </c>
      <c r="E137" s="5">
        <v>3668</v>
      </c>
      <c r="F137" s="5">
        <v>358</v>
      </c>
      <c r="G137" s="12">
        <f>SUM($D$7:D137)</f>
        <v>4123603.4899999993</v>
      </c>
      <c r="H137" s="11">
        <f t="shared" si="2"/>
        <v>0.38658717926738551</v>
      </c>
    </row>
    <row r="138" spans="1:8" ht="15" customHeight="1" x14ac:dyDescent="0.25">
      <c r="A138" s="5">
        <v>132</v>
      </c>
      <c r="B138" s="10" t="s">
        <v>322</v>
      </c>
      <c r="C138" s="10" t="s">
        <v>323</v>
      </c>
      <c r="D138" s="7">
        <v>14453.47</v>
      </c>
      <c r="E138" s="5">
        <v>1790</v>
      </c>
      <c r="F138" s="5">
        <v>380</v>
      </c>
      <c r="G138" s="12">
        <f>SUM($D$7:D138)</f>
        <v>4138056.9599999995</v>
      </c>
      <c r="H138" s="11">
        <f t="shared" si="2"/>
        <v>0.38794218980888789</v>
      </c>
    </row>
    <row r="139" spans="1:8" ht="15" customHeight="1" x14ac:dyDescent="0.25">
      <c r="A139" s="5">
        <v>133</v>
      </c>
      <c r="B139" s="10" t="s">
        <v>324</v>
      </c>
      <c r="C139" s="10" t="s">
        <v>325</v>
      </c>
      <c r="D139" s="7">
        <v>14410.62</v>
      </c>
      <c r="E139" s="5">
        <v>6632</v>
      </c>
      <c r="F139" s="5">
        <v>548</v>
      </c>
      <c r="G139" s="12">
        <f>SUM($D$7:D139)</f>
        <v>4152467.5799999996</v>
      </c>
      <c r="H139" s="11">
        <f t="shared" si="2"/>
        <v>0.38929318316962302</v>
      </c>
    </row>
    <row r="140" spans="1:8" ht="15" customHeight="1" x14ac:dyDescent="0.25">
      <c r="A140" s="5">
        <v>134</v>
      </c>
      <c r="B140" s="10" t="s">
        <v>326</v>
      </c>
      <c r="C140" s="10" t="s">
        <v>327</v>
      </c>
      <c r="D140" s="7">
        <v>14329.54</v>
      </c>
      <c r="E140" s="5">
        <v>901</v>
      </c>
      <c r="F140" s="5">
        <v>375</v>
      </c>
      <c r="G140" s="12">
        <f>SUM($D$7:D140)</f>
        <v>4166797.1199999996</v>
      </c>
      <c r="H140" s="11">
        <f t="shared" si="2"/>
        <v>0.39063657529309781</v>
      </c>
    </row>
    <row r="141" spans="1:8" ht="15" customHeight="1" x14ac:dyDescent="0.25">
      <c r="A141" s="5">
        <v>135</v>
      </c>
      <c r="B141" s="10" t="s">
        <v>328</v>
      </c>
      <c r="C141" s="10" t="s">
        <v>329</v>
      </c>
      <c r="D141" s="7">
        <v>14324</v>
      </c>
      <c r="E141" s="5">
        <v>2038</v>
      </c>
      <c r="F141" s="5">
        <v>407</v>
      </c>
      <c r="G141" s="12">
        <f>SUM($D$7:D141)</f>
        <v>4181121.1199999996</v>
      </c>
      <c r="H141" s="11">
        <f t="shared" si="2"/>
        <v>0.39197944804244306</v>
      </c>
    </row>
    <row r="142" spans="1:8" ht="15" customHeight="1" x14ac:dyDescent="0.25">
      <c r="A142" s="5">
        <v>136</v>
      </c>
      <c r="B142" s="10" t="s">
        <v>330</v>
      </c>
      <c r="C142" s="10" t="s">
        <v>331</v>
      </c>
      <c r="D142" s="7">
        <v>14197.28</v>
      </c>
      <c r="E142" s="5">
        <v>7071</v>
      </c>
      <c r="F142" s="5">
        <v>595</v>
      </c>
      <c r="G142" s="12">
        <f>SUM($D$7:D142)</f>
        <v>4195318.3999999994</v>
      </c>
      <c r="H142" s="11">
        <f t="shared" si="2"/>
        <v>0.39331044081169919</v>
      </c>
    </row>
    <row r="143" spans="1:8" ht="15" customHeight="1" x14ac:dyDescent="0.25">
      <c r="A143" s="5">
        <v>137</v>
      </c>
      <c r="B143" s="10" t="s">
        <v>332</v>
      </c>
      <c r="C143" s="10" t="s">
        <v>333</v>
      </c>
      <c r="D143" s="7">
        <v>14193.35</v>
      </c>
      <c r="E143" s="5">
        <v>2960</v>
      </c>
      <c r="F143" s="5">
        <v>459</v>
      </c>
      <c r="G143" s="12">
        <f>SUM($D$7:D143)</f>
        <v>4209511.7499999991</v>
      </c>
      <c r="H143" s="11">
        <f t="shared" si="2"/>
        <v>0.39464106514407277</v>
      </c>
    </row>
    <row r="144" spans="1:8" ht="15" customHeight="1" x14ac:dyDescent="0.25">
      <c r="A144" s="5">
        <v>138</v>
      </c>
      <c r="B144" s="10" t="s">
        <v>334</v>
      </c>
      <c r="C144" s="10" t="s">
        <v>335</v>
      </c>
      <c r="D144" s="7">
        <v>14159.54</v>
      </c>
      <c r="E144" s="5">
        <v>4658</v>
      </c>
      <c r="F144" s="5">
        <v>610</v>
      </c>
      <c r="G144" s="12">
        <f>SUM($D$7:D144)</f>
        <v>4223671.2899999991</v>
      </c>
      <c r="H144" s="11">
        <f t="shared" si="2"/>
        <v>0.39596851979425873</v>
      </c>
    </row>
    <row r="145" spans="1:8" ht="15" customHeight="1" x14ac:dyDescent="0.25">
      <c r="A145" s="5">
        <v>139</v>
      </c>
      <c r="B145" s="10" t="s">
        <v>336</v>
      </c>
      <c r="C145" s="10" t="s">
        <v>337</v>
      </c>
      <c r="D145" s="7">
        <v>14141.7</v>
      </c>
      <c r="E145" s="5">
        <v>1627</v>
      </c>
      <c r="F145" s="5">
        <v>546</v>
      </c>
      <c r="G145" s="12">
        <f>SUM($D$7:D145)</f>
        <v>4237812.9899999993</v>
      </c>
      <c r="H145" s="11">
        <f t="shared" si="2"/>
        <v>0.39729430194724785</v>
      </c>
    </row>
    <row r="146" spans="1:8" ht="15" customHeight="1" x14ac:dyDescent="0.25">
      <c r="A146" s="5">
        <v>140</v>
      </c>
      <c r="B146" s="10" t="s">
        <v>338</v>
      </c>
      <c r="C146" s="10" t="s">
        <v>339</v>
      </c>
      <c r="D146" s="7">
        <v>14130.08</v>
      </c>
      <c r="E146" s="5">
        <v>10483</v>
      </c>
      <c r="F146" s="5">
        <v>706</v>
      </c>
      <c r="G146" s="12">
        <f>SUM($D$7:D146)</f>
        <v>4251943.0699999994</v>
      </c>
      <c r="H146" s="11">
        <f t="shared" si="2"/>
        <v>0.39861899472706275</v>
      </c>
    </row>
    <row r="147" spans="1:8" ht="15" customHeight="1" x14ac:dyDescent="0.25">
      <c r="A147" s="5">
        <v>141</v>
      </c>
      <c r="B147" s="10" t="s">
        <v>340</v>
      </c>
      <c r="C147" s="10" t="s">
        <v>341</v>
      </c>
      <c r="D147" s="7">
        <v>14078.69</v>
      </c>
      <c r="E147" s="5">
        <v>6441</v>
      </c>
      <c r="F147" s="5">
        <v>554</v>
      </c>
      <c r="G147" s="12">
        <f>SUM($D$7:D147)</f>
        <v>4266021.76</v>
      </c>
      <c r="H147" s="11">
        <f t="shared" si="2"/>
        <v>0.39993886970245235</v>
      </c>
    </row>
    <row r="148" spans="1:8" ht="15" customHeight="1" x14ac:dyDescent="0.25">
      <c r="A148" s="5">
        <v>142</v>
      </c>
      <c r="B148" s="10" t="s">
        <v>342</v>
      </c>
      <c r="C148" s="10" t="s">
        <v>343</v>
      </c>
      <c r="D148" s="7">
        <v>14031.16</v>
      </c>
      <c r="E148" s="5">
        <v>6450</v>
      </c>
      <c r="F148" s="5">
        <v>705</v>
      </c>
      <c r="G148" s="12">
        <f>SUM($D$7:D148)</f>
        <v>4280052.92</v>
      </c>
      <c r="H148" s="11">
        <f t="shared" si="2"/>
        <v>0.40125428874781005</v>
      </c>
    </row>
    <row r="149" spans="1:8" ht="15" customHeight="1" x14ac:dyDescent="0.25">
      <c r="A149" s="5">
        <v>143</v>
      </c>
      <c r="B149" s="10" t="s">
        <v>344</v>
      </c>
      <c r="C149" s="10" t="s">
        <v>345</v>
      </c>
      <c r="D149" s="7">
        <v>13978.95</v>
      </c>
      <c r="E149" s="5">
        <v>6081</v>
      </c>
      <c r="F149" s="5">
        <v>476</v>
      </c>
      <c r="G149" s="12">
        <f>SUM($D$7:D149)</f>
        <v>4294031.87</v>
      </c>
      <c r="H149" s="11">
        <f t="shared" si="2"/>
        <v>0.40256481311387121</v>
      </c>
    </row>
    <row r="150" spans="1:8" ht="15" customHeight="1" x14ac:dyDescent="0.25">
      <c r="A150" s="5">
        <v>144</v>
      </c>
      <c r="B150" s="10" t="s">
        <v>346</v>
      </c>
      <c r="C150" s="10" t="s">
        <v>347</v>
      </c>
      <c r="D150" s="7">
        <v>13931.31</v>
      </c>
      <c r="E150" s="5">
        <v>1342</v>
      </c>
      <c r="F150" s="5">
        <v>267</v>
      </c>
      <c r="G150" s="12">
        <f>SUM($D$7:D150)</f>
        <v>4307963.18</v>
      </c>
      <c r="H150" s="11">
        <f t="shared" si="2"/>
        <v>0.40387087123741772</v>
      </c>
    </row>
    <row r="151" spans="1:8" ht="15" customHeight="1" x14ac:dyDescent="0.25">
      <c r="A151" s="5">
        <v>145</v>
      </c>
      <c r="B151" s="10" t="s">
        <v>348</v>
      </c>
      <c r="C151" s="10" t="s">
        <v>349</v>
      </c>
      <c r="D151" s="7">
        <v>13841.85</v>
      </c>
      <c r="E151" s="5">
        <v>55047</v>
      </c>
      <c r="F151" s="5">
        <v>535</v>
      </c>
      <c r="G151" s="12">
        <f>SUM($D$7:D151)</f>
        <v>4321805.0299999993</v>
      </c>
      <c r="H151" s="11">
        <f t="shared" si="2"/>
        <v>0.40516854250002066</v>
      </c>
    </row>
    <row r="152" spans="1:8" ht="15" customHeight="1" x14ac:dyDescent="0.25">
      <c r="A152" s="5">
        <v>146</v>
      </c>
      <c r="B152" s="10" t="s">
        <v>350</v>
      </c>
      <c r="C152" s="10" t="s">
        <v>351</v>
      </c>
      <c r="D152" s="7">
        <v>13838.1</v>
      </c>
      <c r="E152" s="5">
        <v>11001</v>
      </c>
      <c r="F152" s="5">
        <v>522</v>
      </c>
      <c r="G152" s="12">
        <f>SUM($D$7:D152)</f>
        <v>4335643.129999999</v>
      </c>
      <c r="H152" s="11">
        <f t="shared" si="2"/>
        <v>0.40646586220071279</v>
      </c>
    </row>
    <row r="153" spans="1:8" ht="15" customHeight="1" x14ac:dyDescent="0.25">
      <c r="A153" s="5">
        <v>147</v>
      </c>
      <c r="B153" s="10" t="s">
        <v>352</v>
      </c>
      <c r="C153" s="10" t="s">
        <v>353</v>
      </c>
      <c r="D153" s="7">
        <v>13812.92</v>
      </c>
      <c r="E153" s="5">
        <v>1672</v>
      </c>
      <c r="F153" s="5">
        <v>311</v>
      </c>
      <c r="G153" s="12">
        <f>SUM($D$7:D153)</f>
        <v>4349456.0499999989</v>
      </c>
      <c r="H153" s="11">
        <f t="shared" si="2"/>
        <v>0.4077608212803614</v>
      </c>
    </row>
    <row r="154" spans="1:8" ht="15" customHeight="1" x14ac:dyDescent="0.25">
      <c r="A154" s="5">
        <v>148</v>
      </c>
      <c r="B154" s="10" t="s">
        <v>354</v>
      </c>
      <c r="C154" s="10" t="s">
        <v>355</v>
      </c>
      <c r="D154" s="7">
        <v>13761.09</v>
      </c>
      <c r="E154" s="5">
        <v>2</v>
      </c>
      <c r="F154" s="5">
        <v>2</v>
      </c>
      <c r="G154" s="12">
        <f>SUM($D$7:D154)</f>
        <v>4363217.1399999987</v>
      </c>
      <c r="H154" s="11">
        <f t="shared" si="2"/>
        <v>0.40905092130565374</v>
      </c>
    </row>
    <row r="155" spans="1:8" ht="15" customHeight="1" x14ac:dyDescent="0.25">
      <c r="A155" s="5">
        <v>149</v>
      </c>
      <c r="B155" s="10" t="s">
        <v>356</v>
      </c>
      <c r="C155" s="10" t="s">
        <v>357</v>
      </c>
      <c r="D155" s="7">
        <v>13746.11</v>
      </c>
      <c r="E155" s="5">
        <v>1811</v>
      </c>
      <c r="F155" s="5">
        <v>382</v>
      </c>
      <c r="G155" s="12">
        <f>SUM($D$7:D155)</f>
        <v>4376963.2499999991</v>
      </c>
      <c r="H155" s="11">
        <f t="shared" si="2"/>
        <v>0.41033961695829985</v>
      </c>
    </row>
    <row r="156" spans="1:8" ht="15" customHeight="1" x14ac:dyDescent="0.25">
      <c r="A156" s="5">
        <v>150</v>
      </c>
      <c r="B156" s="10" t="s">
        <v>358</v>
      </c>
      <c r="C156" s="10" t="s">
        <v>359</v>
      </c>
      <c r="D156" s="7">
        <v>13720.77</v>
      </c>
      <c r="E156" s="5">
        <v>10415</v>
      </c>
      <c r="F156" s="5">
        <v>344</v>
      </c>
      <c r="G156" s="12">
        <f>SUM($D$7:D156)</f>
        <v>4390684.0199999986</v>
      </c>
      <c r="H156" s="11">
        <f t="shared" si="2"/>
        <v>0.41162593698992739</v>
      </c>
    </row>
    <row r="157" spans="1:8" ht="15" customHeight="1" x14ac:dyDescent="0.25">
      <c r="A157" s="5">
        <v>151</v>
      </c>
      <c r="B157" s="10" t="s">
        <v>360</v>
      </c>
      <c r="C157" s="10" t="s">
        <v>361</v>
      </c>
      <c r="D157" s="7">
        <v>13615.31</v>
      </c>
      <c r="E157" s="5">
        <v>8082</v>
      </c>
      <c r="F157" s="5">
        <v>673</v>
      </c>
      <c r="G157" s="12">
        <f>SUM($D$7:D157)</f>
        <v>4404299.3299999982</v>
      </c>
      <c r="H157" s="11">
        <f t="shared" si="2"/>
        <v>0.41290237016312537</v>
      </c>
    </row>
    <row r="158" spans="1:8" ht="15" customHeight="1" x14ac:dyDescent="0.25">
      <c r="A158" s="5">
        <v>152</v>
      </c>
      <c r="B158" s="10" t="s">
        <v>362</v>
      </c>
      <c r="C158" s="10" t="s">
        <v>363</v>
      </c>
      <c r="D158" s="7">
        <v>13612.41</v>
      </c>
      <c r="E158" s="5">
        <v>1757</v>
      </c>
      <c r="F158" s="5">
        <v>480</v>
      </c>
      <c r="G158" s="12">
        <f>SUM($D$7:D158)</f>
        <v>4417911.7399999984</v>
      </c>
      <c r="H158" s="11">
        <f t="shared" si="2"/>
        <v>0.41417853146177902</v>
      </c>
    </row>
    <row r="159" spans="1:8" ht="15" customHeight="1" x14ac:dyDescent="0.25">
      <c r="A159" s="5">
        <v>153</v>
      </c>
      <c r="B159" s="10" t="s">
        <v>364</v>
      </c>
      <c r="C159" s="10" t="s">
        <v>365</v>
      </c>
      <c r="D159" s="7">
        <v>13494.97</v>
      </c>
      <c r="E159" s="5">
        <v>2386</v>
      </c>
      <c r="F159" s="5">
        <v>476</v>
      </c>
      <c r="G159" s="12">
        <f>SUM($D$7:D159)</f>
        <v>4431406.7099999981</v>
      </c>
      <c r="H159" s="11">
        <f t="shared" si="2"/>
        <v>0.41544368277888538</v>
      </c>
    </row>
    <row r="160" spans="1:8" ht="15" customHeight="1" x14ac:dyDescent="0.25">
      <c r="A160" s="5">
        <v>154</v>
      </c>
      <c r="B160" s="10" t="s">
        <v>366</v>
      </c>
      <c r="C160" s="10" t="s">
        <v>367</v>
      </c>
      <c r="D160" s="7">
        <v>13360.2</v>
      </c>
      <c r="E160" s="5">
        <v>7851</v>
      </c>
      <c r="F160" s="5">
        <v>740</v>
      </c>
      <c r="G160" s="12">
        <f>SUM($D$7:D160)</f>
        <v>4444766.9099999983</v>
      </c>
      <c r="H160" s="11">
        <f t="shared" si="2"/>
        <v>0.41669619942966751</v>
      </c>
    </row>
    <row r="161" spans="1:8" ht="15" customHeight="1" x14ac:dyDescent="0.25">
      <c r="A161" s="5">
        <v>155</v>
      </c>
      <c r="B161" s="10" t="s">
        <v>368</v>
      </c>
      <c r="C161" s="10" t="s">
        <v>369</v>
      </c>
      <c r="D161" s="7">
        <v>13346.04</v>
      </c>
      <c r="E161" s="5">
        <v>8689</v>
      </c>
      <c r="F161" s="5">
        <v>772</v>
      </c>
      <c r="G161" s="12">
        <f>SUM($D$7:D161)</f>
        <v>4458112.9499999983</v>
      </c>
      <c r="H161" s="11">
        <f t="shared" si="2"/>
        <v>0.41794738858267449</v>
      </c>
    </row>
    <row r="162" spans="1:8" ht="15" customHeight="1" x14ac:dyDescent="0.25">
      <c r="A162" s="5">
        <v>156</v>
      </c>
      <c r="B162" s="10" t="s">
        <v>370</v>
      </c>
      <c r="C162" s="10" t="s">
        <v>371</v>
      </c>
      <c r="D162" s="7">
        <v>13344.77</v>
      </c>
      <c r="E162" s="5">
        <v>7813</v>
      </c>
      <c r="F162" s="5">
        <v>704</v>
      </c>
      <c r="G162" s="12">
        <f>SUM($D$7:D162)</f>
        <v>4471457.7199999979</v>
      </c>
      <c r="H162" s="11">
        <f t="shared" si="2"/>
        <v>0.41919845867338096</v>
      </c>
    </row>
    <row r="163" spans="1:8" ht="15" customHeight="1" x14ac:dyDescent="0.25">
      <c r="A163" s="5">
        <v>157</v>
      </c>
      <c r="B163" s="10" t="s">
        <v>372</v>
      </c>
      <c r="C163" s="10" t="s">
        <v>373</v>
      </c>
      <c r="D163" s="7">
        <v>13303.02</v>
      </c>
      <c r="E163" s="5">
        <v>2221</v>
      </c>
      <c r="F163" s="5">
        <v>372</v>
      </c>
      <c r="G163" s="12">
        <f>SUM($D$7:D163)</f>
        <v>4484760.7399999974</v>
      </c>
      <c r="H163" s="11">
        <f t="shared" si="2"/>
        <v>0.4204456147081474</v>
      </c>
    </row>
    <row r="164" spans="1:8" ht="15" customHeight="1" x14ac:dyDescent="0.25">
      <c r="A164" s="5">
        <v>158</v>
      </c>
      <c r="B164" s="10" t="s">
        <v>374</v>
      </c>
      <c r="C164" s="10" t="s">
        <v>375</v>
      </c>
      <c r="D164" s="7">
        <v>13284.49</v>
      </c>
      <c r="E164" s="5">
        <v>2845</v>
      </c>
      <c r="F164" s="5">
        <v>405</v>
      </c>
      <c r="G164" s="12">
        <f>SUM($D$7:D164)</f>
        <v>4498045.2299999977</v>
      </c>
      <c r="H164" s="11">
        <f t="shared" si="2"/>
        <v>0.42169103355832543</v>
      </c>
    </row>
    <row r="165" spans="1:8" ht="15" customHeight="1" x14ac:dyDescent="0.25">
      <c r="A165" s="5">
        <v>159</v>
      </c>
      <c r="B165" s="10" t="s">
        <v>376</v>
      </c>
      <c r="C165" s="10" t="s">
        <v>377</v>
      </c>
      <c r="D165" s="7">
        <v>12805.33</v>
      </c>
      <c r="E165" s="5">
        <v>3231</v>
      </c>
      <c r="F165" s="5">
        <v>561</v>
      </c>
      <c r="G165" s="12">
        <f>SUM($D$7:D165)</f>
        <v>4510850.5599999977</v>
      </c>
      <c r="H165" s="11">
        <f t="shared" si="2"/>
        <v>0.42289153123379131</v>
      </c>
    </row>
    <row r="166" spans="1:8" ht="15" customHeight="1" x14ac:dyDescent="0.25">
      <c r="A166" s="5">
        <v>160</v>
      </c>
      <c r="B166" s="10" t="s">
        <v>378</v>
      </c>
      <c r="C166" s="10" t="s">
        <v>379</v>
      </c>
      <c r="D166" s="7">
        <v>12792.25</v>
      </c>
      <c r="E166" s="5">
        <v>2091</v>
      </c>
      <c r="F166" s="5">
        <v>407</v>
      </c>
      <c r="G166" s="12">
        <f>SUM($D$7:D166)</f>
        <v>4523642.8099999977</v>
      </c>
      <c r="H166" s="11">
        <f t="shared" si="2"/>
        <v>0.42409080266131238</v>
      </c>
    </row>
    <row r="167" spans="1:8" ht="15" customHeight="1" x14ac:dyDescent="0.25">
      <c r="A167" s="5">
        <v>161</v>
      </c>
      <c r="B167" s="10" t="s">
        <v>380</v>
      </c>
      <c r="C167" s="10" t="s">
        <v>381</v>
      </c>
      <c r="D167" s="7">
        <v>12671.06</v>
      </c>
      <c r="E167" s="5">
        <v>2110</v>
      </c>
      <c r="F167" s="5">
        <v>506</v>
      </c>
      <c r="G167" s="12">
        <f>SUM($D$7:D167)</f>
        <v>4536313.8699999973</v>
      </c>
      <c r="H167" s="11">
        <f t="shared" si="2"/>
        <v>0.42527871254537536</v>
      </c>
    </row>
    <row r="168" spans="1:8" ht="15" customHeight="1" x14ac:dyDescent="0.25">
      <c r="A168" s="5">
        <v>162</v>
      </c>
      <c r="B168" s="10" t="s">
        <v>382</v>
      </c>
      <c r="C168" s="10" t="s">
        <v>383</v>
      </c>
      <c r="D168" s="7">
        <v>12642.93</v>
      </c>
      <c r="E168" s="5">
        <v>1748</v>
      </c>
      <c r="F168" s="5">
        <v>385</v>
      </c>
      <c r="G168" s="12">
        <f>SUM($D$7:D168)</f>
        <v>4548956.799999997</v>
      </c>
      <c r="H168" s="11">
        <f t="shared" si="2"/>
        <v>0.42646398524635831</v>
      </c>
    </row>
    <row r="169" spans="1:8" ht="15" customHeight="1" x14ac:dyDescent="0.25">
      <c r="A169" s="5">
        <v>163</v>
      </c>
      <c r="B169" s="10" t="s">
        <v>384</v>
      </c>
      <c r="C169" s="10" t="s">
        <v>385</v>
      </c>
      <c r="D169" s="7">
        <v>12614.17</v>
      </c>
      <c r="E169" s="5">
        <v>1770</v>
      </c>
      <c r="F169" s="5">
        <v>383</v>
      </c>
      <c r="G169" s="12">
        <f>SUM($D$7:D169)</f>
        <v>4561570.9699999969</v>
      </c>
      <c r="H169" s="11">
        <f t="shared" si="2"/>
        <v>0.42764656170186016</v>
      </c>
    </row>
    <row r="170" spans="1:8" ht="15" customHeight="1" x14ac:dyDescent="0.25">
      <c r="A170" s="5">
        <v>164</v>
      </c>
      <c r="B170" s="10" t="s">
        <v>386</v>
      </c>
      <c r="C170" s="10" t="s">
        <v>387</v>
      </c>
      <c r="D170" s="7">
        <v>12572.71</v>
      </c>
      <c r="E170" s="5">
        <v>2034</v>
      </c>
      <c r="F170" s="5">
        <v>629</v>
      </c>
      <c r="G170" s="12">
        <f>SUM($D$7:D170)</f>
        <v>4574143.6799999969</v>
      </c>
      <c r="H170" s="11">
        <f t="shared" si="2"/>
        <v>0.42882525128887639</v>
      </c>
    </row>
    <row r="171" spans="1:8" ht="15" customHeight="1" x14ac:dyDescent="0.25">
      <c r="A171" s="5">
        <v>165</v>
      </c>
      <c r="B171" s="10" t="s">
        <v>388</v>
      </c>
      <c r="C171" s="10" t="s">
        <v>389</v>
      </c>
      <c r="D171" s="7">
        <v>12571.37</v>
      </c>
      <c r="E171" s="5">
        <v>1331</v>
      </c>
      <c r="F171" s="5">
        <v>358</v>
      </c>
      <c r="G171" s="12">
        <f>SUM($D$7:D171)</f>
        <v>4586715.049999997</v>
      </c>
      <c r="H171" s="11">
        <f t="shared" si="2"/>
        <v>0.43000381525110321</v>
      </c>
    </row>
    <row r="172" spans="1:8" ht="15" customHeight="1" x14ac:dyDescent="0.25">
      <c r="A172" s="5">
        <v>166</v>
      </c>
      <c r="B172" s="10" t="s">
        <v>390</v>
      </c>
      <c r="C172" s="10" t="s">
        <v>391</v>
      </c>
      <c r="D172" s="7">
        <v>12552.4</v>
      </c>
      <c r="E172" s="5">
        <v>9798</v>
      </c>
      <c r="F172" s="5">
        <v>722</v>
      </c>
      <c r="G172" s="12">
        <f>SUM($D$7:D172)</f>
        <v>4599267.4499999974</v>
      </c>
      <c r="H172" s="11">
        <f t="shared" si="2"/>
        <v>0.43118060077881065</v>
      </c>
    </row>
    <row r="173" spans="1:8" ht="15" customHeight="1" x14ac:dyDescent="0.25">
      <c r="A173" s="5">
        <v>167</v>
      </c>
      <c r="B173" s="10" t="s">
        <v>392</v>
      </c>
      <c r="C173" s="10" t="s">
        <v>393</v>
      </c>
      <c r="D173" s="7">
        <v>12515.96</v>
      </c>
      <c r="E173" s="5">
        <v>14528</v>
      </c>
      <c r="F173" s="5">
        <v>926</v>
      </c>
      <c r="G173" s="12">
        <f>SUM($D$7:D173)</f>
        <v>4611783.4099999974</v>
      </c>
      <c r="H173" s="11">
        <f t="shared" si="2"/>
        <v>0.43235397006224374</v>
      </c>
    </row>
    <row r="174" spans="1:8" ht="15" customHeight="1" x14ac:dyDescent="0.25">
      <c r="A174" s="5">
        <v>168</v>
      </c>
      <c r="B174" s="10" t="s">
        <v>394</v>
      </c>
      <c r="C174" s="10" t="s">
        <v>395</v>
      </c>
      <c r="D174" s="7">
        <v>12487.17</v>
      </c>
      <c r="E174" s="5">
        <v>4871</v>
      </c>
      <c r="F174" s="5">
        <v>189</v>
      </c>
      <c r="G174" s="12">
        <f>SUM($D$7:D174)</f>
        <v>4624270.5799999973</v>
      </c>
      <c r="H174" s="11">
        <f t="shared" si="2"/>
        <v>0.43352464028770044</v>
      </c>
    </row>
    <row r="175" spans="1:8" ht="15" customHeight="1" x14ac:dyDescent="0.25">
      <c r="A175" s="5">
        <v>169</v>
      </c>
      <c r="B175" s="10" t="s">
        <v>396</v>
      </c>
      <c r="C175" s="10" t="s">
        <v>397</v>
      </c>
      <c r="D175" s="7">
        <v>12440.14</v>
      </c>
      <c r="E175" s="5">
        <v>3380</v>
      </c>
      <c r="F175" s="5">
        <v>470</v>
      </c>
      <c r="G175" s="12">
        <f>SUM($D$7:D175)</f>
        <v>4636710.7199999969</v>
      </c>
      <c r="H175" s="11">
        <f t="shared" si="2"/>
        <v>0.43469090145804667</v>
      </c>
    </row>
    <row r="176" spans="1:8" ht="15" customHeight="1" x14ac:dyDescent="0.25">
      <c r="A176" s="5">
        <v>170</v>
      </c>
      <c r="B176" s="10" t="s">
        <v>398</v>
      </c>
      <c r="C176" s="10" t="s">
        <v>399</v>
      </c>
      <c r="D176" s="7">
        <v>12383.83</v>
      </c>
      <c r="E176" s="5">
        <v>875</v>
      </c>
      <c r="F176" s="5">
        <v>454</v>
      </c>
      <c r="G176" s="12">
        <f>SUM($D$7:D176)</f>
        <v>4649094.549999997</v>
      </c>
      <c r="H176" s="11">
        <f t="shared" si="2"/>
        <v>0.43585188357474064</v>
      </c>
    </row>
    <row r="177" spans="1:8" ht="15" customHeight="1" x14ac:dyDescent="0.25">
      <c r="A177" s="5">
        <v>171</v>
      </c>
      <c r="B177" s="10" t="s">
        <v>400</v>
      </c>
      <c r="C177" s="10" t="s">
        <v>401</v>
      </c>
      <c r="D177" s="7">
        <v>12373.88</v>
      </c>
      <c r="E177" s="5">
        <v>6078</v>
      </c>
      <c r="F177" s="5">
        <v>547</v>
      </c>
      <c r="G177" s="12">
        <f>SUM($D$7:D177)</f>
        <v>4661468.4299999969</v>
      </c>
      <c r="H177" s="11">
        <f t="shared" si="2"/>
        <v>0.437011932880498</v>
      </c>
    </row>
    <row r="178" spans="1:8" ht="15" customHeight="1" x14ac:dyDescent="0.25">
      <c r="A178" s="5">
        <v>172</v>
      </c>
      <c r="B178" s="10" t="s">
        <v>402</v>
      </c>
      <c r="C178" s="10" t="s">
        <v>403</v>
      </c>
      <c r="D178" s="7">
        <v>12350.73</v>
      </c>
      <c r="E178" s="5">
        <v>3057</v>
      </c>
      <c r="F178" s="5">
        <v>322</v>
      </c>
      <c r="G178" s="12">
        <f>SUM($D$7:D178)</f>
        <v>4673819.1599999974</v>
      </c>
      <c r="H178" s="11">
        <f t="shared" si="2"/>
        <v>0.43816981187739285</v>
      </c>
    </row>
    <row r="179" spans="1:8" ht="15" customHeight="1" x14ac:dyDescent="0.25">
      <c r="A179" s="5">
        <v>173</v>
      </c>
      <c r="B179" s="10" t="s">
        <v>404</v>
      </c>
      <c r="C179" s="10" t="s">
        <v>405</v>
      </c>
      <c r="D179" s="7">
        <v>12245.02</v>
      </c>
      <c r="E179" s="5">
        <v>24854</v>
      </c>
      <c r="F179" s="5">
        <v>869</v>
      </c>
      <c r="G179" s="12">
        <f>SUM($D$7:D179)</f>
        <v>4686064.1799999969</v>
      </c>
      <c r="H179" s="11">
        <f t="shared" si="2"/>
        <v>0.43931778057839727</v>
      </c>
    </row>
    <row r="180" spans="1:8" ht="15" customHeight="1" x14ac:dyDescent="0.25">
      <c r="A180" s="5">
        <v>174</v>
      </c>
      <c r="B180" s="10" t="s">
        <v>406</v>
      </c>
      <c r="C180" s="10" t="s">
        <v>407</v>
      </c>
      <c r="D180" s="7">
        <v>12114.97</v>
      </c>
      <c r="E180" s="5">
        <v>2065</v>
      </c>
      <c r="F180" s="5">
        <v>287</v>
      </c>
      <c r="G180" s="12">
        <f>SUM($D$7:D180)</f>
        <v>4698179.1499999966</v>
      </c>
      <c r="H180" s="11">
        <f t="shared" si="2"/>
        <v>0.44045355711233575</v>
      </c>
    </row>
    <row r="181" spans="1:8" ht="15" customHeight="1" x14ac:dyDescent="0.25">
      <c r="A181" s="5">
        <v>175</v>
      </c>
      <c r="B181" s="10" t="s">
        <v>408</v>
      </c>
      <c r="C181" s="10" t="s">
        <v>409</v>
      </c>
      <c r="D181" s="7">
        <v>12071.92</v>
      </c>
      <c r="E181" s="5">
        <v>2327</v>
      </c>
      <c r="F181" s="5">
        <v>393</v>
      </c>
      <c r="G181" s="12">
        <f>SUM($D$7:D181)</f>
        <v>4710251.0699999966</v>
      </c>
      <c r="H181" s="11">
        <f t="shared" si="2"/>
        <v>0.44158529771553851</v>
      </c>
    </row>
    <row r="182" spans="1:8" ht="15" customHeight="1" x14ac:dyDescent="0.25">
      <c r="A182" s="5">
        <v>176</v>
      </c>
      <c r="B182" s="10" t="s">
        <v>410</v>
      </c>
      <c r="C182" s="10" t="s">
        <v>411</v>
      </c>
      <c r="D182" s="7">
        <v>12016.34</v>
      </c>
      <c r="E182" s="5">
        <v>4514</v>
      </c>
      <c r="F182" s="5">
        <v>331</v>
      </c>
      <c r="G182" s="12">
        <f>SUM($D$7:D182)</f>
        <v>4722267.4099999964</v>
      </c>
      <c r="H182" s="11">
        <f t="shared" si="2"/>
        <v>0.44271182770247419</v>
      </c>
    </row>
    <row r="183" spans="1:8" ht="15" customHeight="1" x14ac:dyDescent="0.25">
      <c r="A183" s="5">
        <v>177</v>
      </c>
      <c r="B183" s="10" t="s">
        <v>412</v>
      </c>
      <c r="C183" s="10" t="s">
        <v>413</v>
      </c>
      <c r="D183" s="7">
        <v>11971.15</v>
      </c>
      <c r="E183" s="5">
        <v>1452</v>
      </c>
      <c r="F183" s="5">
        <v>415</v>
      </c>
      <c r="G183" s="12">
        <f>SUM($D$7:D183)</f>
        <v>4734238.5599999968</v>
      </c>
      <c r="H183" s="11">
        <f t="shared" si="2"/>
        <v>0.44383412113401044</v>
      </c>
    </row>
    <row r="184" spans="1:8" ht="15" customHeight="1" x14ac:dyDescent="0.25">
      <c r="A184" s="5">
        <v>178</v>
      </c>
      <c r="B184" s="10" t="s">
        <v>414</v>
      </c>
      <c r="C184" s="10" t="s">
        <v>415</v>
      </c>
      <c r="D184" s="7">
        <v>11944.88</v>
      </c>
      <c r="E184" s="5">
        <v>3463</v>
      </c>
      <c r="F184" s="5">
        <v>303</v>
      </c>
      <c r="G184" s="12">
        <f>SUM($D$7:D184)</f>
        <v>4746183.4399999967</v>
      </c>
      <c r="H184" s="11">
        <f t="shared" si="2"/>
        <v>0.44495395175717428</v>
      </c>
    </row>
    <row r="185" spans="1:8" ht="15" customHeight="1" x14ac:dyDescent="0.25">
      <c r="A185" s="5">
        <v>179</v>
      </c>
      <c r="B185" s="10" t="s">
        <v>416</v>
      </c>
      <c r="C185" s="10" t="s">
        <v>417</v>
      </c>
      <c r="D185" s="7">
        <v>11937.68</v>
      </c>
      <c r="E185" s="5">
        <v>1408</v>
      </c>
      <c r="F185" s="5">
        <v>403</v>
      </c>
      <c r="G185" s="12">
        <f>SUM($D$7:D185)</f>
        <v>4758121.1199999964</v>
      </c>
      <c r="H185" s="11">
        <f t="shared" si="2"/>
        <v>0.44607310738146944</v>
      </c>
    </row>
    <row r="186" spans="1:8" ht="15" customHeight="1" x14ac:dyDescent="0.25">
      <c r="A186" s="5">
        <v>180</v>
      </c>
      <c r="B186" s="10" t="s">
        <v>418</v>
      </c>
      <c r="C186" s="10" t="s">
        <v>419</v>
      </c>
      <c r="D186" s="7">
        <v>11928.45</v>
      </c>
      <c r="E186" s="5">
        <v>3040</v>
      </c>
      <c r="F186" s="5">
        <v>477</v>
      </c>
      <c r="G186" s="12">
        <f>SUM($D$7:D186)</f>
        <v>4770049.5699999966</v>
      </c>
      <c r="H186" s="11">
        <f t="shared" si="2"/>
        <v>0.44719139769471489</v>
      </c>
    </row>
    <row r="187" spans="1:8" ht="15" customHeight="1" x14ac:dyDescent="0.25">
      <c r="A187" s="5">
        <v>181</v>
      </c>
      <c r="B187" s="10" t="s">
        <v>420</v>
      </c>
      <c r="C187" s="10" t="s">
        <v>421</v>
      </c>
      <c r="D187" s="7">
        <v>11893.23</v>
      </c>
      <c r="E187" s="5">
        <v>4089</v>
      </c>
      <c r="F187" s="5">
        <v>326</v>
      </c>
      <c r="G187" s="12">
        <f>SUM($D$7:D187)</f>
        <v>4781942.799999997</v>
      </c>
      <c r="H187" s="11">
        <f t="shared" si="2"/>
        <v>0.44830638613849427</v>
      </c>
    </row>
    <row r="188" spans="1:8" ht="15" customHeight="1" x14ac:dyDescent="0.25">
      <c r="A188" s="5">
        <v>182</v>
      </c>
      <c r="B188" s="10" t="s">
        <v>422</v>
      </c>
      <c r="C188" s="10" t="s">
        <v>423</v>
      </c>
      <c r="D188" s="7">
        <v>11882.57</v>
      </c>
      <c r="E188" s="5">
        <v>1403</v>
      </c>
      <c r="F188" s="5">
        <v>460</v>
      </c>
      <c r="G188" s="12">
        <f>SUM($D$7:D188)</f>
        <v>4793825.3699999973</v>
      </c>
      <c r="H188" s="11">
        <f t="shared" si="2"/>
        <v>0.44942037520894862</v>
      </c>
    </row>
    <row r="189" spans="1:8" ht="15" customHeight="1" x14ac:dyDescent="0.25">
      <c r="A189" s="5">
        <v>183</v>
      </c>
      <c r="B189" s="10" t="s">
        <v>424</v>
      </c>
      <c r="C189" s="10" t="s">
        <v>425</v>
      </c>
      <c r="D189" s="7">
        <v>11815.69</v>
      </c>
      <c r="E189" s="5">
        <v>6827</v>
      </c>
      <c r="F189" s="5">
        <v>758</v>
      </c>
      <c r="G189" s="12">
        <f>SUM($D$7:D189)</f>
        <v>4805641.0599999977</v>
      </c>
      <c r="H189" s="11">
        <f t="shared" si="2"/>
        <v>0.45052809428991147</v>
      </c>
    </row>
    <row r="190" spans="1:8" ht="15" customHeight="1" x14ac:dyDescent="0.25">
      <c r="A190" s="5">
        <v>184</v>
      </c>
      <c r="B190" s="10" t="s">
        <v>94</v>
      </c>
      <c r="C190" s="10" t="s">
        <v>426</v>
      </c>
      <c r="D190" s="7">
        <v>11807.12</v>
      </c>
      <c r="E190" s="5">
        <v>1879</v>
      </c>
      <c r="F190" s="5">
        <v>461</v>
      </c>
      <c r="G190" s="12">
        <f>SUM($D$7:D190)</f>
        <v>4817448.1799999978</v>
      </c>
      <c r="H190" s="11">
        <f t="shared" si="2"/>
        <v>0.45163500993472089</v>
      </c>
    </row>
    <row r="191" spans="1:8" ht="15" customHeight="1" x14ac:dyDescent="0.25">
      <c r="A191" s="5">
        <v>185</v>
      </c>
      <c r="B191" s="10" t="s">
        <v>427</v>
      </c>
      <c r="C191" s="10" t="s">
        <v>428</v>
      </c>
      <c r="D191" s="7">
        <v>11671.09</v>
      </c>
      <c r="E191" s="5">
        <v>3987</v>
      </c>
      <c r="F191" s="5">
        <v>531</v>
      </c>
      <c r="G191" s="12">
        <f>SUM($D$7:D191)</f>
        <v>4829119.2699999977</v>
      </c>
      <c r="H191" s="11">
        <f t="shared" si="2"/>
        <v>0.45272917278840391</v>
      </c>
    </row>
    <row r="192" spans="1:8" ht="15" customHeight="1" x14ac:dyDescent="0.25">
      <c r="A192" s="5">
        <v>186</v>
      </c>
      <c r="B192" s="10" t="s">
        <v>429</v>
      </c>
      <c r="C192" s="10" t="s">
        <v>430</v>
      </c>
      <c r="D192" s="7">
        <v>11613.03</v>
      </c>
      <c r="E192" s="5">
        <v>5035</v>
      </c>
      <c r="F192" s="5">
        <v>338</v>
      </c>
      <c r="G192" s="12">
        <f>SUM($D$7:D192)</f>
        <v>4840732.299999998</v>
      </c>
      <c r="H192" s="11">
        <f t="shared" si="2"/>
        <v>0.45381789252620963</v>
      </c>
    </row>
    <row r="193" spans="1:8" ht="15" customHeight="1" x14ac:dyDescent="0.25">
      <c r="A193" s="5">
        <v>187</v>
      </c>
      <c r="B193" s="10" t="s">
        <v>431</v>
      </c>
      <c r="C193" s="10" t="s">
        <v>432</v>
      </c>
      <c r="D193" s="7">
        <v>11555.56</v>
      </c>
      <c r="E193" s="5">
        <v>1524</v>
      </c>
      <c r="F193" s="5">
        <v>443</v>
      </c>
      <c r="G193" s="12">
        <f>SUM($D$7:D193)</f>
        <v>4852287.8599999975</v>
      </c>
      <c r="H193" s="11">
        <f t="shared" si="2"/>
        <v>0.45490122446054526</v>
      </c>
    </row>
    <row r="194" spans="1:8" ht="15" customHeight="1" x14ac:dyDescent="0.25">
      <c r="A194" s="5">
        <v>188</v>
      </c>
      <c r="B194" s="10" t="s">
        <v>433</v>
      </c>
      <c r="C194" s="10" t="s">
        <v>434</v>
      </c>
      <c r="D194" s="7">
        <v>11532.39</v>
      </c>
      <c r="E194" s="5">
        <v>1089</v>
      </c>
      <c r="F194" s="5">
        <v>344</v>
      </c>
      <c r="G194" s="12">
        <f>SUM($D$7:D194)</f>
        <v>4863820.2499999972</v>
      </c>
      <c r="H194" s="11">
        <f t="shared" si="2"/>
        <v>0.4559823842110215</v>
      </c>
    </row>
    <row r="195" spans="1:8" ht="15" customHeight="1" x14ac:dyDescent="0.25">
      <c r="A195" s="5">
        <v>189</v>
      </c>
      <c r="B195" s="10" t="s">
        <v>435</v>
      </c>
      <c r="C195" s="10" t="s">
        <v>436</v>
      </c>
      <c r="D195" s="7">
        <v>11479.65</v>
      </c>
      <c r="E195" s="5">
        <v>2892</v>
      </c>
      <c r="F195" s="5">
        <v>570</v>
      </c>
      <c r="G195" s="12">
        <f>SUM($D$7:D195)</f>
        <v>4875299.8999999976</v>
      </c>
      <c r="H195" s="11">
        <f t="shared" si="2"/>
        <v>0.45705859959478456</v>
      </c>
    </row>
    <row r="196" spans="1:8" ht="15" customHeight="1" x14ac:dyDescent="0.25">
      <c r="A196" s="5">
        <v>190</v>
      </c>
      <c r="B196" s="10" t="s">
        <v>437</v>
      </c>
      <c r="C196" s="10" t="s">
        <v>438</v>
      </c>
      <c r="D196" s="7">
        <v>11466.37</v>
      </c>
      <c r="E196" s="5">
        <v>3313</v>
      </c>
      <c r="F196" s="5">
        <v>490</v>
      </c>
      <c r="G196" s="12">
        <f>SUM($D$7:D196)</f>
        <v>4886766.2699999977</v>
      </c>
      <c r="H196" s="11">
        <f t="shared" si="2"/>
        <v>0.4581335699806342</v>
      </c>
    </row>
    <row r="197" spans="1:8" ht="15" customHeight="1" x14ac:dyDescent="0.25">
      <c r="A197" s="5">
        <v>191</v>
      </c>
      <c r="B197" s="10" t="s">
        <v>439</v>
      </c>
      <c r="C197" s="10" t="s">
        <v>440</v>
      </c>
      <c r="D197" s="7">
        <v>11420.29</v>
      </c>
      <c r="E197" s="5">
        <v>9719</v>
      </c>
      <c r="F197" s="5">
        <v>742</v>
      </c>
      <c r="G197" s="12">
        <f>SUM($D$7:D197)</f>
        <v>4898186.5599999977</v>
      </c>
      <c r="H197" s="11">
        <f t="shared" si="2"/>
        <v>0.4592042203737241</v>
      </c>
    </row>
    <row r="198" spans="1:8" ht="15" customHeight="1" x14ac:dyDescent="0.25">
      <c r="A198" s="5">
        <v>192</v>
      </c>
      <c r="B198" s="10" t="s">
        <v>441</v>
      </c>
      <c r="C198" s="10" t="s">
        <v>442</v>
      </c>
      <c r="D198" s="7">
        <v>11407.56</v>
      </c>
      <c r="E198" s="5">
        <v>2133</v>
      </c>
      <c r="F198" s="5">
        <v>430</v>
      </c>
      <c r="G198" s="12">
        <f>SUM($D$7:D198)</f>
        <v>4909594.1199999973</v>
      </c>
      <c r="H198" s="11">
        <f t="shared" si="2"/>
        <v>0.46027367733131425</v>
      </c>
    </row>
    <row r="199" spans="1:8" ht="15" customHeight="1" x14ac:dyDescent="0.25">
      <c r="A199" s="5">
        <v>193</v>
      </c>
      <c r="B199" s="10" t="s">
        <v>443</v>
      </c>
      <c r="C199" s="10" t="s">
        <v>444</v>
      </c>
      <c r="D199" s="7">
        <v>11354.56</v>
      </c>
      <c r="E199" s="5">
        <v>4374</v>
      </c>
      <c r="F199" s="5">
        <v>361</v>
      </c>
      <c r="G199" s="12">
        <f>SUM($D$7:D199)</f>
        <v>4920948.6799999969</v>
      </c>
      <c r="H199" s="11">
        <f t="shared" ref="H199:H262" si="3">G199/SUM($D$7:$D$4167)</f>
        <v>0.46133816554723195</v>
      </c>
    </row>
    <row r="200" spans="1:8" ht="15" customHeight="1" x14ac:dyDescent="0.25">
      <c r="A200" s="5">
        <v>194</v>
      </c>
      <c r="B200" s="10" t="s">
        <v>445</v>
      </c>
      <c r="C200" s="10" t="s">
        <v>446</v>
      </c>
      <c r="D200" s="7">
        <v>11338.27</v>
      </c>
      <c r="E200" s="5">
        <v>978</v>
      </c>
      <c r="F200" s="5">
        <v>290</v>
      </c>
      <c r="G200" s="12">
        <f>SUM($D$7:D200)</f>
        <v>4932286.9499999965</v>
      </c>
      <c r="H200" s="11">
        <f t="shared" si="3"/>
        <v>0.4624011265782092</v>
      </c>
    </row>
    <row r="201" spans="1:8" ht="15" customHeight="1" x14ac:dyDescent="0.25">
      <c r="A201" s="5">
        <v>195</v>
      </c>
      <c r="B201" s="10" t="s">
        <v>447</v>
      </c>
      <c r="C201" s="10" t="s">
        <v>448</v>
      </c>
      <c r="D201" s="7">
        <v>11319.36</v>
      </c>
      <c r="E201" s="5">
        <v>13210</v>
      </c>
      <c r="F201" s="5">
        <v>986</v>
      </c>
      <c r="G201" s="12">
        <f>SUM($D$7:D201)</f>
        <v>4943606.3099999968</v>
      </c>
      <c r="H201" s="11">
        <f t="shared" si="3"/>
        <v>0.46346231479965777</v>
      </c>
    </row>
    <row r="202" spans="1:8" ht="15" customHeight="1" x14ac:dyDescent="0.25">
      <c r="A202" s="5">
        <v>196</v>
      </c>
      <c r="B202" s="10" t="s">
        <v>449</v>
      </c>
      <c r="C202" s="10" t="s">
        <v>450</v>
      </c>
      <c r="D202" s="7">
        <v>11290.12</v>
      </c>
      <c r="E202" s="5">
        <v>2382</v>
      </c>
      <c r="F202" s="5">
        <v>365</v>
      </c>
      <c r="G202" s="12">
        <f>SUM($D$7:D202)</f>
        <v>4954896.4299999969</v>
      </c>
      <c r="H202" s="11">
        <f t="shared" si="3"/>
        <v>0.46452076177570062</v>
      </c>
    </row>
    <row r="203" spans="1:8" ht="15" customHeight="1" x14ac:dyDescent="0.25">
      <c r="A203" s="5">
        <v>197</v>
      </c>
      <c r="B203" s="10" t="s">
        <v>451</v>
      </c>
      <c r="C203" s="10" t="s">
        <v>452</v>
      </c>
      <c r="D203" s="7">
        <v>11276.21</v>
      </c>
      <c r="E203" s="5">
        <v>782</v>
      </c>
      <c r="F203" s="5">
        <v>299</v>
      </c>
      <c r="G203" s="12">
        <f>SUM($D$7:D203)</f>
        <v>4966172.6399999969</v>
      </c>
      <c r="H203" s="11">
        <f t="shared" si="3"/>
        <v>0.46557790469142912</v>
      </c>
    </row>
    <row r="204" spans="1:8" ht="15" customHeight="1" x14ac:dyDescent="0.25">
      <c r="A204" s="5">
        <v>198</v>
      </c>
      <c r="B204" s="10" t="s">
        <v>453</v>
      </c>
      <c r="C204" s="10" t="s">
        <v>454</v>
      </c>
      <c r="D204" s="7">
        <v>11227.47</v>
      </c>
      <c r="E204" s="5">
        <v>3092</v>
      </c>
      <c r="F204" s="5">
        <v>386</v>
      </c>
      <c r="G204" s="12">
        <f>SUM($D$7:D204)</f>
        <v>4977400.1099999966</v>
      </c>
      <c r="H204" s="11">
        <f t="shared" si="3"/>
        <v>0.46663047823981579</v>
      </c>
    </row>
    <row r="205" spans="1:8" ht="15" customHeight="1" x14ac:dyDescent="0.25">
      <c r="A205" s="5">
        <v>199</v>
      </c>
      <c r="B205" s="10" t="s">
        <v>455</v>
      </c>
      <c r="C205" s="10" t="s">
        <v>456</v>
      </c>
      <c r="D205" s="7">
        <v>11117.05</v>
      </c>
      <c r="E205" s="5">
        <v>6869</v>
      </c>
      <c r="F205" s="5">
        <v>445</v>
      </c>
      <c r="G205" s="12">
        <f>SUM($D$7:D205)</f>
        <v>4988517.1599999964</v>
      </c>
      <c r="H205" s="11">
        <f t="shared" si="3"/>
        <v>0.46767269993055222</v>
      </c>
    </row>
    <row r="206" spans="1:8" ht="15" customHeight="1" x14ac:dyDescent="0.25">
      <c r="A206" s="5">
        <v>200</v>
      </c>
      <c r="B206" s="10" t="s">
        <v>457</v>
      </c>
      <c r="C206" s="10" t="s">
        <v>458</v>
      </c>
      <c r="D206" s="7">
        <v>11104.79</v>
      </c>
      <c r="E206" s="5">
        <v>3777</v>
      </c>
      <c r="F206" s="5">
        <v>412</v>
      </c>
      <c r="G206" s="12">
        <f>SUM($D$7:D206)</f>
        <v>4999621.9499999965</v>
      </c>
      <c r="H206" s="11">
        <f t="shared" si="3"/>
        <v>0.46871377224821503</v>
      </c>
    </row>
    <row r="207" spans="1:8" ht="15" customHeight="1" x14ac:dyDescent="0.25">
      <c r="A207" s="5">
        <v>201</v>
      </c>
      <c r="B207" s="10" t="s">
        <v>459</v>
      </c>
      <c r="C207" s="10" t="s">
        <v>460</v>
      </c>
      <c r="D207" s="7">
        <v>11090.58</v>
      </c>
      <c r="E207" s="5">
        <v>6724</v>
      </c>
      <c r="F207" s="5">
        <v>682</v>
      </c>
      <c r="G207" s="12">
        <f>SUM($D$7:D207)</f>
        <v>5010712.5299999965</v>
      </c>
      <c r="H207" s="11">
        <f t="shared" si="3"/>
        <v>0.46975351238061058</v>
      </c>
    </row>
    <row r="208" spans="1:8" ht="15" customHeight="1" x14ac:dyDescent="0.25">
      <c r="A208" s="5">
        <v>202</v>
      </c>
      <c r="B208" s="10" t="s">
        <v>461</v>
      </c>
      <c r="C208" s="10" t="s">
        <v>462</v>
      </c>
      <c r="D208" s="7">
        <v>11062.06</v>
      </c>
      <c r="E208" s="5">
        <v>1</v>
      </c>
      <c r="F208" s="5">
        <v>1</v>
      </c>
      <c r="G208" s="12">
        <f>SUM($D$7:D208)</f>
        <v>5021774.5899999961</v>
      </c>
      <c r="H208" s="11">
        <f t="shared" si="3"/>
        <v>0.47079057876748726</v>
      </c>
    </row>
    <row r="209" spans="1:8" ht="15" customHeight="1" x14ac:dyDescent="0.25">
      <c r="A209" s="5">
        <v>203</v>
      </c>
      <c r="B209" s="10" t="s">
        <v>463</v>
      </c>
      <c r="C209" s="10" t="s">
        <v>464</v>
      </c>
      <c r="D209" s="7">
        <v>11014.62</v>
      </c>
      <c r="E209" s="5">
        <v>5007</v>
      </c>
      <c r="F209" s="5">
        <v>522</v>
      </c>
      <c r="G209" s="12">
        <f>SUM($D$7:D209)</f>
        <v>5032789.2099999962</v>
      </c>
      <c r="H209" s="11">
        <f t="shared" si="3"/>
        <v>0.47182319766181796</v>
      </c>
    </row>
    <row r="210" spans="1:8" ht="15" customHeight="1" x14ac:dyDescent="0.25">
      <c r="A210" s="5">
        <v>204</v>
      </c>
      <c r="B210" s="10" t="s">
        <v>465</v>
      </c>
      <c r="C210" s="10" t="s">
        <v>466</v>
      </c>
      <c r="D210" s="7">
        <v>10981.95</v>
      </c>
      <c r="E210" s="5">
        <v>1915</v>
      </c>
      <c r="F210" s="5">
        <v>350</v>
      </c>
      <c r="G210" s="12">
        <f>SUM($D$7:D210)</f>
        <v>5043771.1599999964</v>
      </c>
      <c r="H210" s="11">
        <f t="shared" si="3"/>
        <v>0.472852753748782</v>
      </c>
    </row>
    <row r="211" spans="1:8" ht="15" customHeight="1" x14ac:dyDescent="0.25">
      <c r="A211" s="5">
        <v>205</v>
      </c>
      <c r="B211" s="10" t="s">
        <v>467</v>
      </c>
      <c r="C211" s="10" t="s">
        <v>468</v>
      </c>
      <c r="D211" s="7">
        <v>10938.31</v>
      </c>
      <c r="E211" s="5">
        <v>9137</v>
      </c>
      <c r="F211" s="5">
        <v>418</v>
      </c>
      <c r="G211" s="12">
        <f>SUM($D$7:D211)</f>
        <v>5054709.469999996</v>
      </c>
      <c r="H211" s="11">
        <f t="shared" si="3"/>
        <v>0.47387821859260287</v>
      </c>
    </row>
    <row r="212" spans="1:8" ht="15" customHeight="1" x14ac:dyDescent="0.25">
      <c r="A212" s="5">
        <v>206</v>
      </c>
      <c r="B212" s="10" t="s">
        <v>469</v>
      </c>
      <c r="C212" s="10" t="s">
        <v>470</v>
      </c>
      <c r="D212" s="7">
        <v>10910.61</v>
      </c>
      <c r="E212" s="5">
        <v>1359</v>
      </c>
      <c r="F212" s="5">
        <v>261</v>
      </c>
      <c r="G212" s="12">
        <f>SUM($D$7:D212)</f>
        <v>5065620.0799999963</v>
      </c>
      <c r="H212" s="11">
        <f t="shared" si="3"/>
        <v>0.47490108656577618</v>
      </c>
    </row>
    <row r="213" spans="1:8" ht="15" customHeight="1" x14ac:dyDescent="0.25">
      <c r="A213" s="5">
        <v>207</v>
      </c>
      <c r="B213" s="10" t="s">
        <v>471</v>
      </c>
      <c r="C213" s="10" t="s">
        <v>472</v>
      </c>
      <c r="D213" s="7">
        <v>10820.1</v>
      </c>
      <c r="E213" s="5">
        <v>6562</v>
      </c>
      <c r="F213" s="5">
        <v>601</v>
      </c>
      <c r="G213" s="12">
        <f>SUM($D$7:D213)</f>
        <v>5076440.179999996</v>
      </c>
      <c r="H213" s="11">
        <f t="shared" si="3"/>
        <v>0.4759154692406708</v>
      </c>
    </row>
    <row r="214" spans="1:8" ht="15" customHeight="1" x14ac:dyDescent="0.25">
      <c r="A214" s="5">
        <v>208</v>
      </c>
      <c r="B214" s="10" t="s">
        <v>473</v>
      </c>
      <c r="C214" s="10" t="s">
        <v>474</v>
      </c>
      <c r="D214" s="7">
        <v>10745.05</v>
      </c>
      <c r="E214" s="5">
        <v>2209</v>
      </c>
      <c r="F214" s="5">
        <v>464</v>
      </c>
      <c r="G214" s="12">
        <f>SUM($D$7:D214)</f>
        <v>5087185.2299999958</v>
      </c>
      <c r="H214" s="11">
        <f t="shared" si="3"/>
        <v>0.47692281598985758</v>
      </c>
    </row>
    <row r="215" spans="1:8" ht="15" customHeight="1" x14ac:dyDescent="0.25">
      <c r="A215" s="5">
        <v>209</v>
      </c>
      <c r="B215" s="10" t="s">
        <v>475</v>
      </c>
      <c r="C215" s="10" t="s">
        <v>476</v>
      </c>
      <c r="D215" s="7">
        <v>10676.62</v>
      </c>
      <c r="E215" s="5">
        <v>665</v>
      </c>
      <c r="F215" s="5">
        <v>278</v>
      </c>
      <c r="G215" s="12">
        <f>SUM($D$7:D215)</f>
        <v>5097861.8499999959</v>
      </c>
      <c r="H215" s="11">
        <f t="shared" si="3"/>
        <v>0.47792374743729649</v>
      </c>
    </row>
    <row r="216" spans="1:8" ht="15" customHeight="1" x14ac:dyDescent="0.25">
      <c r="A216" s="5">
        <v>210</v>
      </c>
      <c r="B216" s="10" t="s">
        <v>477</v>
      </c>
      <c r="C216" s="10" t="s">
        <v>478</v>
      </c>
      <c r="D216" s="7">
        <v>10621.6</v>
      </c>
      <c r="E216" s="5">
        <v>3265</v>
      </c>
      <c r="F216" s="5">
        <v>422</v>
      </c>
      <c r="G216" s="12">
        <f>SUM($D$7:D216)</f>
        <v>5108483.4499999955</v>
      </c>
      <c r="H216" s="11">
        <f t="shared" si="3"/>
        <v>0.47891952076838035</v>
      </c>
    </row>
    <row r="217" spans="1:8" ht="15" customHeight="1" x14ac:dyDescent="0.25">
      <c r="A217" s="5">
        <v>211</v>
      </c>
      <c r="B217" s="10" t="s">
        <v>479</v>
      </c>
      <c r="C217" s="10" t="s">
        <v>480</v>
      </c>
      <c r="D217" s="7">
        <v>10535.65</v>
      </c>
      <c r="E217" s="5">
        <v>7889</v>
      </c>
      <c r="F217" s="5">
        <v>607</v>
      </c>
      <c r="G217" s="12">
        <f>SUM($D$7:D217)</f>
        <v>5119019.0999999959</v>
      </c>
      <c r="H217" s="11">
        <f t="shared" si="3"/>
        <v>0.47990723630046916</v>
      </c>
    </row>
    <row r="218" spans="1:8" ht="15" customHeight="1" x14ac:dyDescent="0.25">
      <c r="A218" s="5">
        <v>212</v>
      </c>
      <c r="B218" s="10" t="s">
        <v>481</v>
      </c>
      <c r="C218" s="10" t="s">
        <v>482</v>
      </c>
      <c r="D218" s="7">
        <v>10526</v>
      </c>
      <c r="E218" s="5">
        <v>8145</v>
      </c>
      <c r="F218" s="5">
        <v>425</v>
      </c>
      <c r="G218" s="12">
        <f>SUM($D$7:D218)</f>
        <v>5129545.0999999959</v>
      </c>
      <c r="H218" s="11">
        <f t="shared" si="3"/>
        <v>0.48089404714657419</v>
      </c>
    </row>
    <row r="219" spans="1:8" ht="15" customHeight="1" x14ac:dyDescent="0.25">
      <c r="A219" s="5">
        <v>213</v>
      </c>
      <c r="B219" s="10" t="s">
        <v>483</v>
      </c>
      <c r="C219" s="10" t="s">
        <v>484</v>
      </c>
      <c r="D219" s="7">
        <v>10518.25</v>
      </c>
      <c r="E219" s="5">
        <v>16449</v>
      </c>
      <c r="F219" s="5">
        <v>621</v>
      </c>
      <c r="G219" s="12">
        <f>SUM($D$7:D219)</f>
        <v>5140063.3499999959</v>
      </c>
      <c r="H219" s="11">
        <f t="shared" si="3"/>
        <v>0.48188013143139691</v>
      </c>
    </row>
    <row r="220" spans="1:8" ht="15" customHeight="1" x14ac:dyDescent="0.25">
      <c r="A220" s="5">
        <v>214</v>
      </c>
      <c r="B220" s="10" t="s">
        <v>471</v>
      </c>
      <c r="C220" s="10" t="s">
        <v>485</v>
      </c>
      <c r="D220" s="7">
        <v>10510.44</v>
      </c>
      <c r="E220" s="5">
        <v>6556</v>
      </c>
      <c r="F220" s="5">
        <v>492</v>
      </c>
      <c r="G220" s="12">
        <f>SUM($D$7:D220)</f>
        <v>5150573.7899999963</v>
      </c>
      <c r="H220" s="11">
        <f t="shared" si="3"/>
        <v>0.48286548352994685</v>
      </c>
    </row>
    <row r="221" spans="1:8" ht="15" customHeight="1" x14ac:dyDescent="0.25">
      <c r="A221" s="5">
        <v>215</v>
      </c>
      <c r="B221" s="10" t="s">
        <v>486</v>
      </c>
      <c r="C221" s="10" t="s">
        <v>487</v>
      </c>
      <c r="D221" s="7">
        <v>10502.65</v>
      </c>
      <c r="E221" s="5">
        <v>1992</v>
      </c>
      <c r="F221" s="5">
        <v>390</v>
      </c>
      <c r="G221" s="12">
        <f>SUM($D$7:D221)</f>
        <v>5161076.4399999967</v>
      </c>
      <c r="H221" s="11">
        <f t="shared" si="3"/>
        <v>0.48385010531722072</v>
      </c>
    </row>
    <row r="222" spans="1:8" ht="15" customHeight="1" x14ac:dyDescent="0.25">
      <c r="A222" s="5">
        <v>216</v>
      </c>
      <c r="B222" s="10" t="s">
        <v>488</v>
      </c>
      <c r="C222" s="10" t="s">
        <v>489</v>
      </c>
      <c r="D222" s="7">
        <v>10498.01</v>
      </c>
      <c r="E222" s="5">
        <v>6342</v>
      </c>
      <c r="F222" s="5">
        <v>668</v>
      </c>
      <c r="G222" s="12">
        <f>SUM($D$7:D222)</f>
        <v>5171574.4499999965</v>
      </c>
      <c r="H222" s="11">
        <f t="shared" si="3"/>
        <v>0.48483429210522366</v>
      </c>
    </row>
    <row r="223" spans="1:8" ht="15" customHeight="1" x14ac:dyDescent="0.25">
      <c r="A223" s="5">
        <v>217</v>
      </c>
      <c r="B223" s="10" t="s">
        <v>490</v>
      </c>
      <c r="C223" s="10" t="s">
        <v>491</v>
      </c>
      <c r="D223" s="7">
        <v>10379.84</v>
      </c>
      <c r="E223" s="5">
        <v>5236</v>
      </c>
      <c r="F223" s="5">
        <v>348</v>
      </c>
      <c r="G223" s="12">
        <f>SUM($D$7:D223)</f>
        <v>5181954.2899999963</v>
      </c>
      <c r="H223" s="11">
        <f t="shared" si="3"/>
        <v>0.48580740047429399</v>
      </c>
    </row>
    <row r="224" spans="1:8" ht="15" customHeight="1" x14ac:dyDescent="0.25">
      <c r="A224" s="5">
        <v>218</v>
      </c>
      <c r="B224" s="10" t="s">
        <v>492</v>
      </c>
      <c r="C224" s="10" t="s">
        <v>493</v>
      </c>
      <c r="D224" s="7">
        <v>10354.26</v>
      </c>
      <c r="E224" s="5">
        <v>1198</v>
      </c>
      <c r="F224" s="5">
        <v>372</v>
      </c>
      <c r="G224" s="12">
        <f>SUM($D$7:D224)</f>
        <v>5192308.5499999961</v>
      </c>
      <c r="H224" s="11">
        <f t="shared" si="3"/>
        <v>0.48677811072238358</v>
      </c>
    </row>
    <row r="225" spans="1:8" ht="15" customHeight="1" x14ac:dyDescent="0.25">
      <c r="A225" s="5">
        <v>219</v>
      </c>
      <c r="B225" s="10" t="s">
        <v>494</v>
      </c>
      <c r="C225" s="10" t="s">
        <v>495</v>
      </c>
      <c r="D225" s="7">
        <v>10343.56</v>
      </c>
      <c r="E225" s="5">
        <v>7879</v>
      </c>
      <c r="F225" s="5">
        <v>603</v>
      </c>
      <c r="G225" s="12">
        <f>SUM($D$7:D225)</f>
        <v>5202652.1099999957</v>
      </c>
      <c r="H225" s="11">
        <f t="shared" si="3"/>
        <v>0.48774781784715443</v>
      </c>
    </row>
    <row r="226" spans="1:8" ht="15" customHeight="1" x14ac:dyDescent="0.25">
      <c r="A226" s="5">
        <v>220</v>
      </c>
      <c r="B226" s="10" t="s">
        <v>496</v>
      </c>
      <c r="C226" s="10" t="s">
        <v>497</v>
      </c>
      <c r="D226" s="7">
        <v>10316.86</v>
      </c>
      <c r="E226" s="5">
        <v>2634</v>
      </c>
      <c r="F226" s="5">
        <v>262</v>
      </c>
      <c r="G226" s="12">
        <f>SUM($D$7:D226)</f>
        <v>5212968.969999996</v>
      </c>
      <c r="H226" s="11">
        <f t="shared" si="3"/>
        <v>0.48871502185112053</v>
      </c>
    </row>
    <row r="227" spans="1:8" ht="15" customHeight="1" x14ac:dyDescent="0.25">
      <c r="A227" s="5">
        <v>221</v>
      </c>
      <c r="B227" s="10" t="s">
        <v>498</v>
      </c>
      <c r="C227" s="10" t="s">
        <v>499</v>
      </c>
      <c r="D227" s="7">
        <v>10297.27</v>
      </c>
      <c r="E227" s="5">
        <v>8706</v>
      </c>
      <c r="F227" s="5">
        <v>347</v>
      </c>
      <c r="G227" s="12">
        <f>SUM($D$7:D227)</f>
        <v>5223266.2399999956</v>
      </c>
      <c r="H227" s="11">
        <f t="shared" si="3"/>
        <v>0.48968038929566465</v>
      </c>
    </row>
    <row r="228" spans="1:8" ht="15" customHeight="1" x14ac:dyDescent="0.25">
      <c r="A228" s="5">
        <v>222</v>
      </c>
      <c r="B228" s="10" t="s">
        <v>500</v>
      </c>
      <c r="C228" s="10" t="s">
        <v>501</v>
      </c>
      <c r="D228" s="7">
        <v>10233.450000000001</v>
      </c>
      <c r="E228" s="5">
        <v>4815</v>
      </c>
      <c r="F228" s="5">
        <v>259</v>
      </c>
      <c r="G228" s="12">
        <f>SUM($D$7:D228)</f>
        <v>5233499.6899999958</v>
      </c>
      <c r="H228" s="11">
        <f t="shared" si="3"/>
        <v>0.49063977362523653</v>
      </c>
    </row>
    <row r="229" spans="1:8" ht="15" customHeight="1" x14ac:dyDescent="0.25">
      <c r="A229" s="5">
        <v>223</v>
      </c>
      <c r="B229" s="10" t="s">
        <v>502</v>
      </c>
      <c r="C229" s="10" t="s">
        <v>503</v>
      </c>
      <c r="D229" s="7">
        <v>10224.75</v>
      </c>
      <c r="E229" s="5">
        <v>4367</v>
      </c>
      <c r="F229" s="5">
        <v>317</v>
      </c>
      <c r="G229" s="12">
        <f>SUM($D$7:D229)</f>
        <v>5243724.4399999958</v>
      </c>
      <c r="H229" s="11">
        <f t="shared" si="3"/>
        <v>0.49159834233117539</v>
      </c>
    </row>
    <row r="230" spans="1:8" ht="15" customHeight="1" x14ac:dyDescent="0.25">
      <c r="A230" s="5">
        <v>224</v>
      </c>
      <c r="B230" s="10" t="s">
        <v>504</v>
      </c>
      <c r="C230" s="10" t="s">
        <v>505</v>
      </c>
      <c r="D230" s="7">
        <v>10195.86</v>
      </c>
      <c r="E230" s="5">
        <v>4789</v>
      </c>
      <c r="F230" s="5">
        <v>496</v>
      </c>
      <c r="G230" s="12">
        <f>SUM($D$7:D230)</f>
        <v>5253920.2999999961</v>
      </c>
      <c r="H230" s="11">
        <f t="shared" si="3"/>
        <v>0.49255420260415361</v>
      </c>
    </row>
    <row r="231" spans="1:8" ht="15" customHeight="1" x14ac:dyDescent="0.25">
      <c r="A231" s="5">
        <v>225</v>
      </c>
      <c r="B231" s="10" t="s">
        <v>506</v>
      </c>
      <c r="C231" s="10" t="s">
        <v>507</v>
      </c>
      <c r="D231" s="7">
        <v>10154.91</v>
      </c>
      <c r="E231" s="5">
        <v>2583</v>
      </c>
      <c r="F231" s="5">
        <v>233</v>
      </c>
      <c r="G231" s="12">
        <f>SUM($D$7:D231)</f>
        <v>5264075.2099999962</v>
      </c>
      <c r="H231" s="11">
        <f t="shared" si="3"/>
        <v>0.49350622382106601</v>
      </c>
    </row>
    <row r="232" spans="1:8" ht="15" customHeight="1" x14ac:dyDescent="0.25">
      <c r="A232" s="5">
        <v>226</v>
      </c>
      <c r="B232" s="10" t="s">
        <v>508</v>
      </c>
      <c r="C232" s="10" t="s">
        <v>509</v>
      </c>
      <c r="D232" s="7">
        <v>10133.33</v>
      </c>
      <c r="E232" s="5">
        <v>2765</v>
      </c>
      <c r="F232" s="5">
        <v>348</v>
      </c>
      <c r="G232" s="12">
        <f>SUM($D$7:D232)</f>
        <v>5274208.5399999963</v>
      </c>
      <c r="H232" s="11">
        <f t="shared" si="3"/>
        <v>0.49445622191636923</v>
      </c>
    </row>
    <row r="233" spans="1:8" ht="15" customHeight="1" x14ac:dyDescent="0.25">
      <c r="A233" s="5">
        <v>227</v>
      </c>
      <c r="B233" s="10" t="s">
        <v>510</v>
      </c>
      <c r="C233" s="10" t="s">
        <v>511</v>
      </c>
      <c r="D233" s="7">
        <v>10116.49</v>
      </c>
      <c r="E233" s="5">
        <v>2433</v>
      </c>
      <c r="F233" s="5">
        <v>394</v>
      </c>
      <c r="G233" s="12">
        <f>SUM($D$7:D233)</f>
        <v>5284325.0299999965</v>
      </c>
      <c r="H233" s="11">
        <f t="shared" si="3"/>
        <v>0.49540464126431843</v>
      </c>
    </row>
    <row r="234" spans="1:8" ht="15" customHeight="1" x14ac:dyDescent="0.25">
      <c r="A234" s="5">
        <v>228</v>
      </c>
      <c r="B234" s="10" t="s">
        <v>512</v>
      </c>
      <c r="C234" s="10" t="s">
        <v>513</v>
      </c>
      <c r="D234" s="7">
        <v>10070.11</v>
      </c>
      <c r="E234" s="5">
        <v>6118</v>
      </c>
      <c r="F234" s="5">
        <v>571</v>
      </c>
      <c r="G234" s="12">
        <f>SUM($D$7:D234)</f>
        <v>5294395.1399999969</v>
      </c>
      <c r="H234" s="11">
        <f t="shared" si="3"/>
        <v>0.49634871249455509</v>
      </c>
    </row>
    <row r="235" spans="1:8" ht="15" customHeight="1" x14ac:dyDescent="0.25">
      <c r="A235" s="5">
        <v>229</v>
      </c>
      <c r="B235" s="10" t="s">
        <v>514</v>
      </c>
      <c r="C235" s="10" t="s">
        <v>515</v>
      </c>
      <c r="D235" s="7">
        <v>10057.32</v>
      </c>
      <c r="E235" s="5">
        <v>4867</v>
      </c>
      <c r="F235" s="5">
        <v>479</v>
      </c>
      <c r="G235" s="12">
        <f>SUM($D$7:D235)</f>
        <v>5304452.4599999972</v>
      </c>
      <c r="H235" s="11">
        <f t="shared" si="3"/>
        <v>0.49729158466430134</v>
      </c>
    </row>
    <row r="236" spans="1:8" ht="15" customHeight="1" x14ac:dyDescent="0.25">
      <c r="A236" s="5">
        <v>230</v>
      </c>
      <c r="B236" s="10" t="s">
        <v>516</v>
      </c>
      <c r="C236" s="10" t="s">
        <v>517</v>
      </c>
      <c r="D236" s="7">
        <v>10056.950000000001</v>
      </c>
      <c r="E236" s="5">
        <v>6150</v>
      </c>
      <c r="F236" s="5">
        <v>609</v>
      </c>
      <c r="G236" s="12">
        <f>SUM($D$7:D236)</f>
        <v>5314509.4099999974</v>
      </c>
      <c r="H236" s="11">
        <f t="shared" si="3"/>
        <v>0.49823442214660574</v>
      </c>
    </row>
    <row r="237" spans="1:8" ht="15" customHeight="1" x14ac:dyDescent="0.25">
      <c r="A237" s="5">
        <v>231</v>
      </c>
      <c r="B237" s="10" t="s">
        <v>518</v>
      </c>
      <c r="C237" s="10" t="s">
        <v>519</v>
      </c>
      <c r="D237" s="7">
        <v>10051.99</v>
      </c>
      <c r="E237" s="5">
        <v>6247</v>
      </c>
      <c r="F237" s="5">
        <v>381</v>
      </c>
      <c r="G237" s="12">
        <f>SUM($D$7:D237)</f>
        <v>5324561.3999999976</v>
      </c>
      <c r="H237" s="11">
        <f t="shared" si="3"/>
        <v>0.49917679462968945</v>
      </c>
    </row>
    <row r="238" spans="1:8" ht="15" customHeight="1" x14ac:dyDescent="0.25">
      <c r="A238" s="5">
        <v>232</v>
      </c>
      <c r="B238" s="10" t="s">
        <v>520</v>
      </c>
      <c r="C238" s="10" t="s">
        <v>521</v>
      </c>
      <c r="D238" s="7">
        <v>10025.11</v>
      </c>
      <c r="E238" s="5">
        <v>1802</v>
      </c>
      <c r="F238" s="5">
        <v>188</v>
      </c>
      <c r="G238" s="12">
        <f>SUM($D$7:D238)</f>
        <v>5334586.5099999979</v>
      </c>
      <c r="H238" s="11">
        <f t="shared" si="3"/>
        <v>0.50011664711699666</v>
      </c>
    </row>
    <row r="239" spans="1:8" ht="15" customHeight="1" x14ac:dyDescent="0.25">
      <c r="A239" s="5">
        <v>233</v>
      </c>
      <c r="B239" s="10" t="s">
        <v>522</v>
      </c>
      <c r="C239" s="10" t="s">
        <v>523</v>
      </c>
      <c r="D239" s="7">
        <v>10021.42</v>
      </c>
      <c r="E239" s="5">
        <v>1710</v>
      </c>
      <c r="F239" s="5">
        <v>326</v>
      </c>
      <c r="G239" s="12">
        <f>SUM($D$7:D239)</f>
        <v>5344607.9299999978</v>
      </c>
      <c r="H239" s="11">
        <f t="shared" si="3"/>
        <v>0.50105615366738376</v>
      </c>
    </row>
    <row r="240" spans="1:8" ht="15" customHeight="1" x14ac:dyDescent="0.25">
      <c r="A240" s="5">
        <v>234</v>
      </c>
      <c r="B240" s="10" t="s">
        <v>524</v>
      </c>
      <c r="C240" s="10" t="s">
        <v>525</v>
      </c>
      <c r="D240" s="7">
        <v>9965.76</v>
      </c>
      <c r="E240" s="5">
        <v>8100</v>
      </c>
      <c r="F240" s="5">
        <v>277</v>
      </c>
      <c r="G240" s="12">
        <f>SUM($D$7:D240)</f>
        <v>5354573.6899999976</v>
      </c>
      <c r="H240" s="11">
        <f t="shared" si="3"/>
        <v>0.50199044210151633</v>
      </c>
    </row>
    <row r="241" spans="1:8" ht="15" customHeight="1" x14ac:dyDescent="0.25">
      <c r="A241" s="5">
        <v>235</v>
      </c>
      <c r="B241" s="10" t="s">
        <v>526</v>
      </c>
      <c r="C241" s="10" t="s">
        <v>527</v>
      </c>
      <c r="D241" s="7">
        <v>9963.8799999999992</v>
      </c>
      <c r="E241" s="5">
        <v>8027</v>
      </c>
      <c r="F241" s="5">
        <v>345</v>
      </c>
      <c r="G241" s="12">
        <f>SUM($D$7:D241)</f>
        <v>5364537.5699999975</v>
      </c>
      <c r="H241" s="11">
        <f t="shared" si="3"/>
        <v>0.50292455428594429</v>
      </c>
    </row>
    <row r="242" spans="1:8" ht="15" customHeight="1" x14ac:dyDescent="0.25">
      <c r="A242" s="5">
        <v>236</v>
      </c>
      <c r="B242" s="10" t="s">
        <v>528</v>
      </c>
      <c r="C242" s="10" t="s">
        <v>529</v>
      </c>
      <c r="D242" s="7">
        <v>9959.6</v>
      </c>
      <c r="E242" s="5">
        <v>1621</v>
      </c>
      <c r="F242" s="5">
        <v>285</v>
      </c>
      <c r="G242" s="12">
        <f>SUM($D$7:D242)</f>
        <v>5374497.1699999971</v>
      </c>
      <c r="H242" s="11">
        <f t="shared" si="3"/>
        <v>0.50385826522104471</v>
      </c>
    </row>
    <row r="243" spans="1:8" ht="15" customHeight="1" x14ac:dyDescent="0.25">
      <c r="A243" s="5">
        <v>237</v>
      </c>
      <c r="B243" s="10" t="s">
        <v>530</v>
      </c>
      <c r="C243" s="10" t="s">
        <v>531</v>
      </c>
      <c r="D243" s="7">
        <v>9921.2900000000009</v>
      </c>
      <c r="E243" s="5">
        <v>2487</v>
      </c>
      <c r="F243" s="5">
        <v>443</v>
      </c>
      <c r="G243" s="12">
        <f>SUM($D$7:D243)</f>
        <v>5384418.4599999972</v>
      </c>
      <c r="H243" s="11">
        <f t="shared" si="3"/>
        <v>0.50478838459966457</v>
      </c>
    </row>
    <row r="244" spans="1:8" ht="15" customHeight="1" x14ac:dyDescent="0.25">
      <c r="A244" s="5">
        <v>238</v>
      </c>
      <c r="B244" s="10" t="s">
        <v>532</v>
      </c>
      <c r="C244" s="10" t="s">
        <v>533</v>
      </c>
      <c r="D244" s="7">
        <v>9898.9500000000007</v>
      </c>
      <c r="E244" s="5">
        <v>1412</v>
      </c>
      <c r="F244" s="5">
        <v>328</v>
      </c>
      <c r="G244" s="12">
        <f>SUM($D$7:D244)</f>
        <v>5394317.4099999974</v>
      </c>
      <c r="H244" s="11">
        <f t="shared" si="3"/>
        <v>0.50571640960679465</v>
      </c>
    </row>
    <row r="245" spans="1:8" ht="15" customHeight="1" x14ac:dyDescent="0.25">
      <c r="A245" s="5">
        <v>239</v>
      </c>
      <c r="B245" s="10" t="s">
        <v>534</v>
      </c>
      <c r="C245" s="10" t="s">
        <v>535</v>
      </c>
      <c r="D245" s="7">
        <v>9863.2800000000007</v>
      </c>
      <c r="E245" s="5">
        <v>6023</v>
      </c>
      <c r="F245" s="5">
        <v>515</v>
      </c>
      <c r="G245" s="12">
        <f>SUM($D$7:D245)</f>
        <v>5404180.6899999976</v>
      </c>
      <c r="H245" s="11">
        <f t="shared" si="3"/>
        <v>0.50664109055702944</v>
      </c>
    </row>
    <row r="246" spans="1:8" ht="15" customHeight="1" x14ac:dyDescent="0.25">
      <c r="A246" s="5">
        <v>240</v>
      </c>
      <c r="B246" s="10" t="s">
        <v>536</v>
      </c>
      <c r="C246" s="10" t="s">
        <v>537</v>
      </c>
      <c r="D246" s="7">
        <v>9843.59</v>
      </c>
      <c r="E246" s="5">
        <v>3297</v>
      </c>
      <c r="F246" s="5">
        <v>504</v>
      </c>
      <c r="G246" s="12">
        <f>SUM($D$7:D246)</f>
        <v>5414024.2799999975</v>
      </c>
      <c r="H246" s="11">
        <f t="shared" si="3"/>
        <v>0.5075639255728579</v>
      </c>
    </row>
    <row r="247" spans="1:8" ht="15" customHeight="1" x14ac:dyDescent="0.25">
      <c r="A247" s="5">
        <v>241</v>
      </c>
      <c r="B247" s="10" t="s">
        <v>538</v>
      </c>
      <c r="C247" s="10" t="s">
        <v>539</v>
      </c>
      <c r="D247" s="7">
        <v>9811.58</v>
      </c>
      <c r="E247" s="5">
        <v>4252</v>
      </c>
      <c r="F247" s="5">
        <v>541</v>
      </c>
      <c r="G247" s="12">
        <f>SUM($D$7:D247)</f>
        <v>5423835.8599999975</v>
      </c>
      <c r="H247" s="11">
        <f t="shared" si="3"/>
        <v>0.50848375965621606</v>
      </c>
    </row>
    <row r="248" spans="1:8" ht="15" customHeight="1" x14ac:dyDescent="0.25">
      <c r="A248" s="5">
        <v>242</v>
      </c>
      <c r="B248" s="10" t="s">
        <v>540</v>
      </c>
      <c r="C248" s="10" t="s">
        <v>541</v>
      </c>
      <c r="D248" s="7">
        <v>9765.11</v>
      </c>
      <c r="E248" s="5">
        <v>689</v>
      </c>
      <c r="F248" s="5">
        <v>168</v>
      </c>
      <c r="G248" s="12">
        <f>SUM($D$7:D248)</f>
        <v>5433600.9699999979</v>
      </c>
      <c r="H248" s="11">
        <f t="shared" si="3"/>
        <v>0.50939923718437574</v>
      </c>
    </row>
    <row r="249" spans="1:8" ht="15" customHeight="1" x14ac:dyDescent="0.25">
      <c r="A249" s="5">
        <v>243</v>
      </c>
      <c r="B249" s="10" t="s">
        <v>542</v>
      </c>
      <c r="C249" s="10" t="s">
        <v>543</v>
      </c>
      <c r="D249" s="7">
        <v>9759.68</v>
      </c>
      <c r="E249" s="5">
        <v>2360</v>
      </c>
      <c r="F249" s="5">
        <v>353</v>
      </c>
      <c r="G249" s="12">
        <f>SUM($D$7:D249)</f>
        <v>5443360.6499999976</v>
      </c>
      <c r="H249" s="11">
        <f t="shared" si="3"/>
        <v>0.51031420565088847</v>
      </c>
    </row>
    <row r="250" spans="1:8" ht="15" customHeight="1" x14ac:dyDescent="0.25">
      <c r="A250" s="5">
        <v>244</v>
      </c>
      <c r="B250" s="10" t="s">
        <v>544</v>
      </c>
      <c r="C250" s="10" t="s">
        <v>545</v>
      </c>
      <c r="D250" s="7">
        <v>9749.82</v>
      </c>
      <c r="E250" s="5">
        <v>5888</v>
      </c>
      <c r="F250" s="5">
        <v>433</v>
      </c>
      <c r="G250" s="12">
        <f>SUM($D$7:D250)</f>
        <v>5453110.4699999979</v>
      </c>
      <c r="H250" s="11">
        <f t="shared" si="3"/>
        <v>0.51122824974395065</v>
      </c>
    </row>
    <row r="251" spans="1:8" ht="15" customHeight="1" x14ac:dyDescent="0.25">
      <c r="A251" s="5">
        <v>245</v>
      </c>
      <c r="B251" s="10" t="s">
        <v>546</v>
      </c>
      <c r="C251" s="10" t="s">
        <v>547</v>
      </c>
      <c r="D251" s="7">
        <v>9748.1299999999992</v>
      </c>
      <c r="E251" s="5">
        <v>3938</v>
      </c>
      <c r="F251" s="5">
        <v>573</v>
      </c>
      <c r="G251" s="12">
        <f>SUM($D$7:D251)</f>
        <v>5462858.5999999978</v>
      </c>
      <c r="H251" s="11">
        <f t="shared" si="3"/>
        <v>0.51214213539977826</v>
      </c>
    </row>
    <row r="252" spans="1:8" ht="15" customHeight="1" x14ac:dyDescent="0.25">
      <c r="A252" s="5">
        <v>246</v>
      </c>
      <c r="B252" s="10" t="s">
        <v>548</v>
      </c>
      <c r="C252" s="10" t="s">
        <v>549</v>
      </c>
      <c r="D252" s="7">
        <v>9697.25</v>
      </c>
      <c r="E252" s="5">
        <v>959</v>
      </c>
      <c r="F252" s="5">
        <v>377</v>
      </c>
      <c r="G252" s="12">
        <f>SUM($D$7:D252)</f>
        <v>5472555.8499999978</v>
      </c>
      <c r="H252" s="11">
        <f t="shared" si="3"/>
        <v>0.51305125106360039</v>
      </c>
    </row>
    <row r="253" spans="1:8" ht="15" customHeight="1" x14ac:dyDescent="0.25">
      <c r="A253" s="5">
        <v>247</v>
      </c>
      <c r="B253" s="10" t="s">
        <v>550</v>
      </c>
      <c r="C253" s="10" t="s">
        <v>551</v>
      </c>
      <c r="D253" s="7">
        <v>9686.82</v>
      </c>
      <c r="E253" s="5">
        <v>1006</v>
      </c>
      <c r="F253" s="5">
        <v>416</v>
      </c>
      <c r="G253" s="12">
        <f>SUM($D$7:D253)</f>
        <v>5482242.6699999981</v>
      </c>
      <c r="H253" s="11">
        <f t="shared" si="3"/>
        <v>0.51395938891656145</v>
      </c>
    </row>
    <row r="254" spans="1:8" ht="15" customHeight="1" x14ac:dyDescent="0.25">
      <c r="A254" s="5">
        <v>248</v>
      </c>
      <c r="B254" s="10" t="s">
        <v>552</v>
      </c>
      <c r="C254" s="10" t="s">
        <v>553</v>
      </c>
      <c r="D254" s="7">
        <v>9681.18</v>
      </c>
      <c r="E254" s="5">
        <v>4082</v>
      </c>
      <c r="F254" s="5">
        <v>544</v>
      </c>
      <c r="G254" s="12">
        <f>SUM($D$7:D254)</f>
        <v>5491923.8499999978</v>
      </c>
      <c r="H254" s="11">
        <f t="shared" si="3"/>
        <v>0.51486699802040847</v>
      </c>
    </row>
    <row r="255" spans="1:8" ht="15" customHeight="1" x14ac:dyDescent="0.25">
      <c r="A255" s="5">
        <v>249</v>
      </c>
      <c r="B255" s="10" t="s">
        <v>554</v>
      </c>
      <c r="C255" s="10" t="s">
        <v>555</v>
      </c>
      <c r="D255" s="7">
        <v>9602.32</v>
      </c>
      <c r="E255" s="5">
        <v>8168</v>
      </c>
      <c r="F255" s="5">
        <v>389</v>
      </c>
      <c r="G255" s="12">
        <f>SUM($D$7:D255)</f>
        <v>5501526.1699999981</v>
      </c>
      <c r="H255" s="11">
        <f t="shared" si="3"/>
        <v>0.51576721401164649</v>
      </c>
    </row>
    <row r="256" spans="1:8" ht="15" customHeight="1" x14ac:dyDescent="0.25">
      <c r="A256" s="5">
        <v>250</v>
      </c>
      <c r="B256" s="10" t="s">
        <v>556</v>
      </c>
      <c r="C256" s="10" t="s">
        <v>557</v>
      </c>
      <c r="D256" s="7">
        <v>9600.15</v>
      </c>
      <c r="E256" s="5">
        <v>3164</v>
      </c>
      <c r="F256" s="5">
        <v>329</v>
      </c>
      <c r="G256" s="12">
        <f>SUM($D$7:D256)</f>
        <v>5511126.3199999984</v>
      </c>
      <c r="H256" s="11">
        <f t="shared" si="3"/>
        <v>0.5166672265657255</v>
      </c>
    </row>
    <row r="257" spans="1:8" ht="15" customHeight="1" x14ac:dyDescent="0.25">
      <c r="A257" s="5">
        <v>251</v>
      </c>
      <c r="B257" s="10" t="s">
        <v>558</v>
      </c>
      <c r="C257" s="10" t="s">
        <v>559</v>
      </c>
      <c r="D257" s="7">
        <v>9568.73</v>
      </c>
      <c r="E257" s="5">
        <v>2465</v>
      </c>
      <c r="F257" s="5">
        <v>238</v>
      </c>
      <c r="G257" s="12">
        <f>SUM($D$7:D257)</f>
        <v>5520695.0499999989</v>
      </c>
      <c r="H257" s="11">
        <f t="shared" si="3"/>
        <v>0.51756429349974142</v>
      </c>
    </row>
    <row r="258" spans="1:8" ht="15" customHeight="1" x14ac:dyDescent="0.25">
      <c r="A258" s="5">
        <v>252</v>
      </c>
      <c r="B258" s="10" t="s">
        <v>560</v>
      </c>
      <c r="C258" s="10" t="s">
        <v>561</v>
      </c>
      <c r="D258" s="7">
        <v>9554.4699999999993</v>
      </c>
      <c r="E258" s="5">
        <v>1731</v>
      </c>
      <c r="F258" s="5">
        <v>476</v>
      </c>
      <c r="G258" s="12">
        <f>SUM($D$7:D258)</f>
        <v>5530249.5199999986</v>
      </c>
      <c r="H258" s="11">
        <f t="shared" si="3"/>
        <v>0.51846002356099774</v>
      </c>
    </row>
    <row r="259" spans="1:8" ht="15" customHeight="1" x14ac:dyDescent="0.25">
      <c r="A259" s="5">
        <v>253</v>
      </c>
      <c r="B259" s="10" t="s">
        <v>562</v>
      </c>
      <c r="C259" s="10" t="s">
        <v>563</v>
      </c>
      <c r="D259" s="7">
        <v>9546.5300000000007</v>
      </c>
      <c r="E259" s="5">
        <v>5070</v>
      </c>
      <c r="F259" s="5">
        <v>456</v>
      </c>
      <c r="G259" s="12">
        <f>SUM($D$7:D259)</f>
        <v>5539796.0499999989</v>
      </c>
      <c r="H259" s="11">
        <f t="shared" si="3"/>
        <v>0.51935500924850175</v>
      </c>
    </row>
    <row r="260" spans="1:8" ht="15" customHeight="1" x14ac:dyDescent="0.25">
      <c r="A260" s="5">
        <v>254</v>
      </c>
      <c r="B260" s="10" t="s">
        <v>564</v>
      </c>
      <c r="C260" s="10" t="s">
        <v>565</v>
      </c>
      <c r="D260" s="7">
        <v>9511.52</v>
      </c>
      <c r="E260" s="5">
        <v>16055</v>
      </c>
      <c r="F260" s="5">
        <v>618</v>
      </c>
      <c r="G260" s="12">
        <f>SUM($D$7:D260)</f>
        <v>5549307.5699999984</v>
      </c>
      <c r="H260" s="11">
        <f t="shared" si="3"/>
        <v>0.52024671275400669</v>
      </c>
    </row>
    <row r="261" spans="1:8" ht="15" customHeight="1" x14ac:dyDescent="0.25">
      <c r="A261" s="5">
        <v>255</v>
      </c>
      <c r="B261" s="10" t="s">
        <v>566</v>
      </c>
      <c r="C261" s="10" t="s">
        <v>567</v>
      </c>
      <c r="D261" s="7">
        <v>9413.82</v>
      </c>
      <c r="E261" s="5">
        <v>4179</v>
      </c>
      <c r="F261" s="5">
        <v>538</v>
      </c>
      <c r="G261" s="12">
        <f>SUM($D$7:D261)</f>
        <v>5558721.3899999987</v>
      </c>
      <c r="H261" s="11">
        <f t="shared" si="3"/>
        <v>0.52112925689986267</v>
      </c>
    </row>
    <row r="262" spans="1:8" ht="15" customHeight="1" x14ac:dyDescent="0.25">
      <c r="A262" s="5">
        <v>256</v>
      </c>
      <c r="B262" s="10" t="s">
        <v>568</v>
      </c>
      <c r="C262" s="10" t="s">
        <v>569</v>
      </c>
      <c r="D262" s="7">
        <v>9404.15</v>
      </c>
      <c r="E262" s="5">
        <v>4321</v>
      </c>
      <c r="F262" s="5">
        <v>517</v>
      </c>
      <c r="G262" s="12">
        <f>SUM($D$7:D262)</f>
        <v>5568125.5399999991</v>
      </c>
      <c r="H262" s="11">
        <f t="shared" si="3"/>
        <v>0.52201089448473814</v>
      </c>
    </row>
    <row r="263" spans="1:8" ht="15" customHeight="1" x14ac:dyDescent="0.25">
      <c r="A263" s="5">
        <v>257</v>
      </c>
      <c r="B263" s="10" t="s">
        <v>570</v>
      </c>
      <c r="C263" s="10" t="s">
        <v>571</v>
      </c>
      <c r="D263" s="7">
        <v>9388.5300000000007</v>
      </c>
      <c r="E263" s="5">
        <v>4039</v>
      </c>
      <c r="F263" s="5">
        <v>478</v>
      </c>
      <c r="G263" s="12">
        <f>SUM($D$7:D263)</f>
        <v>5577514.0699999994</v>
      </c>
      <c r="H263" s="11">
        <f t="shared" ref="H263:H326" si="4">G263/SUM($D$7:$D$4167)</f>
        <v>0.52289106769706784</v>
      </c>
    </row>
    <row r="264" spans="1:8" ht="15" customHeight="1" x14ac:dyDescent="0.25">
      <c r="A264" s="5">
        <v>258</v>
      </c>
      <c r="B264" s="10" t="s">
        <v>572</v>
      </c>
      <c r="C264" s="10" t="s">
        <v>573</v>
      </c>
      <c r="D264" s="7">
        <v>9301.4</v>
      </c>
      <c r="E264" s="5">
        <v>3157</v>
      </c>
      <c r="F264" s="5">
        <v>485</v>
      </c>
      <c r="G264" s="12">
        <f>SUM($D$7:D264)</f>
        <v>5586815.4699999997</v>
      </c>
      <c r="H264" s="11">
        <f t="shared" si="4"/>
        <v>0.52376307248558784</v>
      </c>
    </row>
    <row r="265" spans="1:8" ht="15" customHeight="1" x14ac:dyDescent="0.25">
      <c r="A265" s="5">
        <v>259</v>
      </c>
      <c r="B265" s="10" t="s">
        <v>574</v>
      </c>
      <c r="C265" s="10" t="s">
        <v>575</v>
      </c>
      <c r="D265" s="7">
        <v>9266.84</v>
      </c>
      <c r="E265" s="5">
        <v>3739</v>
      </c>
      <c r="F265" s="5">
        <v>403</v>
      </c>
      <c r="G265" s="12">
        <f>SUM($D$7:D265)</f>
        <v>5596082.3099999996</v>
      </c>
      <c r="H265" s="11">
        <f t="shared" si="4"/>
        <v>0.52463183727953799</v>
      </c>
    </row>
    <row r="266" spans="1:8" ht="15" customHeight="1" x14ac:dyDescent="0.25">
      <c r="A266" s="5">
        <v>260</v>
      </c>
      <c r="B266" s="10" t="s">
        <v>576</v>
      </c>
      <c r="C266" s="10" t="s">
        <v>577</v>
      </c>
      <c r="D266" s="7">
        <v>9264.91</v>
      </c>
      <c r="E266" s="5">
        <v>2375</v>
      </c>
      <c r="F266" s="5">
        <v>449</v>
      </c>
      <c r="G266" s="12">
        <f>SUM($D$7:D266)</f>
        <v>5605347.2199999997</v>
      </c>
      <c r="H266" s="11">
        <f t="shared" si="4"/>
        <v>0.52550042113629147</v>
      </c>
    </row>
    <row r="267" spans="1:8" ht="15" customHeight="1" x14ac:dyDescent="0.25">
      <c r="A267" s="5">
        <v>261</v>
      </c>
      <c r="B267" s="10" t="s">
        <v>578</v>
      </c>
      <c r="C267" s="10" t="s">
        <v>579</v>
      </c>
      <c r="D267" s="7">
        <v>9212.15</v>
      </c>
      <c r="E267" s="5">
        <v>7448</v>
      </c>
      <c r="F267" s="5">
        <v>670</v>
      </c>
      <c r="G267" s="12">
        <f>SUM($D$7:D267)</f>
        <v>5614559.3700000001</v>
      </c>
      <c r="H267" s="11">
        <f t="shared" si="4"/>
        <v>0.52636405875133485</v>
      </c>
    </row>
    <row r="268" spans="1:8" ht="15" customHeight="1" x14ac:dyDescent="0.25">
      <c r="A268" s="5">
        <v>262</v>
      </c>
      <c r="B268" s="10" t="s">
        <v>580</v>
      </c>
      <c r="C268" s="10" t="s">
        <v>581</v>
      </c>
      <c r="D268" s="7">
        <v>9183.7199999999993</v>
      </c>
      <c r="E268" s="5">
        <v>18214</v>
      </c>
      <c r="F268" s="5">
        <v>828</v>
      </c>
      <c r="G268" s="12">
        <f>SUM($D$7:D268)</f>
        <v>5623743.0899999999</v>
      </c>
      <c r="H268" s="11">
        <f t="shared" si="4"/>
        <v>0.52722503105834528</v>
      </c>
    </row>
    <row r="269" spans="1:8" ht="15" customHeight="1" x14ac:dyDescent="0.25">
      <c r="A269" s="5">
        <v>263</v>
      </c>
      <c r="B269" s="10" t="s">
        <v>582</v>
      </c>
      <c r="C269" s="10" t="s">
        <v>583</v>
      </c>
      <c r="D269" s="7">
        <v>9167.39</v>
      </c>
      <c r="E269" s="5">
        <v>3811</v>
      </c>
      <c r="F269" s="5">
        <v>376</v>
      </c>
      <c r="G269" s="12">
        <f>SUM($D$7:D269)</f>
        <v>5632910.4799999995</v>
      </c>
      <c r="H269" s="11">
        <f t="shared" si="4"/>
        <v>0.52808447243042145</v>
      </c>
    </row>
    <row r="270" spans="1:8" ht="15" customHeight="1" x14ac:dyDescent="0.25">
      <c r="A270" s="5">
        <v>264</v>
      </c>
      <c r="B270" s="10" t="s">
        <v>584</v>
      </c>
      <c r="C270" s="10" t="s">
        <v>585</v>
      </c>
      <c r="D270" s="7">
        <v>9159.31</v>
      </c>
      <c r="E270" s="5">
        <v>7362</v>
      </c>
      <c r="F270" s="5">
        <v>616</v>
      </c>
      <c r="G270" s="12">
        <f>SUM($D$7:D270)</f>
        <v>5642069.7899999991</v>
      </c>
      <c r="H270" s="11">
        <f t="shared" si="4"/>
        <v>0.52894315630376731</v>
      </c>
    </row>
    <row r="271" spans="1:8" ht="15" customHeight="1" x14ac:dyDescent="0.25">
      <c r="A271" s="5">
        <v>265</v>
      </c>
      <c r="B271" s="10" t="s">
        <v>586</v>
      </c>
      <c r="C271" s="10" t="s">
        <v>587</v>
      </c>
      <c r="D271" s="7">
        <v>9158.8700000000008</v>
      </c>
      <c r="E271" s="5">
        <v>1079</v>
      </c>
      <c r="F271" s="5">
        <v>257</v>
      </c>
      <c r="G271" s="12">
        <f>SUM($D$7:D271)</f>
        <v>5651228.6599999992</v>
      </c>
      <c r="H271" s="11">
        <f t="shared" si="4"/>
        <v>0.52980179892718227</v>
      </c>
    </row>
    <row r="272" spans="1:8" ht="15" customHeight="1" x14ac:dyDescent="0.25">
      <c r="A272" s="5">
        <v>266</v>
      </c>
      <c r="B272" s="10" t="s">
        <v>588</v>
      </c>
      <c r="C272" s="10" t="s">
        <v>589</v>
      </c>
      <c r="D272" s="7">
        <v>9088.6299999999992</v>
      </c>
      <c r="E272" s="5">
        <v>1492</v>
      </c>
      <c r="F272" s="5">
        <v>201</v>
      </c>
      <c r="G272" s="12">
        <f>SUM($D$7:D272)</f>
        <v>5660317.2899999991</v>
      </c>
      <c r="H272" s="11">
        <f t="shared" si="4"/>
        <v>0.53065385656163366</v>
      </c>
    </row>
    <row r="273" spans="1:8" ht="15" customHeight="1" x14ac:dyDescent="0.25">
      <c r="A273" s="5">
        <v>267</v>
      </c>
      <c r="B273" s="10" t="s">
        <v>590</v>
      </c>
      <c r="C273" s="10" t="s">
        <v>591</v>
      </c>
      <c r="D273" s="7">
        <v>9080.2000000000007</v>
      </c>
      <c r="E273" s="5">
        <v>2326</v>
      </c>
      <c r="F273" s="5">
        <v>445</v>
      </c>
      <c r="G273" s="12">
        <f>SUM($D$7:D273)</f>
        <v>5669397.4899999993</v>
      </c>
      <c r="H273" s="11">
        <f t="shared" si="4"/>
        <v>0.53150512388490967</v>
      </c>
    </row>
    <row r="274" spans="1:8" ht="15" customHeight="1" x14ac:dyDescent="0.25">
      <c r="A274" s="5">
        <v>268</v>
      </c>
      <c r="B274" s="10" t="s">
        <v>592</v>
      </c>
      <c r="C274" s="10" t="s">
        <v>593</v>
      </c>
      <c r="D274" s="7">
        <v>9050.44</v>
      </c>
      <c r="E274" s="5">
        <v>6635</v>
      </c>
      <c r="F274" s="5">
        <v>441</v>
      </c>
      <c r="G274" s="12">
        <f>SUM($D$7:D274)</f>
        <v>5678447.9299999997</v>
      </c>
      <c r="H274" s="11">
        <f t="shared" si="4"/>
        <v>0.53235360121286168</v>
      </c>
    </row>
    <row r="275" spans="1:8" ht="15" customHeight="1" x14ac:dyDescent="0.25">
      <c r="A275" s="5">
        <v>269</v>
      </c>
      <c r="B275" s="10" t="s">
        <v>594</v>
      </c>
      <c r="C275" s="10" t="s">
        <v>595</v>
      </c>
      <c r="D275" s="7">
        <v>9043.94</v>
      </c>
      <c r="E275" s="5">
        <v>5445</v>
      </c>
      <c r="F275" s="5">
        <v>422</v>
      </c>
      <c r="G275" s="12">
        <f>SUM($D$7:D275)</f>
        <v>5687491.8700000001</v>
      </c>
      <c r="H275" s="11">
        <f t="shared" si="4"/>
        <v>0.53320146916683497</v>
      </c>
    </row>
    <row r="276" spans="1:8" ht="15" customHeight="1" x14ac:dyDescent="0.25">
      <c r="A276" s="5">
        <v>270</v>
      </c>
      <c r="B276" s="10" t="s">
        <v>596</v>
      </c>
      <c r="C276" s="10" t="s">
        <v>597</v>
      </c>
      <c r="D276" s="7">
        <v>9012.27</v>
      </c>
      <c r="E276" s="5">
        <v>2815</v>
      </c>
      <c r="F276" s="5">
        <v>372</v>
      </c>
      <c r="G276" s="12">
        <f>SUM($D$7:D276)</f>
        <v>5696504.1399999997</v>
      </c>
      <c r="H276" s="11">
        <f t="shared" si="4"/>
        <v>0.53404636806328443</v>
      </c>
    </row>
    <row r="277" spans="1:8" ht="15" customHeight="1" x14ac:dyDescent="0.25">
      <c r="A277" s="5">
        <v>271</v>
      </c>
      <c r="B277" s="10" t="s">
        <v>598</v>
      </c>
      <c r="C277" s="10" t="s">
        <v>599</v>
      </c>
      <c r="D277" s="7">
        <v>8941.61</v>
      </c>
      <c r="E277" s="5">
        <v>4027</v>
      </c>
      <c r="F277" s="5">
        <v>397</v>
      </c>
      <c r="G277" s="12">
        <f>SUM($D$7:D277)</f>
        <v>5705445.75</v>
      </c>
      <c r="H277" s="11">
        <f t="shared" si="4"/>
        <v>0.53488464259583635</v>
      </c>
    </row>
    <row r="278" spans="1:8" ht="15" customHeight="1" x14ac:dyDescent="0.25">
      <c r="A278" s="5">
        <v>272</v>
      </c>
      <c r="B278" s="10" t="s">
        <v>600</v>
      </c>
      <c r="C278" s="10" t="s">
        <v>601</v>
      </c>
      <c r="D278" s="7">
        <v>8925.41</v>
      </c>
      <c r="E278" s="5">
        <v>3085</v>
      </c>
      <c r="F278" s="5">
        <v>562</v>
      </c>
      <c r="G278" s="12">
        <f>SUM($D$7:D278)</f>
        <v>5714371.1600000001</v>
      </c>
      <c r="H278" s="11">
        <f t="shared" si="4"/>
        <v>0.53572139838093358</v>
      </c>
    </row>
    <row r="279" spans="1:8" ht="15" customHeight="1" x14ac:dyDescent="0.25">
      <c r="A279" s="5">
        <v>273</v>
      </c>
      <c r="B279" s="10" t="s">
        <v>602</v>
      </c>
      <c r="C279" s="10" t="s">
        <v>603</v>
      </c>
      <c r="D279" s="7">
        <v>8862.99</v>
      </c>
      <c r="E279" s="5">
        <v>4367</v>
      </c>
      <c r="F279" s="5">
        <v>437</v>
      </c>
      <c r="G279" s="12">
        <f>SUM($D$7:D279)</f>
        <v>5723234.1500000004</v>
      </c>
      <c r="H279" s="11">
        <f t="shared" si="4"/>
        <v>0.53655230230083872</v>
      </c>
    </row>
    <row r="280" spans="1:8" ht="15" customHeight="1" x14ac:dyDescent="0.25">
      <c r="A280" s="5">
        <v>274</v>
      </c>
      <c r="B280" s="10" t="s">
        <v>604</v>
      </c>
      <c r="C280" s="10" t="s">
        <v>605</v>
      </c>
      <c r="D280" s="7">
        <v>8862.2900000000009</v>
      </c>
      <c r="E280" s="5">
        <v>6402</v>
      </c>
      <c r="F280" s="5">
        <v>587</v>
      </c>
      <c r="G280" s="12">
        <f>SUM($D$7:D280)</f>
        <v>5732096.4400000004</v>
      </c>
      <c r="H280" s="11">
        <f t="shared" si="4"/>
        <v>0.53738314059585368</v>
      </c>
    </row>
    <row r="281" spans="1:8" ht="15" customHeight="1" x14ac:dyDescent="0.25">
      <c r="A281" s="5">
        <v>275</v>
      </c>
      <c r="B281" s="10" t="s">
        <v>606</v>
      </c>
      <c r="C281" s="10" t="s">
        <v>607</v>
      </c>
      <c r="D281" s="7">
        <v>8770.43</v>
      </c>
      <c r="E281" s="5">
        <v>4354</v>
      </c>
      <c r="F281" s="5">
        <v>374</v>
      </c>
      <c r="G281" s="12">
        <f>SUM($D$7:D281)</f>
        <v>5740866.8700000001</v>
      </c>
      <c r="H281" s="11">
        <f t="shared" si="4"/>
        <v>0.5382053670303022</v>
      </c>
    </row>
    <row r="282" spans="1:8" ht="15" customHeight="1" x14ac:dyDescent="0.25">
      <c r="A282" s="5">
        <v>276</v>
      </c>
      <c r="B282" s="10" t="s">
        <v>608</v>
      </c>
      <c r="C282" s="10" t="s">
        <v>609</v>
      </c>
      <c r="D282" s="7">
        <v>8754.6299999999992</v>
      </c>
      <c r="E282" s="5">
        <v>10557</v>
      </c>
      <c r="F282" s="5">
        <v>347</v>
      </c>
      <c r="G282" s="12">
        <f>SUM($D$7:D282)</f>
        <v>5749621.5</v>
      </c>
      <c r="H282" s="11">
        <f t="shared" si="4"/>
        <v>0.53902611221723318</v>
      </c>
    </row>
    <row r="283" spans="1:8" ht="15" customHeight="1" x14ac:dyDescent="0.25">
      <c r="A283" s="5">
        <v>277</v>
      </c>
      <c r="B283" s="10" t="s">
        <v>610</v>
      </c>
      <c r="C283" s="10" t="s">
        <v>611</v>
      </c>
      <c r="D283" s="7">
        <v>8714.24</v>
      </c>
      <c r="E283" s="5">
        <v>746</v>
      </c>
      <c r="F283" s="5">
        <v>137</v>
      </c>
      <c r="G283" s="12">
        <f>SUM($D$7:D283)</f>
        <v>5758335.7400000002</v>
      </c>
      <c r="H283" s="11">
        <f t="shared" si="4"/>
        <v>0.53984307084801053</v>
      </c>
    </row>
    <row r="284" spans="1:8" ht="15" customHeight="1" x14ac:dyDescent="0.25">
      <c r="A284" s="5">
        <v>278</v>
      </c>
      <c r="B284" s="10" t="s">
        <v>612</v>
      </c>
      <c r="C284" s="10" t="s">
        <v>613</v>
      </c>
      <c r="D284" s="7">
        <v>8626.94</v>
      </c>
      <c r="E284" s="5">
        <v>6230</v>
      </c>
      <c r="F284" s="5">
        <v>481</v>
      </c>
      <c r="G284" s="12">
        <f>SUM($D$7:D284)</f>
        <v>5766962.6800000006</v>
      </c>
      <c r="H284" s="11">
        <f t="shared" si="4"/>
        <v>0.54065184511750497</v>
      </c>
    </row>
    <row r="285" spans="1:8" ht="15" customHeight="1" x14ac:dyDescent="0.25">
      <c r="A285" s="5">
        <v>279</v>
      </c>
      <c r="B285" s="10" t="s">
        <v>614</v>
      </c>
      <c r="C285" s="10" t="s">
        <v>615</v>
      </c>
      <c r="D285" s="7">
        <v>8620.32</v>
      </c>
      <c r="E285" s="5">
        <v>5096</v>
      </c>
      <c r="F285" s="5">
        <v>467</v>
      </c>
      <c r="G285" s="12">
        <f>SUM($D$7:D285)</f>
        <v>5775583.0000000009</v>
      </c>
      <c r="H285" s="11">
        <f t="shared" si="4"/>
        <v>0.54145999876303941</v>
      </c>
    </row>
    <row r="286" spans="1:8" ht="15" customHeight="1" x14ac:dyDescent="0.25">
      <c r="A286" s="5">
        <v>280</v>
      </c>
      <c r="B286" s="10" t="s">
        <v>616</v>
      </c>
      <c r="C286" s="10" t="s">
        <v>617</v>
      </c>
      <c r="D286" s="7">
        <v>8578</v>
      </c>
      <c r="E286" s="5">
        <v>1212</v>
      </c>
      <c r="F286" s="5">
        <v>368</v>
      </c>
      <c r="G286" s="12">
        <f>SUM($D$7:D286)</f>
        <v>5784161.0000000009</v>
      </c>
      <c r="H286" s="11">
        <f t="shared" si="4"/>
        <v>0.54226418491522344</v>
      </c>
    </row>
    <row r="287" spans="1:8" ht="15" customHeight="1" x14ac:dyDescent="0.25">
      <c r="A287" s="5">
        <v>281</v>
      </c>
      <c r="B287" s="10" t="s">
        <v>618</v>
      </c>
      <c r="C287" s="10" t="s">
        <v>619</v>
      </c>
      <c r="D287" s="7">
        <v>8577.51</v>
      </c>
      <c r="E287" s="5">
        <v>2333</v>
      </c>
      <c r="F287" s="5">
        <v>297</v>
      </c>
      <c r="G287" s="12">
        <f>SUM($D$7:D287)</f>
        <v>5792738.5100000007</v>
      </c>
      <c r="H287" s="11">
        <f t="shared" si="4"/>
        <v>0.54306832512998438</v>
      </c>
    </row>
    <row r="288" spans="1:8" ht="15" customHeight="1" x14ac:dyDescent="0.25">
      <c r="A288" s="5">
        <v>282</v>
      </c>
      <c r="B288" s="10" t="s">
        <v>620</v>
      </c>
      <c r="C288" s="10" t="s">
        <v>621</v>
      </c>
      <c r="D288" s="7">
        <v>8560.84</v>
      </c>
      <c r="E288" s="5">
        <v>10792</v>
      </c>
      <c r="F288" s="5">
        <v>348</v>
      </c>
      <c r="G288" s="12">
        <f>SUM($D$7:D288)</f>
        <v>5801299.3500000006</v>
      </c>
      <c r="H288" s="11">
        <f t="shared" si="4"/>
        <v>0.5438709025348647</v>
      </c>
    </row>
    <row r="289" spans="1:8" ht="15" customHeight="1" x14ac:dyDescent="0.25">
      <c r="A289" s="5">
        <v>283</v>
      </c>
      <c r="B289" s="10" t="s">
        <v>622</v>
      </c>
      <c r="C289" s="10" t="s">
        <v>623</v>
      </c>
      <c r="D289" s="7">
        <v>8553.34</v>
      </c>
      <c r="E289" s="5">
        <v>6831</v>
      </c>
      <c r="F289" s="5">
        <v>257</v>
      </c>
      <c r="G289" s="12">
        <f>SUM($D$7:D289)</f>
        <v>5809852.6900000004</v>
      </c>
      <c r="H289" s="11">
        <f t="shared" si="4"/>
        <v>0.5446727768159233</v>
      </c>
    </row>
    <row r="290" spans="1:8" ht="15" customHeight="1" x14ac:dyDescent="0.25">
      <c r="A290" s="5">
        <v>284</v>
      </c>
      <c r="B290" s="10" t="s">
        <v>624</v>
      </c>
      <c r="C290" s="10" t="s">
        <v>625</v>
      </c>
      <c r="D290" s="7">
        <v>8549.85</v>
      </c>
      <c r="E290" s="5">
        <v>2603</v>
      </c>
      <c r="F290" s="5">
        <v>394</v>
      </c>
      <c r="G290" s="12">
        <f>SUM($D$7:D290)</f>
        <v>5818402.54</v>
      </c>
      <c r="H290" s="11">
        <f t="shared" si="4"/>
        <v>0.54547432391003037</v>
      </c>
    </row>
    <row r="291" spans="1:8" ht="15" customHeight="1" x14ac:dyDescent="0.25">
      <c r="A291" s="5">
        <v>285</v>
      </c>
      <c r="B291" s="10" t="s">
        <v>626</v>
      </c>
      <c r="C291" s="10" t="s">
        <v>627</v>
      </c>
      <c r="D291" s="7">
        <v>8540.9</v>
      </c>
      <c r="E291" s="5">
        <v>6350</v>
      </c>
      <c r="F291" s="5">
        <v>685</v>
      </c>
      <c r="G291" s="12">
        <f>SUM($D$7:D291)</f>
        <v>5826943.4400000004</v>
      </c>
      <c r="H291" s="11">
        <f t="shared" si="4"/>
        <v>0.54627503194304372</v>
      </c>
    </row>
    <row r="292" spans="1:8" ht="15" customHeight="1" x14ac:dyDescent="0.25">
      <c r="A292" s="5">
        <v>286</v>
      </c>
      <c r="B292" s="10" t="s">
        <v>628</v>
      </c>
      <c r="C292" s="10" t="s">
        <v>629</v>
      </c>
      <c r="D292" s="7">
        <v>8535.52</v>
      </c>
      <c r="E292" s="5">
        <v>1881</v>
      </c>
      <c r="F292" s="5">
        <v>402</v>
      </c>
      <c r="G292" s="12">
        <f>SUM($D$7:D292)</f>
        <v>5835478.96</v>
      </c>
      <c r="H292" s="11">
        <f t="shared" si="4"/>
        <v>0.54707523560190241</v>
      </c>
    </row>
    <row r="293" spans="1:8" ht="15" customHeight="1" x14ac:dyDescent="0.25">
      <c r="A293" s="5">
        <v>287</v>
      </c>
      <c r="B293" s="10" t="s">
        <v>630</v>
      </c>
      <c r="C293" s="10" t="s">
        <v>631</v>
      </c>
      <c r="D293" s="7">
        <v>8525.9699999999993</v>
      </c>
      <c r="E293" s="5">
        <v>2079</v>
      </c>
      <c r="F293" s="5">
        <v>360</v>
      </c>
      <c r="G293" s="12">
        <f>SUM($D$7:D293)</f>
        <v>5844004.9299999997</v>
      </c>
      <c r="H293" s="11">
        <f t="shared" si="4"/>
        <v>0.54787454394976154</v>
      </c>
    </row>
    <row r="294" spans="1:8" ht="15" customHeight="1" x14ac:dyDescent="0.25">
      <c r="A294" s="5">
        <v>288</v>
      </c>
      <c r="B294" s="10" t="s">
        <v>632</v>
      </c>
      <c r="C294" s="10" t="s">
        <v>633</v>
      </c>
      <c r="D294" s="7">
        <v>8509.68</v>
      </c>
      <c r="E294" s="5">
        <v>3970</v>
      </c>
      <c r="F294" s="5">
        <v>415</v>
      </c>
      <c r="G294" s="12">
        <f>SUM($D$7:D294)</f>
        <v>5852514.6099999994</v>
      </c>
      <c r="H294" s="11">
        <f t="shared" si="4"/>
        <v>0.54867232511268027</v>
      </c>
    </row>
    <row r="295" spans="1:8" ht="15" customHeight="1" x14ac:dyDescent="0.25">
      <c r="A295" s="5">
        <v>289</v>
      </c>
      <c r="B295" s="10" t="s">
        <v>634</v>
      </c>
      <c r="C295" s="10" t="s">
        <v>635</v>
      </c>
      <c r="D295" s="7">
        <v>8473.27</v>
      </c>
      <c r="E295" s="5">
        <v>4737</v>
      </c>
      <c r="F295" s="5">
        <v>629</v>
      </c>
      <c r="G295" s="12">
        <f>SUM($D$7:D295)</f>
        <v>5860987.879999999</v>
      </c>
      <c r="H295" s="11">
        <f t="shared" si="4"/>
        <v>0.54946669284381988</v>
      </c>
    </row>
    <row r="296" spans="1:8" ht="15" customHeight="1" x14ac:dyDescent="0.25">
      <c r="A296" s="5">
        <v>290</v>
      </c>
      <c r="B296" s="10" t="s">
        <v>636</v>
      </c>
      <c r="C296" s="10" t="s">
        <v>637</v>
      </c>
      <c r="D296" s="7">
        <v>8418.44</v>
      </c>
      <c r="E296" s="5">
        <v>15176</v>
      </c>
      <c r="F296" s="5">
        <v>663</v>
      </c>
      <c r="G296" s="12">
        <f>SUM($D$7:D296)</f>
        <v>5869406.3199999994</v>
      </c>
      <c r="H296" s="11">
        <f t="shared" si="4"/>
        <v>0.55025592027107484</v>
      </c>
    </row>
    <row r="297" spans="1:8" ht="15" customHeight="1" x14ac:dyDescent="0.25">
      <c r="A297" s="5">
        <v>291</v>
      </c>
      <c r="B297" s="10" t="s">
        <v>638</v>
      </c>
      <c r="C297" s="10" t="s">
        <v>639</v>
      </c>
      <c r="D297" s="7">
        <v>8374.19</v>
      </c>
      <c r="E297" s="5">
        <v>5812</v>
      </c>
      <c r="F297" s="5">
        <v>453</v>
      </c>
      <c r="G297" s="12">
        <f>SUM($D$7:D297)</f>
        <v>5877780.5099999998</v>
      </c>
      <c r="H297" s="11">
        <f t="shared" si="4"/>
        <v>0.55104099926778238</v>
      </c>
    </row>
    <row r="298" spans="1:8" ht="15" customHeight="1" x14ac:dyDescent="0.25">
      <c r="A298" s="5">
        <v>292</v>
      </c>
      <c r="B298" s="10" t="s">
        <v>640</v>
      </c>
      <c r="C298" s="10" t="s">
        <v>641</v>
      </c>
      <c r="D298" s="7">
        <v>8268.5400000000009</v>
      </c>
      <c r="E298" s="5">
        <v>868</v>
      </c>
      <c r="F298" s="5">
        <v>260</v>
      </c>
      <c r="G298" s="12">
        <f>SUM($D$7:D298)</f>
        <v>5886049.0499999998</v>
      </c>
      <c r="H298" s="11">
        <f t="shared" si="4"/>
        <v>0.55181617359359025</v>
      </c>
    </row>
    <row r="299" spans="1:8" ht="15" customHeight="1" x14ac:dyDescent="0.25">
      <c r="A299" s="5">
        <v>293</v>
      </c>
      <c r="B299" s="10" t="s">
        <v>642</v>
      </c>
      <c r="C299" s="10" t="s">
        <v>643</v>
      </c>
      <c r="D299" s="7">
        <v>8225</v>
      </c>
      <c r="E299" s="5">
        <v>5978</v>
      </c>
      <c r="F299" s="5">
        <v>292</v>
      </c>
      <c r="G299" s="12">
        <f>SUM($D$7:D299)</f>
        <v>5894274.0499999998</v>
      </c>
      <c r="H299" s="11">
        <f t="shared" si="4"/>
        <v>0.55258726605123931</v>
      </c>
    </row>
    <row r="300" spans="1:8" ht="15" customHeight="1" x14ac:dyDescent="0.25">
      <c r="A300" s="5">
        <v>294</v>
      </c>
      <c r="B300" s="10" t="s">
        <v>644</v>
      </c>
      <c r="C300" s="10" t="s">
        <v>645</v>
      </c>
      <c r="D300" s="7">
        <v>8189.29</v>
      </c>
      <c r="E300" s="5">
        <v>954</v>
      </c>
      <c r="F300" s="5">
        <v>365</v>
      </c>
      <c r="G300" s="12">
        <f>SUM($D$7:D300)</f>
        <v>5902463.3399999999</v>
      </c>
      <c r="H300" s="11">
        <f t="shared" si="4"/>
        <v>0.55335501070199922</v>
      </c>
    </row>
    <row r="301" spans="1:8" ht="15" customHeight="1" x14ac:dyDescent="0.25">
      <c r="A301" s="5">
        <v>295</v>
      </c>
      <c r="B301" s="10" t="s">
        <v>646</v>
      </c>
      <c r="C301" s="10" t="s">
        <v>647</v>
      </c>
      <c r="D301" s="7">
        <v>8168.6</v>
      </c>
      <c r="E301" s="5">
        <v>1984</v>
      </c>
      <c r="F301" s="5">
        <v>428</v>
      </c>
      <c r="G301" s="12">
        <f>SUM($D$7:D301)</f>
        <v>5910631.9399999995</v>
      </c>
      <c r="H301" s="11">
        <f t="shared" si="4"/>
        <v>0.55412081566851012</v>
      </c>
    </row>
    <row r="302" spans="1:8" ht="15" customHeight="1" x14ac:dyDescent="0.25">
      <c r="A302" s="5">
        <v>296</v>
      </c>
      <c r="B302" s="10" t="s">
        <v>648</v>
      </c>
      <c r="C302" s="10" t="s">
        <v>649</v>
      </c>
      <c r="D302" s="7">
        <v>8161.46</v>
      </c>
      <c r="E302" s="5">
        <v>5805</v>
      </c>
      <c r="F302" s="5">
        <v>688</v>
      </c>
      <c r="G302" s="12">
        <f>SUM($D$7:D302)</f>
        <v>5918793.3999999994</v>
      </c>
      <c r="H302" s="11">
        <f t="shared" si="4"/>
        <v>0.55488595126114282</v>
      </c>
    </row>
    <row r="303" spans="1:8" ht="15" customHeight="1" x14ac:dyDescent="0.25">
      <c r="A303" s="5">
        <v>297</v>
      </c>
      <c r="B303" s="10" t="s">
        <v>650</v>
      </c>
      <c r="C303" s="10" t="s">
        <v>651</v>
      </c>
      <c r="D303" s="7">
        <v>8125</v>
      </c>
      <c r="E303" s="5">
        <v>60</v>
      </c>
      <c r="F303" s="5">
        <v>38</v>
      </c>
      <c r="G303" s="12">
        <f>SUM($D$7:D303)</f>
        <v>5926918.3999999994</v>
      </c>
      <c r="H303" s="11">
        <f t="shared" si="4"/>
        <v>0.55564766873450433</v>
      </c>
    </row>
    <row r="304" spans="1:8" ht="15" customHeight="1" x14ac:dyDescent="0.25">
      <c r="A304" s="5">
        <v>298</v>
      </c>
      <c r="B304" s="10" t="s">
        <v>652</v>
      </c>
      <c r="C304" s="10" t="s">
        <v>653</v>
      </c>
      <c r="D304" s="7">
        <v>8101.15</v>
      </c>
      <c r="E304" s="5">
        <v>2901</v>
      </c>
      <c r="F304" s="5">
        <v>464</v>
      </c>
      <c r="G304" s="12">
        <f>SUM($D$7:D304)</f>
        <v>5935019.5499999998</v>
      </c>
      <c r="H304" s="11">
        <f t="shared" si="4"/>
        <v>0.55640715027411336</v>
      </c>
    </row>
    <row r="305" spans="1:8" ht="15" customHeight="1" x14ac:dyDescent="0.25">
      <c r="A305" s="5">
        <v>299</v>
      </c>
      <c r="B305" s="10" t="s">
        <v>654</v>
      </c>
      <c r="C305" s="10" t="s">
        <v>655</v>
      </c>
      <c r="D305" s="7">
        <v>8100.05</v>
      </c>
      <c r="E305" s="5">
        <v>2789</v>
      </c>
      <c r="F305" s="5">
        <v>269</v>
      </c>
      <c r="G305" s="12">
        <f>SUM($D$7:D305)</f>
        <v>5943119.5999999996</v>
      </c>
      <c r="H305" s="11">
        <f t="shared" si="4"/>
        <v>0.55716652868889505</v>
      </c>
    </row>
    <row r="306" spans="1:8" ht="15" customHeight="1" x14ac:dyDescent="0.25">
      <c r="A306" s="5">
        <v>300</v>
      </c>
      <c r="B306" s="10" t="s">
        <v>656</v>
      </c>
      <c r="C306" s="10" t="s">
        <v>657</v>
      </c>
      <c r="D306" s="7">
        <v>8056.52</v>
      </c>
      <c r="E306" s="5">
        <v>1880</v>
      </c>
      <c r="F306" s="5">
        <v>307</v>
      </c>
      <c r="G306" s="12">
        <f>SUM($D$7:D306)</f>
        <v>5951176.1199999992</v>
      </c>
      <c r="H306" s="11">
        <f t="shared" si="4"/>
        <v>0.55792182617301644</v>
      </c>
    </row>
    <row r="307" spans="1:8" ht="15" customHeight="1" x14ac:dyDescent="0.25">
      <c r="A307" s="5">
        <v>301</v>
      </c>
      <c r="B307" s="10" t="s">
        <v>658</v>
      </c>
      <c r="C307" s="10" t="s">
        <v>659</v>
      </c>
      <c r="D307" s="7">
        <v>8050.53</v>
      </c>
      <c r="E307" s="5">
        <v>8987</v>
      </c>
      <c r="F307" s="5">
        <v>610</v>
      </c>
      <c r="G307" s="12">
        <f>SUM($D$7:D307)</f>
        <v>5959226.6499999994</v>
      </c>
      <c r="H307" s="11">
        <f t="shared" si="4"/>
        <v>0.55867656209557903</v>
      </c>
    </row>
    <row r="308" spans="1:8" ht="15" customHeight="1" x14ac:dyDescent="0.25">
      <c r="A308" s="5">
        <v>302</v>
      </c>
      <c r="B308" s="10" t="s">
        <v>660</v>
      </c>
      <c r="C308" s="10" t="s">
        <v>661</v>
      </c>
      <c r="D308" s="7">
        <v>8033.85</v>
      </c>
      <c r="E308" s="5">
        <v>6634</v>
      </c>
      <c r="F308" s="5">
        <v>379</v>
      </c>
      <c r="G308" s="12">
        <f>SUM($D$7:D308)</f>
        <v>5967260.4999999991</v>
      </c>
      <c r="H308" s="11">
        <f t="shared" si="4"/>
        <v>0.55942973427076248</v>
      </c>
    </row>
    <row r="309" spans="1:8" ht="15" customHeight="1" x14ac:dyDescent="0.25">
      <c r="A309" s="5">
        <v>303</v>
      </c>
      <c r="B309" s="10" t="s">
        <v>662</v>
      </c>
      <c r="C309" s="10" t="s">
        <v>663</v>
      </c>
      <c r="D309" s="7">
        <v>7980.92</v>
      </c>
      <c r="E309" s="5">
        <v>26135</v>
      </c>
      <c r="F309" s="5">
        <v>512</v>
      </c>
      <c r="G309" s="12">
        <f>SUM($D$7:D309)</f>
        <v>5975241.419999999</v>
      </c>
      <c r="H309" s="11">
        <f t="shared" si="4"/>
        <v>0.56017794426676248</v>
      </c>
    </row>
    <row r="310" spans="1:8" ht="15" customHeight="1" x14ac:dyDescent="0.25">
      <c r="A310" s="5">
        <v>304</v>
      </c>
      <c r="B310" s="10" t="s">
        <v>664</v>
      </c>
      <c r="C310" s="10" t="s">
        <v>665</v>
      </c>
      <c r="D310" s="7">
        <v>7954</v>
      </c>
      <c r="E310" s="5">
        <v>1930</v>
      </c>
      <c r="F310" s="5">
        <v>321</v>
      </c>
      <c r="G310" s="12">
        <f>SUM($D$7:D310)</f>
        <v>5983195.419999999</v>
      </c>
      <c r="H310" s="11">
        <f t="shared" si="4"/>
        <v>0.56092363051699234</v>
      </c>
    </row>
    <row r="311" spans="1:8" ht="15" customHeight="1" x14ac:dyDescent="0.25">
      <c r="A311" s="5">
        <v>305</v>
      </c>
      <c r="B311" s="10" t="s">
        <v>666</v>
      </c>
      <c r="C311" s="10" t="s">
        <v>667</v>
      </c>
      <c r="D311" s="7">
        <v>7938.78</v>
      </c>
      <c r="E311" s="5">
        <v>1641</v>
      </c>
      <c r="F311" s="5">
        <v>388</v>
      </c>
      <c r="G311" s="12">
        <f>SUM($D$7:D311)</f>
        <v>5991134.1999999993</v>
      </c>
      <c r="H311" s="11">
        <f t="shared" si="4"/>
        <v>0.56166788989461358</v>
      </c>
    </row>
    <row r="312" spans="1:8" ht="15" customHeight="1" x14ac:dyDescent="0.25">
      <c r="A312" s="5">
        <v>306</v>
      </c>
      <c r="B312" s="10" t="s">
        <v>668</v>
      </c>
      <c r="C312" s="10" t="s">
        <v>669</v>
      </c>
      <c r="D312" s="7">
        <v>7919.23</v>
      </c>
      <c r="E312" s="5">
        <v>785</v>
      </c>
      <c r="F312" s="5">
        <v>429</v>
      </c>
      <c r="G312" s="12">
        <f>SUM($D$7:D312)</f>
        <v>5999053.4299999997</v>
      </c>
      <c r="H312" s="11">
        <f t="shared" si="4"/>
        <v>0.5624103164628067</v>
      </c>
    </row>
    <row r="313" spans="1:8" ht="15" customHeight="1" x14ac:dyDescent="0.25">
      <c r="A313" s="5">
        <v>307</v>
      </c>
      <c r="B313" s="10" t="s">
        <v>670</v>
      </c>
      <c r="C313" s="10" t="s">
        <v>671</v>
      </c>
      <c r="D313" s="7">
        <v>7873.72</v>
      </c>
      <c r="E313" s="5">
        <v>3093</v>
      </c>
      <c r="F313" s="5">
        <v>482</v>
      </c>
      <c r="G313" s="12">
        <f>SUM($D$7:D313)</f>
        <v>6006927.1499999994</v>
      </c>
      <c r="H313" s="11">
        <f t="shared" si="4"/>
        <v>0.56314847647565058</v>
      </c>
    </row>
    <row r="314" spans="1:8" ht="15" customHeight="1" x14ac:dyDescent="0.25">
      <c r="A314" s="5">
        <v>308</v>
      </c>
      <c r="B314" s="10" t="s">
        <v>672</v>
      </c>
      <c r="C314" s="10" t="s">
        <v>673</v>
      </c>
      <c r="D314" s="7">
        <v>7861.93</v>
      </c>
      <c r="E314" s="5">
        <v>795</v>
      </c>
      <c r="F314" s="5">
        <v>189</v>
      </c>
      <c r="G314" s="12">
        <f>SUM($D$7:D314)</f>
        <v>6014789.0799999991</v>
      </c>
      <c r="H314" s="11">
        <f t="shared" si="4"/>
        <v>0.56388553117784679</v>
      </c>
    </row>
    <row r="315" spans="1:8" ht="15" customHeight="1" x14ac:dyDescent="0.25">
      <c r="A315" s="5">
        <v>309</v>
      </c>
      <c r="B315" s="10" t="s">
        <v>674</v>
      </c>
      <c r="C315" s="10" t="s">
        <v>675</v>
      </c>
      <c r="D315" s="7">
        <v>7830.32</v>
      </c>
      <c r="E315" s="5">
        <v>4709</v>
      </c>
      <c r="F315" s="5">
        <v>370</v>
      </c>
      <c r="G315" s="12">
        <f>SUM($D$7:D315)</f>
        <v>6022619.3999999994</v>
      </c>
      <c r="H315" s="11">
        <f t="shared" si="4"/>
        <v>0.56461962244750985</v>
      </c>
    </row>
    <row r="316" spans="1:8" ht="15" customHeight="1" x14ac:dyDescent="0.25">
      <c r="A316" s="5">
        <v>310</v>
      </c>
      <c r="B316" s="10" t="s">
        <v>676</v>
      </c>
      <c r="C316" s="10" t="s">
        <v>677</v>
      </c>
      <c r="D316" s="7">
        <v>7825.56</v>
      </c>
      <c r="E316" s="5">
        <v>1862</v>
      </c>
      <c r="F316" s="5">
        <v>274</v>
      </c>
      <c r="G316" s="12">
        <f>SUM($D$7:D316)</f>
        <v>6030444.959999999</v>
      </c>
      <c r="H316" s="11">
        <f t="shared" si="4"/>
        <v>0.56535326746792081</v>
      </c>
    </row>
    <row r="317" spans="1:8" ht="15" customHeight="1" x14ac:dyDescent="0.25">
      <c r="A317" s="5">
        <v>311</v>
      </c>
      <c r="B317" s="10" t="s">
        <v>678</v>
      </c>
      <c r="C317" s="10" t="s">
        <v>679</v>
      </c>
      <c r="D317" s="7">
        <v>7777.09</v>
      </c>
      <c r="E317" s="5">
        <v>4721</v>
      </c>
      <c r="F317" s="5">
        <v>566</v>
      </c>
      <c r="G317" s="12">
        <f>SUM($D$7:D317)</f>
        <v>6038222.0499999989</v>
      </c>
      <c r="H317" s="11">
        <f t="shared" si="4"/>
        <v>0.5660823684334475</v>
      </c>
    </row>
    <row r="318" spans="1:8" ht="15" customHeight="1" x14ac:dyDescent="0.25">
      <c r="A318" s="5">
        <v>312</v>
      </c>
      <c r="B318" s="10" t="s">
        <v>680</v>
      </c>
      <c r="C318" s="10" t="s">
        <v>681</v>
      </c>
      <c r="D318" s="7">
        <v>7773.7</v>
      </c>
      <c r="E318" s="5">
        <v>2446</v>
      </c>
      <c r="F318" s="5">
        <v>493</v>
      </c>
      <c r="G318" s="12">
        <f>SUM($D$7:D318)</f>
        <v>6045995.7499999991</v>
      </c>
      <c r="H318" s="11">
        <f t="shared" si="4"/>
        <v>0.56681115158700701</v>
      </c>
    </row>
    <row r="319" spans="1:8" ht="15" customHeight="1" x14ac:dyDescent="0.25">
      <c r="A319" s="5">
        <v>313</v>
      </c>
      <c r="B319" s="10" t="s">
        <v>682</v>
      </c>
      <c r="C319" s="10" t="s">
        <v>683</v>
      </c>
      <c r="D319" s="7">
        <v>7758.7</v>
      </c>
      <c r="E319" s="5">
        <v>499</v>
      </c>
      <c r="F319" s="5">
        <v>184</v>
      </c>
      <c r="G319" s="12">
        <f>SUM($D$7:D319)</f>
        <v>6053754.4499999993</v>
      </c>
      <c r="H319" s="11">
        <f t="shared" si="4"/>
        <v>0.5675385284929233</v>
      </c>
    </row>
    <row r="320" spans="1:8" ht="15" customHeight="1" x14ac:dyDescent="0.25">
      <c r="A320" s="5">
        <v>314</v>
      </c>
      <c r="B320" s="10" t="s">
        <v>684</v>
      </c>
      <c r="C320" s="10" t="s">
        <v>685</v>
      </c>
      <c r="D320" s="7">
        <v>7756.42</v>
      </c>
      <c r="E320" s="5">
        <v>3773</v>
      </c>
      <c r="F320" s="5">
        <v>468</v>
      </c>
      <c r="G320" s="12">
        <f>SUM($D$7:D320)</f>
        <v>6061510.8699999992</v>
      </c>
      <c r="H320" s="11">
        <f t="shared" si="4"/>
        <v>0.56826569164919782</v>
      </c>
    </row>
    <row r="321" spans="1:8" ht="15" customHeight="1" x14ac:dyDescent="0.25">
      <c r="A321" s="5">
        <v>315</v>
      </c>
      <c r="B321" s="10" t="s">
        <v>686</v>
      </c>
      <c r="C321" s="10" t="s">
        <v>687</v>
      </c>
      <c r="D321" s="7">
        <v>7741.94</v>
      </c>
      <c r="E321" s="5">
        <v>7976</v>
      </c>
      <c r="F321" s="5">
        <v>583</v>
      </c>
      <c r="G321" s="12">
        <f>SUM($D$7:D321)</f>
        <v>6069252.8099999996</v>
      </c>
      <c r="H321" s="11">
        <f t="shared" si="4"/>
        <v>0.56899149730774756</v>
      </c>
    </row>
    <row r="322" spans="1:8" ht="15" customHeight="1" x14ac:dyDescent="0.25">
      <c r="A322" s="5">
        <v>316</v>
      </c>
      <c r="B322" s="10" t="s">
        <v>688</v>
      </c>
      <c r="C322" s="10" t="s">
        <v>689</v>
      </c>
      <c r="D322" s="7">
        <v>7732.93</v>
      </c>
      <c r="E322" s="5">
        <v>1175</v>
      </c>
      <c r="F322" s="5">
        <v>233</v>
      </c>
      <c r="G322" s="12">
        <f>SUM($D$7:D322)</f>
        <v>6076985.7399999993</v>
      </c>
      <c r="H322" s="11">
        <f t="shared" si="4"/>
        <v>0.569716458280213</v>
      </c>
    </row>
    <row r="323" spans="1:8" ht="15" customHeight="1" x14ac:dyDescent="0.25">
      <c r="A323" s="5">
        <v>317</v>
      </c>
      <c r="B323" s="10" t="s">
        <v>690</v>
      </c>
      <c r="C323" s="10" t="s">
        <v>691</v>
      </c>
      <c r="D323" s="7">
        <v>7674.8</v>
      </c>
      <c r="E323" s="5">
        <v>532</v>
      </c>
      <c r="F323" s="5">
        <v>163</v>
      </c>
      <c r="G323" s="12">
        <f>SUM($D$7:D323)</f>
        <v>6084660.5399999991</v>
      </c>
      <c r="H323" s="11">
        <f t="shared" si="4"/>
        <v>0.57043596957431209</v>
      </c>
    </row>
    <row r="324" spans="1:8" ht="15" customHeight="1" x14ac:dyDescent="0.25">
      <c r="A324" s="5">
        <v>318</v>
      </c>
      <c r="B324" s="10" t="s">
        <v>692</v>
      </c>
      <c r="C324" s="10" t="s">
        <v>693</v>
      </c>
      <c r="D324" s="7">
        <v>7672.41</v>
      </c>
      <c r="E324" s="5">
        <v>8905</v>
      </c>
      <c r="F324" s="5">
        <v>537</v>
      </c>
      <c r="G324" s="12">
        <f>SUM($D$7:D324)</f>
        <v>6092332.9499999993</v>
      </c>
      <c r="H324" s="11">
        <f t="shared" si="4"/>
        <v>0.57115525680628665</v>
      </c>
    </row>
    <row r="325" spans="1:8" ht="15" customHeight="1" x14ac:dyDescent="0.25">
      <c r="A325" s="5">
        <v>319</v>
      </c>
      <c r="B325" s="10" t="s">
        <v>694</v>
      </c>
      <c r="C325" s="10" t="s">
        <v>695</v>
      </c>
      <c r="D325" s="7">
        <v>7657.32</v>
      </c>
      <c r="E325" s="5">
        <v>2016</v>
      </c>
      <c r="F325" s="5">
        <v>284</v>
      </c>
      <c r="G325" s="12">
        <f>SUM($D$7:D325)</f>
        <v>6099990.2699999996</v>
      </c>
      <c r="H325" s="11">
        <f t="shared" si="4"/>
        <v>0.57187312935313228</v>
      </c>
    </row>
    <row r="326" spans="1:8" ht="15" customHeight="1" x14ac:dyDescent="0.25">
      <c r="A326" s="5">
        <v>320</v>
      </c>
      <c r="B326" s="10" t="s">
        <v>696</v>
      </c>
      <c r="C326" s="10" t="s">
        <v>697</v>
      </c>
      <c r="D326" s="7">
        <v>7642.44</v>
      </c>
      <c r="E326" s="5">
        <v>4801</v>
      </c>
      <c r="F326" s="5">
        <v>290</v>
      </c>
      <c r="G326" s="12">
        <f>SUM($D$7:D326)</f>
        <v>6107632.71</v>
      </c>
      <c r="H326" s="11">
        <f t="shared" si="4"/>
        <v>0.57258960690231597</v>
      </c>
    </row>
    <row r="327" spans="1:8" ht="15" customHeight="1" x14ac:dyDescent="0.25">
      <c r="A327" s="5">
        <v>321</v>
      </c>
      <c r="B327" s="10" t="s">
        <v>698</v>
      </c>
      <c r="C327" s="10" t="s">
        <v>699</v>
      </c>
      <c r="D327" s="7">
        <v>7628.53</v>
      </c>
      <c r="E327" s="5">
        <v>6063</v>
      </c>
      <c r="F327" s="5">
        <v>509</v>
      </c>
      <c r="G327" s="12">
        <f>SUM($D$7:D327)</f>
        <v>6115261.2400000002</v>
      </c>
      <c r="H327" s="11">
        <f t="shared" ref="H327:H390" si="5">G327/SUM($D$7:$D$4167)</f>
        <v>0.57330478039118515</v>
      </c>
    </row>
    <row r="328" spans="1:8" ht="15" customHeight="1" x14ac:dyDescent="0.25">
      <c r="A328" s="5">
        <v>322</v>
      </c>
      <c r="B328" s="10" t="s">
        <v>700</v>
      </c>
      <c r="C328" s="10" t="s">
        <v>701</v>
      </c>
      <c r="D328" s="7">
        <v>7608.79</v>
      </c>
      <c r="E328" s="5">
        <v>3889</v>
      </c>
      <c r="F328" s="5">
        <v>274</v>
      </c>
      <c r="G328" s="12">
        <f>SUM($D$7:D328)</f>
        <v>6122870.0300000003</v>
      </c>
      <c r="H328" s="11">
        <f t="shared" si="5"/>
        <v>0.57401810325815605</v>
      </c>
    </row>
    <row r="329" spans="1:8" ht="15" customHeight="1" x14ac:dyDescent="0.25">
      <c r="A329" s="5">
        <v>323</v>
      </c>
      <c r="B329" s="10" t="s">
        <v>702</v>
      </c>
      <c r="C329" s="10" t="s">
        <v>703</v>
      </c>
      <c r="D329" s="7">
        <v>7597.02</v>
      </c>
      <c r="E329" s="5">
        <v>1230</v>
      </c>
      <c r="F329" s="5">
        <v>206</v>
      </c>
      <c r="G329" s="12">
        <f>SUM($D$7:D329)</f>
        <v>6130467.0499999998</v>
      </c>
      <c r="H329" s="11">
        <f t="shared" si="5"/>
        <v>0.57473032268947621</v>
      </c>
    </row>
    <row r="330" spans="1:8" ht="15" customHeight="1" x14ac:dyDescent="0.25">
      <c r="A330" s="5">
        <v>324</v>
      </c>
      <c r="B330" s="10" t="s">
        <v>704</v>
      </c>
      <c r="C330" s="10" t="s">
        <v>705</v>
      </c>
      <c r="D330" s="7">
        <v>7563.08</v>
      </c>
      <c r="E330" s="5">
        <v>2020</v>
      </c>
      <c r="F330" s="5">
        <v>413</v>
      </c>
      <c r="G330" s="12">
        <f>SUM($D$7:D330)</f>
        <v>6138030.1299999999</v>
      </c>
      <c r="H330" s="11">
        <f t="shared" si="5"/>
        <v>0.57543936025112929</v>
      </c>
    </row>
    <row r="331" spans="1:8" ht="15" customHeight="1" x14ac:dyDescent="0.25">
      <c r="A331" s="5">
        <v>325</v>
      </c>
      <c r="B331" s="10" t="s">
        <v>706</v>
      </c>
      <c r="C331" s="10" t="s">
        <v>707</v>
      </c>
      <c r="D331" s="7">
        <v>7561.64</v>
      </c>
      <c r="E331" s="5">
        <v>6232</v>
      </c>
      <c r="F331" s="5">
        <v>395</v>
      </c>
      <c r="G331" s="12">
        <f>SUM($D$7:D331)</f>
        <v>6145591.7699999996</v>
      </c>
      <c r="H331" s="11">
        <f t="shared" si="5"/>
        <v>0.57614826281300857</v>
      </c>
    </row>
    <row r="332" spans="1:8" ht="15" customHeight="1" x14ac:dyDescent="0.25">
      <c r="A332" s="5">
        <v>326</v>
      </c>
      <c r="B332" s="10" t="s">
        <v>708</v>
      </c>
      <c r="C332" s="10" t="s">
        <v>709</v>
      </c>
      <c r="D332" s="7">
        <v>7547.39</v>
      </c>
      <c r="E332" s="5">
        <v>855</v>
      </c>
      <c r="F332" s="5">
        <v>357</v>
      </c>
      <c r="G332" s="12">
        <f>SUM($D$7:D332)</f>
        <v>6153139.1599999992</v>
      </c>
      <c r="H332" s="11">
        <f t="shared" si="5"/>
        <v>0.57685582943962688</v>
      </c>
    </row>
    <row r="333" spans="1:8" ht="15" customHeight="1" x14ac:dyDescent="0.25">
      <c r="A333" s="5">
        <v>327</v>
      </c>
      <c r="B333" s="10" t="s">
        <v>710</v>
      </c>
      <c r="C333" s="10" t="s">
        <v>711</v>
      </c>
      <c r="D333" s="7">
        <v>7527.66</v>
      </c>
      <c r="E333" s="5">
        <v>5528</v>
      </c>
      <c r="F333" s="5">
        <v>437</v>
      </c>
      <c r="G333" s="12">
        <f>SUM($D$7:D333)</f>
        <v>6160666.8199999994</v>
      </c>
      <c r="H333" s="11">
        <f t="shared" si="5"/>
        <v>0.57756154638184531</v>
      </c>
    </row>
    <row r="334" spans="1:8" ht="15" customHeight="1" x14ac:dyDescent="0.25">
      <c r="A334" s="5">
        <v>328</v>
      </c>
      <c r="B334" s="10" t="s">
        <v>712</v>
      </c>
      <c r="C334" s="10" t="s">
        <v>713</v>
      </c>
      <c r="D334" s="7">
        <v>7520.28</v>
      </c>
      <c r="E334" s="5">
        <v>3755</v>
      </c>
      <c r="F334" s="5">
        <v>550</v>
      </c>
      <c r="G334" s="12">
        <f>SUM($D$7:D334)</f>
        <v>6168187.0999999996</v>
      </c>
      <c r="H334" s="11">
        <f t="shared" si="5"/>
        <v>0.57826657145022331</v>
      </c>
    </row>
    <row r="335" spans="1:8" ht="15" customHeight="1" x14ac:dyDescent="0.25">
      <c r="A335" s="5">
        <v>329</v>
      </c>
      <c r="B335" s="10" t="s">
        <v>714</v>
      </c>
      <c r="C335" s="10" t="s">
        <v>715</v>
      </c>
      <c r="D335" s="7">
        <v>7437.94</v>
      </c>
      <c r="E335" s="5">
        <v>3441</v>
      </c>
      <c r="F335" s="5">
        <v>469</v>
      </c>
      <c r="G335" s="12">
        <f>SUM($D$7:D335)</f>
        <v>6175625.04</v>
      </c>
      <c r="H335" s="11">
        <f t="shared" si="5"/>
        <v>0.57896387715653896</v>
      </c>
    </row>
    <row r="336" spans="1:8" ht="15" customHeight="1" x14ac:dyDescent="0.25">
      <c r="A336" s="5">
        <v>330</v>
      </c>
      <c r="B336" s="10" t="s">
        <v>716</v>
      </c>
      <c r="C336" s="10" t="s">
        <v>717</v>
      </c>
      <c r="D336" s="7">
        <v>7426.82</v>
      </c>
      <c r="E336" s="5">
        <v>5944</v>
      </c>
      <c r="F336" s="5">
        <v>535</v>
      </c>
      <c r="G336" s="12">
        <f>SUM($D$7:D336)</f>
        <v>6183051.8600000003</v>
      </c>
      <c r="H336" s="11">
        <f t="shared" si="5"/>
        <v>0.57966014036460189</v>
      </c>
    </row>
    <row r="337" spans="1:8" ht="15" customHeight="1" x14ac:dyDescent="0.25">
      <c r="A337" s="5">
        <v>331</v>
      </c>
      <c r="B337" s="10" t="s">
        <v>718</v>
      </c>
      <c r="C337" s="10" t="s">
        <v>719</v>
      </c>
      <c r="D337" s="7">
        <v>7363.86</v>
      </c>
      <c r="E337" s="5">
        <v>8547</v>
      </c>
      <c r="F337" s="5">
        <v>233</v>
      </c>
      <c r="G337" s="12">
        <f>SUM($D$7:D337)</f>
        <v>6190415.7200000007</v>
      </c>
      <c r="H337" s="11">
        <f t="shared" si="5"/>
        <v>0.58035050108255737</v>
      </c>
    </row>
    <row r="338" spans="1:8" ht="15" customHeight="1" x14ac:dyDescent="0.25">
      <c r="A338" s="5">
        <v>332</v>
      </c>
      <c r="B338" s="10" t="s">
        <v>720</v>
      </c>
      <c r="C338" s="10" t="s">
        <v>721</v>
      </c>
      <c r="D338" s="7">
        <v>7356.18</v>
      </c>
      <c r="E338" s="5">
        <v>1875</v>
      </c>
      <c r="F338" s="5">
        <v>220</v>
      </c>
      <c r="G338" s="12">
        <f>SUM($D$7:D338)</f>
        <v>6197771.9000000004</v>
      </c>
      <c r="H338" s="11">
        <f t="shared" si="5"/>
        <v>0.58104014180171948</v>
      </c>
    </row>
    <row r="339" spans="1:8" ht="15" customHeight="1" x14ac:dyDescent="0.25">
      <c r="A339" s="5">
        <v>333</v>
      </c>
      <c r="B339" s="10" t="s">
        <v>722</v>
      </c>
      <c r="C339" s="10" t="s">
        <v>723</v>
      </c>
      <c r="D339" s="7">
        <v>7320.36</v>
      </c>
      <c r="E339" s="5">
        <v>4424</v>
      </c>
      <c r="F339" s="5">
        <v>450</v>
      </c>
      <c r="G339" s="12">
        <f>SUM($D$7:D339)</f>
        <v>6205092.2600000007</v>
      </c>
      <c r="H339" s="11">
        <f t="shared" si="5"/>
        <v>0.58172642440150979</v>
      </c>
    </row>
    <row r="340" spans="1:8" ht="15" customHeight="1" x14ac:dyDescent="0.25">
      <c r="A340" s="5">
        <v>334</v>
      </c>
      <c r="B340" s="10" t="s">
        <v>724</v>
      </c>
      <c r="C340" s="10" t="s">
        <v>725</v>
      </c>
      <c r="D340" s="7">
        <v>7254.65</v>
      </c>
      <c r="E340" s="5">
        <v>1933</v>
      </c>
      <c r="F340" s="5">
        <v>246</v>
      </c>
      <c r="G340" s="12">
        <f>SUM($D$7:D340)</f>
        <v>6212346.9100000011</v>
      </c>
      <c r="H340" s="11">
        <f t="shared" si="5"/>
        <v>0.58240654669912495</v>
      </c>
    </row>
    <row r="341" spans="1:8" ht="15" customHeight="1" x14ac:dyDescent="0.25">
      <c r="A341" s="5">
        <v>335</v>
      </c>
      <c r="B341" s="10" t="s">
        <v>542</v>
      </c>
      <c r="C341" s="10" t="s">
        <v>726</v>
      </c>
      <c r="D341" s="7">
        <v>7252.94</v>
      </c>
      <c r="E341" s="5">
        <v>1820</v>
      </c>
      <c r="F341" s="5">
        <v>182</v>
      </c>
      <c r="G341" s="12">
        <f>SUM($D$7:D341)</f>
        <v>6219599.8500000015</v>
      </c>
      <c r="H341" s="11">
        <f t="shared" si="5"/>
        <v>0.58308650868450862</v>
      </c>
    </row>
    <row r="342" spans="1:8" ht="15" customHeight="1" x14ac:dyDescent="0.25">
      <c r="A342" s="5">
        <v>336</v>
      </c>
      <c r="B342" s="10" t="s">
        <v>727</v>
      </c>
      <c r="C342" s="10" t="s">
        <v>728</v>
      </c>
      <c r="D342" s="7">
        <v>7236.93</v>
      </c>
      <c r="E342" s="5">
        <v>1962</v>
      </c>
      <c r="F342" s="5">
        <v>305</v>
      </c>
      <c r="G342" s="12">
        <f>SUM($D$7:D342)</f>
        <v>6226836.7800000012</v>
      </c>
      <c r="H342" s="11">
        <f t="shared" si="5"/>
        <v>0.58376496973490788</v>
      </c>
    </row>
    <row r="343" spans="1:8" ht="15" customHeight="1" x14ac:dyDescent="0.25">
      <c r="A343" s="5">
        <v>337</v>
      </c>
      <c r="B343" s="10" t="s">
        <v>729</v>
      </c>
      <c r="C343" s="10" t="s">
        <v>730</v>
      </c>
      <c r="D343" s="7">
        <v>7207.37</v>
      </c>
      <c r="E343" s="5">
        <v>3681</v>
      </c>
      <c r="F343" s="5">
        <v>396</v>
      </c>
      <c r="G343" s="12">
        <f>SUM($D$7:D343)</f>
        <v>6234044.1500000013</v>
      </c>
      <c r="H343" s="11">
        <f t="shared" si="5"/>
        <v>0.58444065953995183</v>
      </c>
    </row>
    <row r="344" spans="1:8" ht="15" customHeight="1" x14ac:dyDescent="0.25">
      <c r="A344" s="5">
        <v>338</v>
      </c>
      <c r="B344" s="10" t="s">
        <v>731</v>
      </c>
      <c r="C344" s="10" t="s">
        <v>732</v>
      </c>
      <c r="D344" s="7">
        <v>7191.15</v>
      </c>
      <c r="E344" s="5">
        <v>766</v>
      </c>
      <c r="F344" s="5">
        <v>222</v>
      </c>
      <c r="G344" s="12">
        <f>SUM($D$7:D344)</f>
        <v>6241235.3000000017</v>
      </c>
      <c r="H344" s="11">
        <f t="shared" si="5"/>
        <v>0.58511482872254428</v>
      </c>
    </row>
    <row r="345" spans="1:8" ht="15" customHeight="1" x14ac:dyDescent="0.25">
      <c r="A345" s="5">
        <v>339</v>
      </c>
      <c r="B345" s="10" t="s">
        <v>733</v>
      </c>
      <c r="C345" s="10" t="s">
        <v>734</v>
      </c>
      <c r="D345" s="7">
        <v>7190.35</v>
      </c>
      <c r="E345" s="5">
        <v>526</v>
      </c>
      <c r="F345" s="5">
        <v>208</v>
      </c>
      <c r="G345" s="12">
        <f>SUM($D$7:D345)</f>
        <v>6248425.6500000013</v>
      </c>
      <c r="H345" s="11">
        <f t="shared" si="5"/>
        <v>0.58578892290526241</v>
      </c>
    </row>
    <row r="346" spans="1:8" ht="15" customHeight="1" x14ac:dyDescent="0.25">
      <c r="A346" s="5">
        <v>340</v>
      </c>
      <c r="B346" s="10" t="s">
        <v>735</v>
      </c>
      <c r="C346" s="10" t="s">
        <v>736</v>
      </c>
      <c r="D346" s="7">
        <v>7176.67</v>
      </c>
      <c r="E346" s="5">
        <v>4269</v>
      </c>
      <c r="F346" s="5">
        <v>560</v>
      </c>
      <c r="G346" s="12">
        <f>SUM($D$7:D346)</f>
        <v>6255602.3200000012</v>
      </c>
      <c r="H346" s="11">
        <f t="shared" si="5"/>
        <v>0.58646173459012996</v>
      </c>
    </row>
    <row r="347" spans="1:8" ht="15" customHeight="1" x14ac:dyDescent="0.25">
      <c r="A347" s="5">
        <v>341</v>
      </c>
      <c r="B347" s="10" t="s">
        <v>737</v>
      </c>
      <c r="C347" s="10" t="s">
        <v>738</v>
      </c>
      <c r="D347" s="7">
        <v>7173.55</v>
      </c>
      <c r="E347" s="5">
        <v>774</v>
      </c>
      <c r="F347" s="5">
        <v>218</v>
      </c>
      <c r="G347" s="12">
        <f>SUM($D$7:D347)</f>
        <v>6262775.870000001</v>
      </c>
      <c r="H347" s="11">
        <f t="shared" si="5"/>
        <v>0.58713425377548778</v>
      </c>
    </row>
    <row r="348" spans="1:8" ht="15" customHeight="1" x14ac:dyDescent="0.25">
      <c r="A348" s="5">
        <v>342</v>
      </c>
      <c r="B348" s="10" t="s">
        <v>739</v>
      </c>
      <c r="C348" s="10" t="s">
        <v>740</v>
      </c>
      <c r="D348" s="7">
        <v>7163.65</v>
      </c>
      <c r="E348" s="5">
        <v>8878</v>
      </c>
      <c r="F348" s="5">
        <v>243</v>
      </c>
      <c r="G348" s="12">
        <f>SUM($D$7:D348)</f>
        <v>6269939.5200000014</v>
      </c>
      <c r="H348" s="11">
        <f t="shared" si="5"/>
        <v>0.58780584483740117</v>
      </c>
    </row>
    <row r="349" spans="1:8" ht="15" customHeight="1" x14ac:dyDescent="0.25">
      <c r="A349" s="5">
        <v>343</v>
      </c>
      <c r="B349" s="10" t="s">
        <v>741</v>
      </c>
      <c r="C349" s="10" t="s">
        <v>742</v>
      </c>
      <c r="D349" s="7">
        <v>7136.23</v>
      </c>
      <c r="E349" s="5">
        <v>4970</v>
      </c>
      <c r="F349" s="5">
        <v>368</v>
      </c>
      <c r="G349" s="12">
        <f>SUM($D$7:D349)</f>
        <v>6277075.7500000019</v>
      </c>
      <c r="H349" s="11">
        <f t="shared" si="5"/>
        <v>0.58847486527862303</v>
      </c>
    </row>
    <row r="350" spans="1:8" ht="15" customHeight="1" x14ac:dyDescent="0.25">
      <c r="A350" s="5">
        <v>344</v>
      </c>
      <c r="B350" s="10" t="s">
        <v>743</v>
      </c>
      <c r="C350" s="10" t="s">
        <v>744</v>
      </c>
      <c r="D350" s="7">
        <v>7136</v>
      </c>
      <c r="E350" s="5">
        <v>5285</v>
      </c>
      <c r="F350" s="5">
        <v>425</v>
      </c>
      <c r="G350" s="12">
        <f>SUM($D$7:D350)</f>
        <v>6284211.7500000019</v>
      </c>
      <c r="H350" s="11">
        <f t="shared" si="5"/>
        <v>0.58914386415738085</v>
      </c>
    </row>
    <row r="351" spans="1:8" ht="15" customHeight="1" x14ac:dyDescent="0.25">
      <c r="A351" s="5">
        <v>345</v>
      </c>
      <c r="B351" s="10" t="s">
        <v>745</v>
      </c>
      <c r="C351" s="10" t="s">
        <v>746</v>
      </c>
      <c r="D351" s="7">
        <v>7121.38</v>
      </c>
      <c r="E351" s="5">
        <v>2764</v>
      </c>
      <c r="F351" s="5">
        <v>329</v>
      </c>
      <c r="G351" s="12">
        <f>SUM($D$7:D351)</f>
        <v>6291333.1300000018</v>
      </c>
      <c r="H351" s="11">
        <f t="shared" si="5"/>
        <v>0.58981149241343589</v>
      </c>
    </row>
    <row r="352" spans="1:8" ht="15" customHeight="1" x14ac:dyDescent="0.25">
      <c r="A352" s="5">
        <v>346</v>
      </c>
      <c r="B352" s="10" t="s">
        <v>747</v>
      </c>
      <c r="C352" s="10" t="s">
        <v>748</v>
      </c>
      <c r="D352" s="7">
        <v>7106.95</v>
      </c>
      <c r="E352" s="5">
        <v>1184</v>
      </c>
      <c r="F352" s="5">
        <v>285</v>
      </c>
      <c r="G352" s="12">
        <f>SUM($D$7:D352)</f>
        <v>6298440.0800000019</v>
      </c>
      <c r="H352" s="11">
        <f t="shared" si="5"/>
        <v>0.59047776785925832</v>
      </c>
    </row>
    <row r="353" spans="1:8" ht="15" customHeight="1" x14ac:dyDescent="0.25">
      <c r="A353" s="5">
        <v>347</v>
      </c>
      <c r="B353" s="10" t="s">
        <v>749</v>
      </c>
      <c r="C353" s="10" t="s">
        <v>750</v>
      </c>
      <c r="D353" s="7">
        <v>7104.22</v>
      </c>
      <c r="E353" s="5">
        <v>1461</v>
      </c>
      <c r="F353" s="5">
        <v>311</v>
      </c>
      <c r="G353" s="12">
        <f>SUM($D$7:D353)</f>
        <v>6305544.3000000017</v>
      </c>
      <c r="H353" s="11">
        <f t="shared" si="5"/>
        <v>0.59114378736800954</v>
      </c>
    </row>
    <row r="354" spans="1:8" ht="15" customHeight="1" x14ac:dyDescent="0.25">
      <c r="A354" s="5">
        <v>348</v>
      </c>
      <c r="B354" s="10" t="s">
        <v>751</v>
      </c>
      <c r="C354" s="10" t="s">
        <v>752</v>
      </c>
      <c r="D354" s="7">
        <v>7072.16</v>
      </c>
      <c r="E354" s="5">
        <v>2668</v>
      </c>
      <c r="F354" s="5">
        <v>333</v>
      </c>
      <c r="G354" s="12">
        <f>SUM($D$7:D354)</f>
        <v>6312616.4600000018</v>
      </c>
      <c r="H354" s="11">
        <f t="shared" si="5"/>
        <v>0.5918068012567983</v>
      </c>
    </row>
    <row r="355" spans="1:8" ht="15" customHeight="1" x14ac:dyDescent="0.25">
      <c r="A355" s="5">
        <v>349</v>
      </c>
      <c r="B355" s="10" t="s">
        <v>753</v>
      </c>
      <c r="C355" s="10" t="s">
        <v>754</v>
      </c>
      <c r="D355" s="7">
        <v>7062.7</v>
      </c>
      <c r="E355" s="5">
        <v>1790</v>
      </c>
      <c r="F355" s="5">
        <v>396</v>
      </c>
      <c r="G355" s="12">
        <f>SUM($D$7:D355)</f>
        <v>6319679.160000002</v>
      </c>
      <c r="H355" s="11">
        <f t="shared" si="5"/>
        <v>0.59246892827207343</v>
      </c>
    </row>
    <row r="356" spans="1:8" ht="15" customHeight="1" x14ac:dyDescent="0.25">
      <c r="A356" s="5">
        <v>350</v>
      </c>
      <c r="B356" s="10" t="s">
        <v>755</v>
      </c>
      <c r="C356" s="10" t="s">
        <v>756</v>
      </c>
      <c r="D356" s="7">
        <v>7061.73</v>
      </c>
      <c r="E356" s="5">
        <v>5172</v>
      </c>
      <c r="F356" s="5">
        <v>177</v>
      </c>
      <c r="G356" s="12">
        <f>SUM($D$7:D356)</f>
        <v>6326740.8900000025</v>
      </c>
      <c r="H356" s="11">
        <f t="shared" si="5"/>
        <v>0.59313096435000101</v>
      </c>
    </row>
    <row r="357" spans="1:8" ht="15" customHeight="1" x14ac:dyDescent="0.25">
      <c r="A357" s="5">
        <v>351</v>
      </c>
      <c r="B357" s="10" t="s">
        <v>757</v>
      </c>
      <c r="C357" s="10" t="s">
        <v>758</v>
      </c>
      <c r="D357" s="7">
        <v>7053.28</v>
      </c>
      <c r="E357" s="5">
        <v>3420</v>
      </c>
      <c r="F357" s="5">
        <v>450</v>
      </c>
      <c r="G357" s="12">
        <f>SUM($D$7:D357)</f>
        <v>6333794.1700000027</v>
      </c>
      <c r="H357" s="11">
        <f t="shared" si="5"/>
        <v>0.59379220824175627</v>
      </c>
    </row>
    <row r="358" spans="1:8" ht="15" customHeight="1" x14ac:dyDescent="0.25">
      <c r="A358" s="5">
        <v>352</v>
      </c>
      <c r="B358" s="10" t="s">
        <v>759</v>
      </c>
      <c r="C358" s="10" t="s">
        <v>760</v>
      </c>
      <c r="D358" s="7">
        <v>7051</v>
      </c>
      <c r="E358" s="5">
        <v>142</v>
      </c>
      <c r="F358" s="5">
        <v>141</v>
      </c>
      <c r="G358" s="12">
        <f>SUM($D$7:D358)</f>
        <v>6340845.1700000027</v>
      </c>
      <c r="H358" s="11">
        <f t="shared" si="5"/>
        <v>0.59445323838386976</v>
      </c>
    </row>
    <row r="359" spans="1:8" ht="15" customHeight="1" x14ac:dyDescent="0.25">
      <c r="A359" s="5">
        <v>353</v>
      </c>
      <c r="B359" s="10" t="s">
        <v>761</v>
      </c>
      <c r="C359" s="10" t="s">
        <v>762</v>
      </c>
      <c r="D359" s="7">
        <v>7047.24</v>
      </c>
      <c r="E359" s="5">
        <v>4494</v>
      </c>
      <c r="F359" s="5">
        <v>317</v>
      </c>
      <c r="G359" s="12">
        <f>SUM($D$7:D359)</f>
        <v>6347892.4100000029</v>
      </c>
      <c r="H359" s="11">
        <f t="shared" si="5"/>
        <v>0.59511391602657404</v>
      </c>
    </row>
    <row r="360" spans="1:8" ht="15" customHeight="1" x14ac:dyDescent="0.25">
      <c r="A360" s="5">
        <v>354</v>
      </c>
      <c r="B360" s="10" t="s">
        <v>763</v>
      </c>
      <c r="C360" s="10" t="s">
        <v>764</v>
      </c>
      <c r="D360" s="7">
        <v>7047.17</v>
      </c>
      <c r="E360" s="5">
        <v>454</v>
      </c>
      <c r="F360" s="5">
        <v>137</v>
      </c>
      <c r="G360" s="12">
        <f>SUM($D$7:D360)</f>
        <v>6354939.5800000029</v>
      </c>
      <c r="H360" s="11">
        <f t="shared" si="5"/>
        <v>0.59577458710678932</v>
      </c>
    </row>
    <row r="361" spans="1:8" ht="15" customHeight="1" x14ac:dyDescent="0.25">
      <c r="A361" s="5">
        <v>355</v>
      </c>
      <c r="B361" s="10" t="s">
        <v>765</v>
      </c>
      <c r="C361" s="10" t="s">
        <v>766</v>
      </c>
      <c r="D361" s="7">
        <v>7044.64</v>
      </c>
      <c r="E361" s="5">
        <v>3567</v>
      </c>
      <c r="F361" s="5">
        <v>210</v>
      </c>
      <c r="G361" s="12">
        <f>SUM($D$7:D361)</f>
        <v>6361984.2200000025</v>
      </c>
      <c r="H361" s="11">
        <f t="shared" si="5"/>
        <v>0.59643502099990209</v>
      </c>
    </row>
    <row r="362" spans="1:8" ht="15" customHeight="1" x14ac:dyDescent="0.25">
      <c r="A362" s="5">
        <v>356</v>
      </c>
      <c r="B362" s="10" t="s">
        <v>767</v>
      </c>
      <c r="C362" s="10" t="s">
        <v>768</v>
      </c>
      <c r="D362" s="7">
        <v>7011.57</v>
      </c>
      <c r="E362" s="5">
        <v>447</v>
      </c>
      <c r="F362" s="5">
        <v>201</v>
      </c>
      <c r="G362" s="12">
        <f>SUM($D$7:D362)</f>
        <v>6368995.7900000028</v>
      </c>
      <c r="H362" s="11">
        <f t="shared" si="5"/>
        <v>0.59709235458571097</v>
      </c>
    </row>
    <row r="363" spans="1:8" ht="15" customHeight="1" x14ac:dyDescent="0.25">
      <c r="A363" s="5">
        <v>357</v>
      </c>
      <c r="B363" s="10" t="s">
        <v>769</v>
      </c>
      <c r="C363" s="10" t="s">
        <v>770</v>
      </c>
      <c r="D363" s="7">
        <v>7001.99</v>
      </c>
      <c r="E363" s="5">
        <v>8486</v>
      </c>
      <c r="F363" s="5">
        <v>552</v>
      </c>
      <c r="G363" s="12">
        <f>SUM($D$7:D363)</f>
        <v>6375997.7800000031</v>
      </c>
      <c r="H363" s="11">
        <f t="shared" si="5"/>
        <v>0.59774879004802517</v>
      </c>
    </row>
    <row r="364" spans="1:8" ht="15" customHeight="1" x14ac:dyDescent="0.25">
      <c r="A364" s="5">
        <v>358</v>
      </c>
      <c r="B364" s="10" t="s">
        <v>771</v>
      </c>
      <c r="C364" s="10" t="s">
        <v>772</v>
      </c>
      <c r="D364" s="7">
        <v>6977.6</v>
      </c>
      <c r="E364" s="5">
        <v>1068</v>
      </c>
      <c r="F364" s="5">
        <v>265</v>
      </c>
      <c r="G364" s="12">
        <f>SUM($D$7:D364)</f>
        <v>6382975.3800000027</v>
      </c>
      <c r="H364" s="11">
        <f t="shared" si="5"/>
        <v>0.59840293895167151</v>
      </c>
    </row>
    <row r="365" spans="1:8" ht="15" customHeight="1" x14ac:dyDescent="0.25">
      <c r="A365" s="5">
        <v>359</v>
      </c>
      <c r="B365" s="10" t="s">
        <v>773</v>
      </c>
      <c r="C365" s="10" t="s">
        <v>774</v>
      </c>
      <c r="D365" s="7">
        <v>6952.31</v>
      </c>
      <c r="E365" s="5">
        <v>899</v>
      </c>
      <c r="F365" s="5">
        <v>208</v>
      </c>
      <c r="G365" s="12">
        <f>SUM($D$7:D365)</f>
        <v>6389927.6900000023</v>
      </c>
      <c r="H365" s="11">
        <f t="shared" si="5"/>
        <v>0.59905471692179169</v>
      </c>
    </row>
    <row r="366" spans="1:8" ht="15" customHeight="1" x14ac:dyDescent="0.25">
      <c r="A366" s="5">
        <v>360</v>
      </c>
      <c r="B366" s="10" t="s">
        <v>775</v>
      </c>
      <c r="C366" s="10" t="s">
        <v>776</v>
      </c>
      <c r="D366" s="7">
        <v>6942.33</v>
      </c>
      <c r="E366" s="5">
        <v>5418</v>
      </c>
      <c r="F366" s="5">
        <v>349</v>
      </c>
      <c r="G366" s="12">
        <f>SUM($D$7:D366)</f>
        <v>6396870.0200000023</v>
      </c>
      <c r="H366" s="11">
        <f t="shared" si="5"/>
        <v>0.5997055592684799</v>
      </c>
    </row>
    <row r="367" spans="1:8" ht="15" customHeight="1" x14ac:dyDescent="0.25">
      <c r="A367" s="5">
        <v>361</v>
      </c>
      <c r="B367" s="10" t="s">
        <v>777</v>
      </c>
      <c r="C367" s="10" t="s">
        <v>778</v>
      </c>
      <c r="D367" s="7">
        <v>6939.08</v>
      </c>
      <c r="E367" s="5">
        <v>4156</v>
      </c>
      <c r="F367" s="5">
        <v>449</v>
      </c>
      <c r="G367" s="12">
        <f>SUM($D$7:D367)</f>
        <v>6403809.1000000024</v>
      </c>
      <c r="H367" s="11">
        <f t="shared" si="5"/>
        <v>0.60035609692817871</v>
      </c>
    </row>
    <row r="368" spans="1:8" ht="15" customHeight="1" x14ac:dyDescent="0.25">
      <c r="A368" s="5">
        <v>362</v>
      </c>
      <c r="B368" s="10" t="s">
        <v>779</v>
      </c>
      <c r="C368" s="10" t="s">
        <v>780</v>
      </c>
      <c r="D368" s="7">
        <v>6933.26</v>
      </c>
      <c r="E368" s="5">
        <v>8758</v>
      </c>
      <c r="F368" s="5">
        <v>527</v>
      </c>
      <c r="G368" s="12">
        <f>SUM($D$7:D368)</f>
        <v>6410742.3600000022</v>
      </c>
      <c r="H368" s="11">
        <f t="shared" si="5"/>
        <v>0.60100608896379204</v>
      </c>
    </row>
    <row r="369" spans="1:8" ht="15" customHeight="1" x14ac:dyDescent="0.25">
      <c r="A369" s="5">
        <v>363</v>
      </c>
      <c r="B369" s="10" t="s">
        <v>781</v>
      </c>
      <c r="C369" s="10" t="s">
        <v>782</v>
      </c>
      <c r="D369" s="7">
        <v>6928.65</v>
      </c>
      <c r="E369" s="5">
        <v>1642</v>
      </c>
      <c r="F369" s="5">
        <v>296</v>
      </c>
      <c r="G369" s="12">
        <f>SUM($D$7:D369)</f>
        <v>6417671.0100000026</v>
      </c>
      <c r="H369" s="11">
        <f t="shared" si="5"/>
        <v>0.60165564881262978</v>
      </c>
    </row>
    <row r="370" spans="1:8" ht="15" customHeight="1" x14ac:dyDescent="0.25">
      <c r="A370" s="5">
        <v>364</v>
      </c>
      <c r="B370" s="10" t="s">
        <v>783</v>
      </c>
      <c r="C370" s="10" t="s">
        <v>784</v>
      </c>
      <c r="D370" s="7">
        <v>6927.64</v>
      </c>
      <c r="E370" s="5">
        <v>916</v>
      </c>
      <c r="F370" s="5">
        <v>271</v>
      </c>
      <c r="G370" s="12">
        <f>SUM($D$7:D370)</f>
        <v>6424598.6500000022</v>
      </c>
      <c r="H370" s="11">
        <f t="shared" si="5"/>
        <v>0.60230511397412612</v>
      </c>
    </row>
    <row r="371" spans="1:8" ht="15" customHeight="1" x14ac:dyDescent="0.25">
      <c r="A371" s="5">
        <v>365</v>
      </c>
      <c r="B371" s="10" t="s">
        <v>785</v>
      </c>
      <c r="C371" s="10" t="s">
        <v>786</v>
      </c>
      <c r="D371" s="7">
        <v>6909.37</v>
      </c>
      <c r="E371" s="5">
        <v>689</v>
      </c>
      <c r="F371" s="5">
        <v>261</v>
      </c>
      <c r="G371" s="12">
        <f>SUM($D$7:D371)</f>
        <v>6431508.0200000023</v>
      </c>
      <c r="H371" s="11">
        <f t="shared" si="5"/>
        <v>0.60295286632599321</v>
      </c>
    </row>
    <row r="372" spans="1:8" ht="15" customHeight="1" x14ac:dyDescent="0.25">
      <c r="A372" s="5">
        <v>366</v>
      </c>
      <c r="B372" s="10" t="s">
        <v>787</v>
      </c>
      <c r="C372" s="10" t="s">
        <v>788</v>
      </c>
      <c r="D372" s="7">
        <v>6901.33</v>
      </c>
      <c r="E372" s="5">
        <v>5534</v>
      </c>
      <c r="F372" s="5">
        <v>299</v>
      </c>
      <c r="G372" s="12">
        <f>SUM($D$7:D372)</f>
        <v>6438409.3500000024</v>
      </c>
      <c r="H372" s="11">
        <f t="shared" si="5"/>
        <v>0.60359986492912354</v>
      </c>
    </row>
    <row r="373" spans="1:8" ht="15" customHeight="1" x14ac:dyDescent="0.25">
      <c r="A373" s="5">
        <v>367</v>
      </c>
      <c r="B373" s="10" t="s">
        <v>789</v>
      </c>
      <c r="C373" s="10" t="s">
        <v>790</v>
      </c>
      <c r="D373" s="7">
        <v>6890.47</v>
      </c>
      <c r="E373" s="5">
        <v>10583</v>
      </c>
      <c r="F373" s="5">
        <v>340</v>
      </c>
      <c r="G373" s="12">
        <f>SUM($D$7:D373)</f>
        <v>6445299.8200000022</v>
      </c>
      <c r="H373" s="11">
        <f t="shared" si="5"/>
        <v>0.6042458454089602</v>
      </c>
    </row>
    <row r="374" spans="1:8" ht="15" customHeight="1" x14ac:dyDescent="0.25">
      <c r="A374" s="5">
        <v>368</v>
      </c>
      <c r="B374" s="10" t="s">
        <v>654</v>
      </c>
      <c r="C374" s="10" t="s">
        <v>791</v>
      </c>
      <c r="D374" s="7">
        <v>6875.88</v>
      </c>
      <c r="E374" s="5">
        <v>2130</v>
      </c>
      <c r="F374" s="5">
        <v>264</v>
      </c>
      <c r="G374" s="12">
        <f>SUM($D$7:D374)</f>
        <v>6452175.700000002</v>
      </c>
      <c r="H374" s="11">
        <f t="shared" si="5"/>
        <v>0.60489045807858943</v>
      </c>
    </row>
    <row r="375" spans="1:8" ht="15" customHeight="1" x14ac:dyDescent="0.25">
      <c r="A375" s="5">
        <v>369</v>
      </c>
      <c r="B375" s="10" t="s">
        <v>792</v>
      </c>
      <c r="C375" s="10" t="s">
        <v>793</v>
      </c>
      <c r="D375" s="7">
        <v>6864.42</v>
      </c>
      <c r="E375" s="5">
        <v>1728</v>
      </c>
      <c r="F375" s="5">
        <v>186</v>
      </c>
      <c r="G375" s="12">
        <f>SUM($D$7:D375)</f>
        <v>6459040.120000002</v>
      </c>
      <c r="H375" s="11">
        <f t="shared" si="5"/>
        <v>0.60553399637501926</v>
      </c>
    </row>
    <row r="376" spans="1:8" ht="15" customHeight="1" x14ac:dyDescent="0.25">
      <c r="A376" s="5">
        <v>370</v>
      </c>
      <c r="B376" s="10" t="s">
        <v>794</v>
      </c>
      <c r="C376" s="10" t="s">
        <v>795</v>
      </c>
      <c r="D376" s="7">
        <v>6860.09</v>
      </c>
      <c r="E376" s="5">
        <v>1313</v>
      </c>
      <c r="F376" s="5">
        <v>246</v>
      </c>
      <c r="G376" s="12">
        <f>SUM($D$7:D376)</f>
        <v>6465900.2100000018</v>
      </c>
      <c r="H376" s="11">
        <f t="shared" si="5"/>
        <v>0.60617712873462937</v>
      </c>
    </row>
    <row r="377" spans="1:8" ht="15" customHeight="1" x14ac:dyDescent="0.25">
      <c r="A377" s="5">
        <v>371</v>
      </c>
      <c r="B377" s="10" t="s">
        <v>796</v>
      </c>
      <c r="C377" s="10" t="s">
        <v>797</v>
      </c>
      <c r="D377" s="7">
        <v>6827.98</v>
      </c>
      <c r="E377" s="5">
        <v>7114</v>
      </c>
      <c r="F377" s="5">
        <v>205</v>
      </c>
      <c r="G377" s="12">
        <f>SUM($D$7:D377)</f>
        <v>6472728.1900000023</v>
      </c>
      <c r="H377" s="11">
        <f t="shared" si="5"/>
        <v>0.60681725078678483</v>
      </c>
    </row>
    <row r="378" spans="1:8" ht="15" customHeight="1" x14ac:dyDescent="0.25">
      <c r="A378" s="5">
        <v>372</v>
      </c>
      <c r="B378" s="10" t="s">
        <v>798</v>
      </c>
      <c r="C378" s="10" t="s">
        <v>799</v>
      </c>
      <c r="D378" s="7">
        <v>6815.9</v>
      </c>
      <c r="E378" s="5">
        <v>5022</v>
      </c>
      <c r="F378" s="5">
        <v>409</v>
      </c>
      <c r="G378" s="12">
        <f>SUM($D$7:D378)</f>
        <v>6479544.0900000026</v>
      </c>
      <c r="H378" s="11">
        <f t="shared" si="5"/>
        <v>0.60745624034083834</v>
      </c>
    </row>
    <row r="379" spans="1:8" ht="15" customHeight="1" x14ac:dyDescent="0.25">
      <c r="A379" s="5">
        <v>373</v>
      </c>
      <c r="B379" s="10" t="s">
        <v>800</v>
      </c>
      <c r="C379" s="10" t="s">
        <v>801</v>
      </c>
      <c r="D379" s="7">
        <v>6792.23</v>
      </c>
      <c r="E379" s="5">
        <v>4303</v>
      </c>
      <c r="F379" s="5">
        <v>161</v>
      </c>
      <c r="G379" s="12">
        <f>SUM($D$7:D379)</f>
        <v>6486336.3200000031</v>
      </c>
      <c r="H379" s="11">
        <f t="shared" si="5"/>
        <v>0.60809301083611111</v>
      </c>
    </row>
    <row r="380" spans="1:8" ht="15" customHeight="1" x14ac:dyDescent="0.25">
      <c r="A380" s="5">
        <v>374</v>
      </c>
      <c r="B380" s="10" t="s">
        <v>802</v>
      </c>
      <c r="C380" s="10" t="s">
        <v>803</v>
      </c>
      <c r="D380" s="7">
        <v>6789.46</v>
      </c>
      <c r="E380" s="5">
        <v>4894</v>
      </c>
      <c r="F380" s="5">
        <v>483</v>
      </c>
      <c r="G380" s="12">
        <f>SUM($D$7:D380)</f>
        <v>6493125.7800000031</v>
      </c>
      <c r="H380" s="11">
        <f t="shared" si="5"/>
        <v>0.60872952164431893</v>
      </c>
    </row>
    <row r="381" spans="1:8" ht="15" customHeight="1" x14ac:dyDescent="0.25">
      <c r="A381" s="5">
        <v>375</v>
      </c>
      <c r="B381" s="10" t="s">
        <v>804</v>
      </c>
      <c r="C381" s="10" t="s">
        <v>805</v>
      </c>
      <c r="D381" s="7">
        <v>6785.17</v>
      </c>
      <c r="E381" s="5">
        <v>1361</v>
      </c>
      <c r="F381" s="5">
        <v>209</v>
      </c>
      <c r="G381" s="12">
        <f>SUM($D$7:D381)</f>
        <v>6499910.950000003</v>
      </c>
      <c r="H381" s="11">
        <f t="shared" si="5"/>
        <v>0.6093656302657009</v>
      </c>
    </row>
    <row r="382" spans="1:8" ht="15" customHeight="1" x14ac:dyDescent="0.25">
      <c r="A382" s="5">
        <v>376</v>
      </c>
      <c r="B382" s="10" t="s">
        <v>806</v>
      </c>
      <c r="C382" s="10" t="s">
        <v>807</v>
      </c>
      <c r="D382" s="7">
        <v>6782.76</v>
      </c>
      <c r="E382" s="5">
        <v>1674</v>
      </c>
      <c r="F382" s="5">
        <v>291</v>
      </c>
      <c r="G382" s="12">
        <f>SUM($D$7:D382)</f>
        <v>6506693.7100000028</v>
      </c>
      <c r="H382" s="11">
        <f t="shared" si="5"/>
        <v>0.61000151294996152</v>
      </c>
    </row>
    <row r="383" spans="1:8" ht="15" customHeight="1" x14ac:dyDescent="0.25">
      <c r="A383" s="5">
        <v>377</v>
      </c>
      <c r="B383" s="10" t="s">
        <v>808</v>
      </c>
      <c r="C383" s="10" t="s">
        <v>809</v>
      </c>
      <c r="D383" s="7">
        <v>6762.71</v>
      </c>
      <c r="E383" s="5">
        <v>864</v>
      </c>
      <c r="F383" s="5">
        <v>150</v>
      </c>
      <c r="G383" s="12">
        <f>SUM($D$7:D383)</f>
        <v>6513456.4200000027</v>
      </c>
      <c r="H383" s="11">
        <f t="shared" si="5"/>
        <v>0.61063551594987242</v>
      </c>
    </row>
    <row r="384" spans="1:8" ht="15" customHeight="1" x14ac:dyDescent="0.25">
      <c r="A384" s="5">
        <v>378</v>
      </c>
      <c r="B384" s="10" t="s">
        <v>810</v>
      </c>
      <c r="C384" s="10" t="s">
        <v>811</v>
      </c>
      <c r="D384" s="7">
        <v>6753.51</v>
      </c>
      <c r="E384" s="5">
        <v>435</v>
      </c>
      <c r="F384" s="5">
        <v>133</v>
      </c>
      <c r="G384" s="12">
        <f>SUM($D$7:D384)</f>
        <v>6520209.9300000025</v>
      </c>
      <c r="H384" s="11">
        <f t="shared" si="5"/>
        <v>0.61126865645122896</v>
      </c>
    </row>
    <row r="385" spans="1:8" ht="15" customHeight="1" x14ac:dyDescent="0.25">
      <c r="A385" s="5">
        <v>379</v>
      </c>
      <c r="B385" s="10" t="s">
        <v>812</v>
      </c>
      <c r="C385" s="10" t="s">
        <v>813</v>
      </c>
      <c r="D385" s="7">
        <v>6726.64</v>
      </c>
      <c r="E385" s="5">
        <v>1800</v>
      </c>
      <c r="F385" s="5">
        <v>215</v>
      </c>
      <c r="G385" s="12">
        <f>SUM($D$7:D385)</f>
        <v>6526936.5700000022</v>
      </c>
      <c r="H385" s="11">
        <f t="shared" si="5"/>
        <v>0.61189927789430731</v>
      </c>
    </row>
    <row r="386" spans="1:8" ht="15" customHeight="1" x14ac:dyDescent="0.25">
      <c r="A386" s="5">
        <v>380</v>
      </c>
      <c r="B386" s="10" t="s">
        <v>814</v>
      </c>
      <c r="C386" s="10" t="s">
        <v>815</v>
      </c>
      <c r="D386" s="7">
        <v>6715.93</v>
      </c>
      <c r="E386" s="5">
        <v>2206</v>
      </c>
      <c r="F386" s="5">
        <v>309</v>
      </c>
      <c r="G386" s="12">
        <f>SUM($D$7:D386)</f>
        <v>6533652.5000000019</v>
      </c>
      <c r="H386" s="11">
        <f t="shared" si="5"/>
        <v>0.61252889527656862</v>
      </c>
    </row>
    <row r="387" spans="1:8" ht="15" customHeight="1" x14ac:dyDescent="0.25">
      <c r="A387" s="5">
        <v>381</v>
      </c>
      <c r="B387" s="10" t="s">
        <v>816</v>
      </c>
      <c r="C387" s="10" t="s">
        <v>817</v>
      </c>
      <c r="D387" s="7">
        <v>6710.42</v>
      </c>
      <c r="E387" s="5">
        <v>2190</v>
      </c>
      <c r="F387" s="5">
        <v>345</v>
      </c>
      <c r="G387" s="12">
        <f>SUM($D$7:D387)</f>
        <v>6540362.9200000018</v>
      </c>
      <c r="H387" s="11">
        <f t="shared" si="5"/>
        <v>0.61315799609719557</v>
      </c>
    </row>
    <row r="388" spans="1:8" ht="15" customHeight="1" x14ac:dyDescent="0.25">
      <c r="A388" s="5">
        <v>382</v>
      </c>
      <c r="B388" s="10" t="s">
        <v>818</v>
      </c>
      <c r="C388" s="10" t="s">
        <v>819</v>
      </c>
      <c r="D388" s="7">
        <v>6701.22</v>
      </c>
      <c r="E388" s="5">
        <v>1361</v>
      </c>
      <c r="F388" s="5">
        <v>339</v>
      </c>
      <c r="G388" s="12">
        <f>SUM($D$7:D388)</f>
        <v>6547064.1400000015</v>
      </c>
      <c r="H388" s="11">
        <f t="shared" si="5"/>
        <v>0.61378623441926816</v>
      </c>
    </row>
    <row r="389" spans="1:8" ht="15" customHeight="1" x14ac:dyDescent="0.25">
      <c r="A389" s="5">
        <v>383</v>
      </c>
      <c r="B389" s="10" t="s">
        <v>820</v>
      </c>
      <c r="C389" s="10" t="s">
        <v>821</v>
      </c>
      <c r="D389" s="7">
        <v>6684.67</v>
      </c>
      <c r="E389" s="5">
        <v>1164</v>
      </c>
      <c r="F389" s="5">
        <v>278</v>
      </c>
      <c r="G389" s="12">
        <f>SUM($D$7:D389)</f>
        <v>6553748.8100000015</v>
      </c>
      <c r="H389" s="11">
        <f t="shared" si="5"/>
        <v>0.61441292118144109</v>
      </c>
    </row>
    <row r="390" spans="1:8" ht="15" customHeight="1" x14ac:dyDescent="0.25">
      <c r="A390" s="5">
        <v>384</v>
      </c>
      <c r="B390" s="10" t="s">
        <v>822</v>
      </c>
      <c r="C390" s="10" t="s">
        <v>823</v>
      </c>
      <c r="D390" s="7">
        <v>6681.21</v>
      </c>
      <c r="E390" s="5">
        <v>5454</v>
      </c>
      <c r="F390" s="5">
        <v>357</v>
      </c>
      <c r="G390" s="12">
        <f>SUM($D$7:D390)</f>
        <v>6560430.0200000014</v>
      </c>
      <c r="H390" s="11">
        <f t="shared" si="5"/>
        <v>0.61503928356915782</v>
      </c>
    </row>
    <row r="391" spans="1:8" ht="15" customHeight="1" x14ac:dyDescent="0.25">
      <c r="A391" s="5">
        <v>385</v>
      </c>
      <c r="B391" s="10" t="s">
        <v>824</v>
      </c>
      <c r="C391" s="10" t="s">
        <v>825</v>
      </c>
      <c r="D391" s="7">
        <v>6672.7</v>
      </c>
      <c r="E391" s="5">
        <v>4312</v>
      </c>
      <c r="F391" s="5">
        <v>510</v>
      </c>
      <c r="G391" s="12">
        <f>SUM($D$7:D391)</f>
        <v>6567102.7200000016</v>
      </c>
      <c r="H391" s="11">
        <f t="shared" ref="H391:H454" si="6">G391/SUM($D$7:$D$4167)</f>
        <v>0.61566484814571154</v>
      </c>
    </row>
    <row r="392" spans="1:8" ht="15" customHeight="1" x14ac:dyDescent="0.25">
      <c r="A392" s="5">
        <v>386</v>
      </c>
      <c r="B392" s="10" t="s">
        <v>826</v>
      </c>
      <c r="C392" s="10" t="s">
        <v>827</v>
      </c>
      <c r="D392" s="7">
        <v>6667.04</v>
      </c>
      <c r="E392" s="5">
        <v>1690</v>
      </c>
      <c r="F392" s="5">
        <v>378</v>
      </c>
      <c r="G392" s="12">
        <f>SUM($D$7:D392)</f>
        <v>6573769.7600000016</v>
      </c>
      <c r="H392" s="11">
        <f t="shared" si="6"/>
        <v>0.61628988209815461</v>
      </c>
    </row>
    <row r="393" spans="1:8" ht="15" customHeight="1" x14ac:dyDescent="0.25">
      <c r="A393" s="5">
        <v>387</v>
      </c>
      <c r="B393" s="10" t="s">
        <v>828</v>
      </c>
      <c r="C393" s="10" t="s">
        <v>829</v>
      </c>
      <c r="D393" s="7">
        <v>6613.04</v>
      </c>
      <c r="E393" s="5">
        <v>4776</v>
      </c>
      <c r="F393" s="5">
        <v>575</v>
      </c>
      <c r="G393" s="12">
        <f>SUM($D$7:D393)</f>
        <v>6580382.8000000017</v>
      </c>
      <c r="H393" s="11">
        <f t="shared" si="6"/>
        <v>0.61690985355908246</v>
      </c>
    </row>
    <row r="394" spans="1:8" ht="15" customHeight="1" x14ac:dyDescent="0.25">
      <c r="A394" s="5">
        <v>388</v>
      </c>
      <c r="B394" s="10" t="s">
        <v>830</v>
      </c>
      <c r="C394" s="10" t="s">
        <v>831</v>
      </c>
      <c r="D394" s="7">
        <v>6555.33</v>
      </c>
      <c r="E394" s="5">
        <v>13360</v>
      </c>
      <c r="F394" s="5">
        <v>615</v>
      </c>
      <c r="G394" s="12">
        <f>SUM($D$7:D394)</f>
        <v>6586938.1300000018</v>
      </c>
      <c r="H394" s="11">
        <f t="shared" si="6"/>
        <v>0.61752441471657804</v>
      </c>
    </row>
    <row r="395" spans="1:8" ht="15" customHeight="1" x14ac:dyDescent="0.25">
      <c r="A395" s="5">
        <v>389</v>
      </c>
      <c r="B395" s="10" t="s">
        <v>832</v>
      </c>
      <c r="C395" s="10" t="s">
        <v>833</v>
      </c>
      <c r="D395" s="7">
        <v>6550.17</v>
      </c>
      <c r="E395" s="5">
        <v>1815</v>
      </c>
      <c r="F395" s="5">
        <v>252</v>
      </c>
      <c r="G395" s="12">
        <f>SUM($D$7:D395)</f>
        <v>6593488.3000000017</v>
      </c>
      <c r="H395" s="11">
        <f t="shared" si="6"/>
        <v>0.61813849212488425</v>
      </c>
    </row>
    <row r="396" spans="1:8" ht="15" customHeight="1" x14ac:dyDescent="0.25">
      <c r="A396" s="5">
        <v>390</v>
      </c>
      <c r="B396" s="10" t="s">
        <v>834</v>
      </c>
      <c r="C396" s="10" t="s">
        <v>835</v>
      </c>
      <c r="D396" s="7">
        <v>6544.63</v>
      </c>
      <c r="E396" s="5">
        <v>1599</v>
      </c>
      <c r="F396" s="5">
        <v>296</v>
      </c>
      <c r="G396" s="12">
        <f>SUM($D$7:D396)</f>
        <v>6600032.9300000016</v>
      </c>
      <c r="H396" s="11">
        <f t="shared" si="6"/>
        <v>0.61875205015906098</v>
      </c>
    </row>
    <row r="397" spans="1:8" ht="15" customHeight="1" x14ac:dyDescent="0.25">
      <c r="A397" s="5">
        <v>391</v>
      </c>
      <c r="B397" s="10" t="s">
        <v>416</v>
      </c>
      <c r="C397" s="10" t="s">
        <v>836</v>
      </c>
      <c r="D397" s="7">
        <v>6529.54</v>
      </c>
      <c r="E397" s="5">
        <v>742</v>
      </c>
      <c r="F397" s="5">
        <v>202</v>
      </c>
      <c r="G397" s="12">
        <f>SUM($D$7:D397)</f>
        <v>6606562.4700000016</v>
      </c>
      <c r="H397" s="11">
        <f t="shared" si="6"/>
        <v>0.61936419350810867</v>
      </c>
    </row>
    <row r="398" spans="1:8" ht="15" customHeight="1" x14ac:dyDescent="0.25">
      <c r="A398" s="5">
        <v>392</v>
      </c>
      <c r="B398" s="10" t="s">
        <v>837</v>
      </c>
      <c r="C398" s="10" t="s">
        <v>838</v>
      </c>
      <c r="D398" s="7">
        <v>6496.04</v>
      </c>
      <c r="E398" s="5">
        <v>5331</v>
      </c>
      <c r="F398" s="5">
        <v>344</v>
      </c>
      <c r="G398" s="12">
        <f>SUM($D$7:D398)</f>
        <v>6613058.5100000016</v>
      </c>
      <c r="H398" s="11">
        <f t="shared" si="6"/>
        <v>0.61997319623742009</v>
      </c>
    </row>
    <row r="399" spans="1:8" ht="15" customHeight="1" x14ac:dyDescent="0.25">
      <c r="A399" s="5">
        <v>393</v>
      </c>
      <c r="B399" s="10" t="s">
        <v>839</v>
      </c>
      <c r="C399" s="10" t="s">
        <v>840</v>
      </c>
      <c r="D399" s="7">
        <v>6488.2</v>
      </c>
      <c r="E399" s="5">
        <v>2390</v>
      </c>
      <c r="F399" s="5">
        <v>344</v>
      </c>
      <c r="G399" s="12">
        <f>SUM($D$7:D399)</f>
        <v>6619546.7100000018</v>
      </c>
      <c r="H399" s="11">
        <f t="shared" si="6"/>
        <v>0.62058146396796343</v>
      </c>
    </row>
    <row r="400" spans="1:8" ht="15" customHeight="1" x14ac:dyDescent="0.25">
      <c r="A400" s="5">
        <v>394</v>
      </c>
      <c r="B400" s="10" t="s">
        <v>244</v>
      </c>
      <c r="C400" s="10" t="s">
        <v>841</v>
      </c>
      <c r="D400" s="7">
        <v>6478.01</v>
      </c>
      <c r="E400" s="5">
        <v>4558</v>
      </c>
      <c r="F400" s="5">
        <v>216</v>
      </c>
      <c r="G400" s="12">
        <f>SUM($D$7:D400)</f>
        <v>6626024.7200000016</v>
      </c>
      <c r="H400" s="11">
        <f t="shared" si="6"/>
        <v>0.62118877638760783</v>
      </c>
    </row>
    <row r="401" spans="1:8" ht="15" customHeight="1" x14ac:dyDescent="0.25">
      <c r="A401" s="5">
        <v>395</v>
      </c>
      <c r="B401" s="10" t="s">
        <v>842</v>
      </c>
      <c r="C401" s="10" t="s">
        <v>843</v>
      </c>
      <c r="D401" s="7">
        <v>6474.29</v>
      </c>
      <c r="E401" s="5">
        <v>2796</v>
      </c>
      <c r="F401" s="5">
        <v>457</v>
      </c>
      <c r="G401" s="12">
        <f>SUM($D$7:D401)</f>
        <v>6632499.0100000016</v>
      </c>
      <c r="H401" s="11">
        <f t="shared" si="6"/>
        <v>0.62179574005783667</v>
      </c>
    </row>
    <row r="402" spans="1:8" ht="15" customHeight="1" x14ac:dyDescent="0.25">
      <c r="A402" s="5">
        <v>396</v>
      </c>
      <c r="B402" s="10" t="s">
        <v>844</v>
      </c>
      <c r="C402" s="10" t="s">
        <v>845</v>
      </c>
      <c r="D402" s="7">
        <v>6472.36</v>
      </c>
      <c r="E402" s="5">
        <v>3828</v>
      </c>
      <c r="F402" s="5">
        <v>356</v>
      </c>
      <c r="G402" s="12">
        <f>SUM($D$7:D402)</f>
        <v>6638971.370000002</v>
      </c>
      <c r="H402" s="11">
        <f t="shared" si="6"/>
        <v>0.62240252279086883</v>
      </c>
    </row>
    <row r="403" spans="1:8" ht="15" customHeight="1" x14ac:dyDescent="0.25">
      <c r="A403" s="5">
        <v>397</v>
      </c>
      <c r="B403" s="10" t="s">
        <v>846</v>
      </c>
      <c r="C403" s="10" t="s">
        <v>847</v>
      </c>
      <c r="D403" s="7">
        <v>6471.24</v>
      </c>
      <c r="E403" s="5">
        <v>2262</v>
      </c>
      <c r="F403" s="5">
        <v>398</v>
      </c>
      <c r="G403" s="12">
        <f>SUM($D$7:D403)</f>
        <v>6645442.6100000022</v>
      </c>
      <c r="H403" s="11">
        <f t="shared" si="6"/>
        <v>0.62300920052407693</v>
      </c>
    </row>
    <row r="404" spans="1:8" ht="15" customHeight="1" x14ac:dyDescent="0.25">
      <c r="A404" s="5">
        <v>398</v>
      </c>
      <c r="B404" s="10" t="s">
        <v>848</v>
      </c>
      <c r="C404" s="10" t="s">
        <v>849</v>
      </c>
      <c r="D404" s="7">
        <v>6457.15</v>
      </c>
      <c r="E404" s="5">
        <v>569</v>
      </c>
      <c r="F404" s="5">
        <v>68</v>
      </c>
      <c r="G404" s="12">
        <f>SUM($D$7:D404)</f>
        <v>6651899.7600000026</v>
      </c>
      <c r="H404" s="11">
        <f t="shared" si="6"/>
        <v>0.623614557321999</v>
      </c>
    </row>
    <row r="405" spans="1:8" ht="15" customHeight="1" x14ac:dyDescent="0.25">
      <c r="A405" s="5">
        <v>399</v>
      </c>
      <c r="B405" s="10" t="s">
        <v>850</v>
      </c>
      <c r="C405" s="10" t="s">
        <v>851</v>
      </c>
      <c r="D405" s="7">
        <v>6452.94</v>
      </c>
      <c r="E405" s="5">
        <v>1506</v>
      </c>
      <c r="F405" s="5">
        <v>334</v>
      </c>
      <c r="G405" s="12">
        <f>SUM($D$7:D405)</f>
        <v>6658352.700000003</v>
      </c>
      <c r="H405" s="11">
        <f t="shared" si="6"/>
        <v>0.62421951943308251</v>
      </c>
    </row>
    <row r="406" spans="1:8" ht="15" customHeight="1" x14ac:dyDescent="0.25">
      <c r="A406" s="5">
        <v>400</v>
      </c>
      <c r="B406" s="10" t="s">
        <v>852</v>
      </c>
      <c r="C406" s="10" t="s">
        <v>853</v>
      </c>
      <c r="D406" s="7">
        <v>6441.06</v>
      </c>
      <c r="E406" s="5">
        <v>5076</v>
      </c>
      <c r="F406" s="5">
        <v>448</v>
      </c>
      <c r="G406" s="12">
        <f>SUM($D$7:D406)</f>
        <v>6664793.7600000026</v>
      </c>
      <c r="H406" s="11">
        <f t="shared" si="6"/>
        <v>0.62482336779603265</v>
      </c>
    </row>
    <row r="407" spans="1:8" ht="15" customHeight="1" x14ac:dyDescent="0.25">
      <c r="A407" s="5">
        <v>401</v>
      </c>
      <c r="B407" s="10" t="s">
        <v>854</v>
      </c>
      <c r="C407" s="10" t="s">
        <v>855</v>
      </c>
      <c r="D407" s="7">
        <v>6436.61</v>
      </c>
      <c r="E407" s="5">
        <v>2859</v>
      </c>
      <c r="F407" s="5">
        <v>257</v>
      </c>
      <c r="G407" s="12">
        <f>SUM($D$7:D407)</f>
        <v>6671230.3700000029</v>
      </c>
      <c r="H407" s="11">
        <f t="shared" si="6"/>
        <v>0.62542679897218201</v>
      </c>
    </row>
    <row r="408" spans="1:8" ht="15" customHeight="1" x14ac:dyDescent="0.25">
      <c r="A408" s="5">
        <v>402</v>
      </c>
      <c r="B408" s="10" t="s">
        <v>856</v>
      </c>
      <c r="C408" s="10" t="s">
        <v>857</v>
      </c>
      <c r="D408" s="7">
        <v>6431.11</v>
      </c>
      <c r="E408" s="5">
        <v>1065</v>
      </c>
      <c r="F408" s="5">
        <v>38</v>
      </c>
      <c r="G408" s="12">
        <f>SUM($D$7:D408)</f>
        <v>6677661.4800000032</v>
      </c>
      <c r="H408" s="11">
        <f t="shared" si="6"/>
        <v>0.62602971452419565</v>
      </c>
    </row>
    <row r="409" spans="1:8" ht="15" customHeight="1" x14ac:dyDescent="0.25">
      <c r="A409" s="5">
        <v>403</v>
      </c>
      <c r="B409" s="10" t="s">
        <v>858</v>
      </c>
      <c r="C409" s="10" t="s">
        <v>859</v>
      </c>
      <c r="D409" s="7">
        <v>6422.28</v>
      </c>
      <c r="E409" s="5">
        <v>682</v>
      </c>
      <c r="F409" s="5">
        <v>194</v>
      </c>
      <c r="G409" s="12">
        <f>SUM($D$7:D409)</f>
        <v>6684083.7600000035</v>
      </c>
      <c r="H409" s="11">
        <f t="shared" si="6"/>
        <v>0.62663180226509663</v>
      </c>
    </row>
    <row r="410" spans="1:8" ht="15" customHeight="1" x14ac:dyDescent="0.25">
      <c r="A410" s="5">
        <v>404</v>
      </c>
      <c r="B410" s="10" t="s">
        <v>860</v>
      </c>
      <c r="C410" s="10" t="s">
        <v>861</v>
      </c>
      <c r="D410" s="7">
        <v>6412.77</v>
      </c>
      <c r="E410" s="5">
        <v>6065</v>
      </c>
      <c r="F410" s="5">
        <v>457</v>
      </c>
      <c r="G410" s="12">
        <f>SUM($D$7:D410)</f>
        <v>6690496.5300000031</v>
      </c>
      <c r="H410" s="11">
        <f t="shared" si="6"/>
        <v>0.6272329984449917</v>
      </c>
    </row>
    <row r="411" spans="1:8" ht="15" customHeight="1" x14ac:dyDescent="0.25">
      <c r="A411" s="5">
        <v>405</v>
      </c>
      <c r="B411" s="10" t="s">
        <v>862</v>
      </c>
      <c r="C411" s="10" t="s">
        <v>863</v>
      </c>
      <c r="D411" s="7">
        <v>6405.54</v>
      </c>
      <c r="E411" s="5">
        <v>1281</v>
      </c>
      <c r="F411" s="5">
        <v>299</v>
      </c>
      <c r="G411" s="12">
        <f>SUM($D$7:D411)</f>
        <v>6696902.0700000031</v>
      </c>
      <c r="H411" s="11">
        <f t="shared" si="6"/>
        <v>0.62783351681352295</v>
      </c>
    </row>
    <row r="412" spans="1:8" ht="15" customHeight="1" x14ac:dyDescent="0.25">
      <c r="A412" s="5">
        <v>406</v>
      </c>
      <c r="B412" s="10" t="s">
        <v>864</v>
      </c>
      <c r="C412" s="10" t="s">
        <v>865</v>
      </c>
      <c r="D412" s="7">
        <v>6401.97</v>
      </c>
      <c r="E412" s="5">
        <v>4097</v>
      </c>
      <c r="F412" s="5">
        <v>381</v>
      </c>
      <c r="G412" s="12">
        <f>SUM($D$7:D412)</f>
        <v>6703304.0400000028</v>
      </c>
      <c r="H412" s="11">
        <f t="shared" si="6"/>
        <v>0.62843370049511504</v>
      </c>
    </row>
    <row r="413" spans="1:8" ht="15" customHeight="1" x14ac:dyDescent="0.25">
      <c r="A413" s="5">
        <v>407</v>
      </c>
      <c r="B413" s="10" t="s">
        <v>866</v>
      </c>
      <c r="C413" s="10" t="s">
        <v>867</v>
      </c>
      <c r="D413" s="7">
        <v>6379.59</v>
      </c>
      <c r="E413" s="5">
        <v>12063</v>
      </c>
      <c r="F413" s="5">
        <v>629</v>
      </c>
      <c r="G413" s="12">
        <f>SUM($D$7:D413)</f>
        <v>6709683.6300000027</v>
      </c>
      <c r="H413" s="11">
        <f t="shared" si="6"/>
        <v>0.6290317860552237</v>
      </c>
    </row>
    <row r="414" spans="1:8" ht="15" customHeight="1" x14ac:dyDescent="0.25">
      <c r="A414" s="5">
        <v>408</v>
      </c>
      <c r="B414" s="10" t="s">
        <v>868</v>
      </c>
      <c r="C414" s="10" t="s">
        <v>869</v>
      </c>
      <c r="D414" s="7">
        <v>6360.91</v>
      </c>
      <c r="E414" s="5">
        <v>3871</v>
      </c>
      <c r="F414" s="5">
        <v>305</v>
      </c>
      <c r="G414" s="12">
        <f>SUM($D$7:D414)</f>
        <v>6716044.5400000028</v>
      </c>
      <c r="H414" s="11">
        <f t="shared" si="6"/>
        <v>0.62962812036826732</v>
      </c>
    </row>
    <row r="415" spans="1:8" ht="15" customHeight="1" x14ac:dyDescent="0.25">
      <c r="A415" s="5">
        <v>409</v>
      </c>
      <c r="B415" s="10" t="s">
        <v>870</v>
      </c>
      <c r="C415" s="10" t="s">
        <v>871</v>
      </c>
      <c r="D415" s="7">
        <v>6353.55</v>
      </c>
      <c r="E415" s="5">
        <v>2822</v>
      </c>
      <c r="F415" s="5">
        <v>261</v>
      </c>
      <c r="G415" s="12">
        <f>SUM($D$7:D415)</f>
        <v>6722398.0900000026</v>
      </c>
      <c r="H415" s="11">
        <f t="shared" si="6"/>
        <v>0.63022376468246744</v>
      </c>
    </row>
    <row r="416" spans="1:8" ht="15" customHeight="1" x14ac:dyDescent="0.25">
      <c r="A416" s="5">
        <v>410</v>
      </c>
      <c r="B416" s="10" t="s">
        <v>872</v>
      </c>
      <c r="C416" s="10" t="s">
        <v>873</v>
      </c>
      <c r="D416" s="7">
        <v>6349.95</v>
      </c>
      <c r="E416" s="5">
        <v>2063</v>
      </c>
      <c r="F416" s="5">
        <v>284</v>
      </c>
      <c r="G416" s="12">
        <f>SUM($D$7:D416)</f>
        <v>6728748.0400000028</v>
      </c>
      <c r="H416" s="11">
        <f t="shared" si="6"/>
        <v>0.63081907149723326</v>
      </c>
    </row>
    <row r="417" spans="1:8" ht="15" customHeight="1" x14ac:dyDescent="0.25">
      <c r="A417" s="5">
        <v>411</v>
      </c>
      <c r="B417" s="10" t="s">
        <v>874</v>
      </c>
      <c r="C417" s="10" t="s">
        <v>875</v>
      </c>
      <c r="D417" s="7">
        <v>6332.29</v>
      </c>
      <c r="E417" s="5">
        <v>15150</v>
      </c>
      <c r="F417" s="5">
        <v>332</v>
      </c>
      <c r="G417" s="12">
        <f>SUM($D$7:D417)</f>
        <v>6735080.3300000029</v>
      </c>
      <c r="H417" s="11">
        <f t="shared" si="6"/>
        <v>0.63141272268977389</v>
      </c>
    </row>
    <row r="418" spans="1:8" ht="15" customHeight="1" x14ac:dyDescent="0.25">
      <c r="A418" s="5">
        <v>412</v>
      </c>
      <c r="B418" s="10" t="s">
        <v>876</v>
      </c>
      <c r="C418" s="10" t="s">
        <v>877</v>
      </c>
      <c r="D418" s="7">
        <v>6321.76</v>
      </c>
      <c r="E418" s="5">
        <v>4035</v>
      </c>
      <c r="F418" s="5">
        <v>451</v>
      </c>
      <c r="G418" s="12">
        <f>SUM($D$7:D418)</f>
        <v>6741402.0900000026</v>
      </c>
      <c r="H418" s="11">
        <f t="shared" si="6"/>
        <v>0.632005386696469</v>
      </c>
    </row>
    <row r="419" spans="1:8" ht="15" customHeight="1" x14ac:dyDescent="0.25">
      <c r="A419" s="5">
        <v>413</v>
      </c>
      <c r="B419" s="10" t="s">
        <v>878</v>
      </c>
      <c r="C419" s="10" t="s">
        <v>879</v>
      </c>
      <c r="D419" s="7">
        <v>6316.36</v>
      </c>
      <c r="E419" s="5">
        <v>2168</v>
      </c>
      <c r="F419" s="5">
        <v>290</v>
      </c>
      <c r="G419" s="12">
        <f>SUM($D$7:D419)</f>
        <v>6747718.450000003</v>
      </c>
      <c r="H419" s="11">
        <f t="shared" si="6"/>
        <v>0.63259754445401262</v>
      </c>
    </row>
    <row r="420" spans="1:8" ht="15" customHeight="1" x14ac:dyDescent="0.25">
      <c r="A420" s="5">
        <v>414</v>
      </c>
      <c r="B420" s="10" t="s">
        <v>880</v>
      </c>
      <c r="C420" s="10" t="s">
        <v>881</v>
      </c>
      <c r="D420" s="7">
        <v>6298.61</v>
      </c>
      <c r="E420" s="5">
        <v>3393</v>
      </c>
      <c r="F420" s="5">
        <v>530</v>
      </c>
      <c r="G420" s="12">
        <f>SUM($D$7:D420)</f>
        <v>6754017.0600000033</v>
      </c>
      <c r="H420" s="11">
        <f t="shared" si="6"/>
        <v>0.63318803815184521</v>
      </c>
    </row>
    <row r="421" spans="1:8" ht="15" customHeight="1" x14ac:dyDescent="0.25">
      <c r="A421" s="5">
        <v>415</v>
      </c>
      <c r="B421" s="10" t="s">
        <v>882</v>
      </c>
      <c r="C421" s="10" t="s">
        <v>883</v>
      </c>
      <c r="D421" s="7">
        <v>6210</v>
      </c>
      <c r="E421" s="5">
        <v>58</v>
      </c>
      <c r="F421" s="5">
        <v>41</v>
      </c>
      <c r="G421" s="12">
        <f>SUM($D$7:D421)</f>
        <v>6760227.0600000033</v>
      </c>
      <c r="H421" s="11">
        <f t="shared" si="6"/>
        <v>0.63377022467610056</v>
      </c>
    </row>
    <row r="422" spans="1:8" ht="15" customHeight="1" x14ac:dyDescent="0.25">
      <c r="A422" s="5">
        <v>416</v>
      </c>
      <c r="B422" s="10" t="s">
        <v>884</v>
      </c>
      <c r="C422" s="10" t="s">
        <v>885</v>
      </c>
      <c r="D422" s="7">
        <v>6191.69</v>
      </c>
      <c r="E422" s="5">
        <v>1439</v>
      </c>
      <c r="F422" s="5">
        <v>300</v>
      </c>
      <c r="G422" s="12">
        <f>SUM($D$7:D422)</f>
        <v>6766418.7500000037</v>
      </c>
      <c r="H422" s="11">
        <f t="shared" si="6"/>
        <v>0.6343506946407329</v>
      </c>
    </row>
    <row r="423" spans="1:8" ht="15" customHeight="1" x14ac:dyDescent="0.25">
      <c r="A423" s="5">
        <v>417</v>
      </c>
      <c r="B423" s="10" t="s">
        <v>886</v>
      </c>
      <c r="C423" s="10" t="s">
        <v>887</v>
      </c>
      <c r="D423" s="7">
        <v>6142.29</v>
      </c>
      <c r="E423" s="5">
        <v>3533</v>
      </c>
      <c r="F423" s="5">
        <v>345</v>
      </c>
      <c r="G423" s="12">
        <f>SUM($D$7:D423)</f>
        <v>6772561.0400000038</v>
      </c>
      <c r="H423" s="11">
        <f t="shared" si="6"/>
        <v>0.63492653336312721</v>
      </c>
    </row>
    <row r="424" spans="1:8" ht="15" customHeight="1" x14ac:dyDescent="0.25">
      <c r="A424" s="5">
        <v>418</v>
      </c>
      <c r="B424" s="10" t="s">
        <v>888</v>
      </c>
      <c r="C424" s="10" t="s">
        <v>889</v>
      </c>
      <c r="D424" s="7">
        <v>6141.29</v>
      </c>
      <c r="E424" s="5">
        <v>4370</v>
      </c>
      <c r="F424" s="5">
        <v>374</v>
      </c>
      <c r="G424" s="12">
        <f>SUM($D$7:D424)</f>
        <v>6778702.3300000038</v>
      </c>
      <c r="H424" s="11">
        <f t="shared" si="6"/>
        <v>0.63550227833567863</v>
      </c>
    </row>
    <row r="425" spans="1:8" ht="15" customHeight="1" x14ac:dyDescent="0.25">
      <c r="A425" s="5">
        <v>419</v>
      </c>
      <c r="B425" s="10" t="s">
        <v>890</v>
      </c>
      <c r="C425" s="10" t="s">
        <v>891</v>
      </c>
      <c r="D425" s="7">
        <v>6117.91</v>
      </c>
      <c r="E425" s="5">
        <v>12340</v>
      </c>
      <c r="F425" s="5">
        <v>601</v>
      </c>
      <c r="G425" s="12">
        <f>SUM($D$7:D425)</f>
        <v>6784820.2400000039</v>
      </c>
      <c r="H425" s="11">
        <f t="shared" si="6"/>
        <v>0.63607583143690372</v>
      </c>
    </row>
    <row r="426" spans="1:8" ht="15" customHeight="1" x14ac:dyDescent="0.25">
      <c r="A426" s="5">
        <v>420</v>
      </c>
      <c r="B426" s="10" t="s">
        <v>892</v>
      </c>
      <c r="C426" s="10" t="s">
        <v>893</v>
      </c>
      <c r="D426" s="7">
        <v>6102.18</v>
      </c>
      <c r="E426" s="5">
        <v>813</v>
      </c>
      <c r="F426" s="5">
        <v>258</v>
      </c>
      <c r="G426" s="12">
        <f>SUM($D$7:D426)</f>
        <v>6790922.4200000037</v>
      </c>
      <c r="H426" s="11">
        <f t="shared" si="6"/>
        <v>0.63664790985310027</v>
      </c>
    </row>
    <row r="427" spans="1:8" ht="15" customHeight="1" x14ac:dyDescent="0.25">
      <c r="A427" s="5">
        <v>421</v>
      </c>
      <c r="B427" s="10" t="s">
        <v>894</v>
      </c>
      <c r="C427" s="10" t="s">
        <v>895</v>
      </c>
      <c r="D427" s="7">
        <v>6093.05</v>
      </c>
      <c r="E427" s="5">
        <v>3171</v>
      </c>
      <c r="F427" s="5">
        <v>358</v>
      </c>
      <c r="G427" s="12">
        <f>SUM($D$7:D427)</f>
        <v>6797015.4700000035</v>
      </c>
      <c r="H427" s="11">
        <f t="shared" si="6"/>
        <v>0.63721913233323135</v>
      </c>
    </row>
    <row r="428" spans="1:8" ht="15" customHeight="1" x14ac:dyDescent="0.25">
      <c r="A428" s="5">
        <v>422</v>
      </c>
      <c r="B428" s="10" t="s">
        <v>896</v>
      </c>
      <c r="C428" s="10" t="s">
        <v>897</v>
      </c>
      <c r="D428" s="7">
        <v>6078.54</v>
      </c>
      <c r="E428" s="5">
        <v>4421</v>
      </c>
      <c r="F428" s="5">
        <v>369</v>
      </c>
      <c r="G428" s="12">
        <f>SUM($D$7:D428)</f>
        <v>6803094.0100000035</v>
      </c>
      <c r="H428" s="11">
        <f t="shared" si="6"/>
        <v>0.6377889945031423</v>
      </c>
    </row>
    <row r="429" spans="1:8" ht="15" customHeight="1" x14ac:dyDescent="0.25">
      <c r="A429" s="5">
        <v>423</v>
      </c>
      <c r="B429" s="10" t="s">
        <v>898</v>
      </c>
      <c r="C429" s="10" t="s">
        <v>899</v>
      </c>
      <c r="D429" s="7">
        <v>6071.75</v>
      </c>
      <c r="E429" s="5">
        <v>4395</v>
      </c>
      <c r="F429" s="5">
        <v>365</v>
      </c>
      <c r="G429" s="12">
        <f>SUM($D$7:D429)</f>
        <v>6809165.7600000035</v>
      </c>
      <c r="H429" s="11">
        <f t="shared" si="6"/>
        <v>0.63835822011162024</v>
      </c>
    </row>
    <row r="430" spans="1:8" ht="15" customHeight="1" x14ac:dyDescent="0.25">
      <c r="A430" s="5">
        <v>424</v>
      </c>
      <c r="B430" s="10" t="s">
        <v>900</v>
      </c>
      <c r="C430" s="10" t="s">
        <v>901</v>
      </c>
      <c r="D430" s="7">
        <v>6060.25</v>
      </c>
      <c r="E430" s="5">
        <v>3211</v>
      </c>
      <c r="F430" s="5">
        <v>439</v>
      </c>
      <c r="G430" s="12">
        <f>SUM($D$7:D430)</f>
        <v>6815226.0100000035</v>
      </c>
      <c r="H430" s="11">
        <f t="shared" si="6"/>
        <v>0.63892636759690502</v>
      </c>
    </row>
    <row r="431" spans="1:8" ht="15" customHeight="1" x14ac:dyDescent="0.25">
      <c r="A431" s="5">
        <v>425</v>
      </c>
      <c r="B431" s="10" t="s">
        <v>902</v>
      </c>
      <c r="C431" s="10" t="s">
        <v>903</v>
      </c>
      <c r="D431" s="7">
        <v>6045</v>
      </c>
      <c r="E431" s="5">
        <v>2600</v>
      </c>
      <c r="F431" s="5">
        <v>2</v>
      </c>
      <c r="G431" s="12">
        <f>SUM($D$7:D431)</f>
        <v>6821271.0100000035</v>
      </c>
      <c r="H431" s="11">
        <f t="shared" si="6"/>
        <v>0.63949308539708594</v>
      </c>
    </row>
    <row r="432" spans="1:8" ht="15" customHeight="1" x14ac:dyDescent="0.25">
      <c r="A432" s="5">
        <v>426</v>
      </c>
      <c r="B432" s="10" t="s">
        <v>904</v>
      </c>
      <c r="C432" s="10" t="s">
        <v>905</v>
      </c>
      <c r="D432" s="7">
        <v>6042.15</v>
      </c>
      <c r="E432" s="5">
        <v>870</v>
      </c>
      <c r="F432" s="5">
        <v>219</v>
      </c>
      <c r="G432" s="12">
        <f>SUM($D$7:D432)</f>
        <v>6827313.1600000039</v>
      </c>
      <c r="H432" s="11">
        <f t="shared" si="6"/>
        <v>0.64005953601021481</v>
      </c>
    </row>
    <row r="433" spans="1:8" ht="15" customHeight="1" x14ac:dyDescent="0.25">
      <c r="A433" s="5">
        <v>427</v>
      </c>
      <c r="B433" s="10" t="s">
        <v>906</v>
      </c>
      <c r="C433" s="10" t="s">
        <v>907</v>
      </c>
      <c r="D433" s="7">
        <v>6036.39</v>
      </c>
      <c r="E433" s="5">
        <v>23056</v>
      </c>
      <c r="F433" s="5">
        <v>239</v>
      </c>
      <c r="G433" s="12">
        <f>SUM($D$7:D433)</f>
        <v>6833349.5500000035</v>
      </c>
      <c r="H433" s="11">
        <f t="shared" si="6"/>
        <v>0.64062544662424858</v>
      </c>
    </row>
    <row r="434" spans="1:8" ht="15" customHeight="1" x14ac:dyDescent="0.25">
      <c r="A434" s="5">
        <v>428</v>
      </c>
      <c r="B434" s="10" t="s">
        <v>908</v>
      </c>
      <c r="C434" s="10" t="s">
        <v>909</v>
      </c>
      <c r="D434" s="7">
        <v>6034.9</v>
      </c>
      <c r="E434" s="5">
        <v>800</v>
      </c>
      <c r="F434" s="5">
        <v>220</v>
      </c>
      <c r="G434" s="12">
        <f>SUM($D$7:D434)</f>
        <v>6839384.4500000039</v>
      </c>
      <c r="H434" s="11">
        <f t="shared" si="6"/>
        <v>0.64119121755101649</v>
      </c>
    </row>
    <row r="435" spans="1:8" ht="15" customHeight="1" x14ac:dyDescent="0.25">
      <c r="A435" s="5">
        <v>429</v>
      </c>
      <c r="B435" s="10" t="s">
        <v>910</v>
      </c>
      <c r="C435" s="10" t="s">
        <v>911</v>
      </c>
      <c r="D435" s="7">
        <v>6013.43</v>
      </c>
      <c r="E435" s="5">
        <v>3239</v>
      </c>
      <c r="F435" s="5">
        <v>321</v>
      </c>
      <c r="G435" s="12">
        <f>SUM($D$7:D435)</f>
        <v>6845397.8800000036</v>
      </c>
      <c r="H435" s="11">
        <f t="shared" si="6"/>
        <v>0.64175497566865791</v>
      </c>
    </row>
    <row r="436" spans="1:8" ht="15" customHeight="1" x14ac:dyDescent="0.25">
      <c r="A436" s="5">
        <v>430</v>
      </c>
      <c r="B436" s="10" t="s">
        <v>912</v>
      </c>
      <c r="C436" s="10" t="s">
        <v>913</v>
      </c>
      <c r="D436" s="7">
        <v>6011.51</v>
      </c>
      <c r="E436" s="5">
        <v>2497</v>
      </c>
      <c r="F436" s="5">
        <v>343</v>
      </c>
      <c r="G436" s="12">
        <f>SUM($D$7:D436)</f>
        <v>6851409.3900000034</v>
      </c>
      <c r="H436" s="11">
        <f t="shared" si="6"/>
        <v>0.64231855378660097</v>
      </c>
    </row>
    <row r="437" spans="1:8" ht="15" customHeight="1" x14ac:dyDescent="0.25">
      <c r="A437" s="5">
        <v>431</v>
      </c>
      <c r="B437" s="10" t="s">
        <v>914</v>
      </c>
      <c r="C437" s="10" t="s">
        <v>915</v>
      </c>
      <c r="D437" s="7">
        <v>6009.84</v>
      </c>
      <c r="E437" s="5">
        <v>904</v>
      </c>
      <c r="F437" s="5">
        <v>205</v>
      </c>
      <c r="G437" s="12">
        <f>SUM($D$7:D437)</f>
        <v>6857419.2300000032</v>
      </c>
      <c r="H437" s="11">
        <f t="shared" si="6"/>
        <v>0.6428819753423064</v>
      </c>
    </row>
    <row r="438" spans="1:8" ht="15" customHeight="1" x14ac:dyDescent="0.25">
      <c r="A438" s="5">
        <v>432</v>
      </c>
      <c r="B438" s="10" t="s">
        <v>916</v>
      </c>
      <c r="C438" s="10" t="s">
        <v>917</v>
      </c>
      <c r="D438" s="7">
        <v>5988.05</v>
      </c>
      <c r="E438" s="5">
        <v>4981</v>
      </c>
      <c r="F438" s="5">
        <v>378</v>
      </c>
      <c r="G438" s="12">
        <f>SUM($D$7:D438)</f>
        <v>6863407.2800000031</v>
      </c>
      <c r="H438" s="11">
        <f t="shared" si="6"/>
        <v>0.6434433540889356</v>
      </c>
    </row>
    <row r="439" spans="1:8" ht="15" customHeight="1" x14ac:dyDescent="0.25">
      <c r="A439" s="5">
        <v>433</v>
      </c>
      <c r="B439" s="10" t="s">
        <v>918</v>
      </c>
      <c r="C439" s="10" t="s">
        <v>919</v>
      </c>
      <c r="D439" s="7">
        <v>5983.9</v>
      </c>
      <c r="E439" s="5">
        <v>850</v>
      </c>
      <c r="F439" s="5">
        <v>173</v>
      </c>
      <c r="G439" s="12">
        <f>SUM($D$7:D439)</f>
        <v>6869391.1800000034</v>
      </c>
      <c r="H439" s="11">
        <f t="shared" si="6"/>
        <v>0.64400434377371696</v>
      </c>
    </row>
    <row r="440" spans="1:8" ht="15" customHeight="1" x14ac:dyDescent="0.25">
      <c r="A440" s="5">
        <v>434</v>
      </c>
      <c r="B440" s="10" t="s">
        <v>920</v>
      </c>
      <c r="C440" s="10" t="s">
        <v>921</v>
      </c>
      <c r="D440" s="7">
        <v>5968.3</v>
      </c>
      <c r="E440" s="5">
        <v>1424</v>
      </c>
      <c r="F440" s="5">
        <v>214</v>
      </c>
      <c r="G440" s="12">
        <f>SUM($D$7:D440)</f>
        <v>6875359.4800000032</v>
      </c>
      <c r="H440" s="11">
        <f t="shared" si="6"/>
        <v>0.64456387096094936</v>
      </c>
    </row>
    <row r="441" spans="1:8" ht="15" customHeight="1" x14ac:dyDescent="0.25">
      <c r="A441" s="5">
        <v>435</v>
      </c>
      <c r="B441" s="10" t="s">
        <v>922</v>
      </c>
      <c r="C441" s="10" t="s">
        <v>923</v>
      </c>
      <c r="D441" s="7">
        <v>5961.25</v>
      </c>
      <c r="E441" s="5">
        <v>463</v>
      </c>
      <c r="F441" s="5">
        <v>33</v>
      </c>
      <c r="G441" s="12">
        <f>SUM($D$7:D441)</f>
        <v>6881320.7300000032</v>
      </c>
      <c r="H441" s="11">
        <f t="shared" si="6"/>
        <v>0.64512273721178948</v>
      </c>
    </row>
    <row r="442" spans="1:8" ht="15" customHeight="1" x14ac:dyDescent="0.25">
      <c r="A442" s="5">
        <v>436</v>
      </c>
      <c r="B442" s="10" t="s">
        <v>924</v>
      </c>
      <c r="C442" s="10" t="s">
        <v>925</v>
      </c>
      <c r="D442" s="7">
        <v>5949.34</v>
      </c>
      <c r="E442" s="5">
        <v>654</v>
      </c>
      <c r="F442" s="5">
        <v>278</v>
      </c>
      <c r="G442" s="12">
        <f>SUM($D$7:D442)</f>
        <v>6887270.0700000031</v>
      </c>
      <c r="H442" s="11">
        <f t="shared" si="6"/>
        <v>0.64568048690200097</v>
      </c>
    </row>
    <row r="443" spans="1:8" ht="15" customHeight="1" x14ac:dyDescent="0.25">
      <c r="A443" s="5">
        <v>437</v>
      </c>
      <c r="B443" s="10" t="s">
        <v>926</v>
      </c>
      <c r="C443" s="10" t="s">
        <v>927</v>
      </c>
      <c r="D443" s="7">
        <v>5925.39</v>
      </c>
      <c r="E443" s="5">
        <v>3030</v>
      </c>
      <c r="F443" s="5">
        <v>468</v>
      </c>
      <c r="G443" s="12">
        <f>SUM($D$7:D443)</f>
        <v>6893195.4600000028</v>
      </c>
      <c r="H443" s="11">
        <f t="shared" si="6"/>
        <v>0.64623599128347564</v>
      </c>
    </row>
    <row r="444" spans="1:8" ht="15" customHeight="1" x14ac:dyDescent="0.25">
      <c r="A444" s="5">
        <v>438</v>
      </c>
      <c r="B444" s="10" t="s">
        <v>928</v>
      </c>
      <c r="C444" s="10" t="s">
        <v>929</v>
      </c>
      <c r="D444" s="7">
        <v>5907.36</v>
      </c>
      <c r="E444" s="5">
        <v>2732</v>
      </c>
      <c r="F444" s="5">
        <v>235</v>
      </c>
      <c r="G444" s="12">
        <f>SUM($D$7:D444)</f>
        <v>6899102.8200000031</v>
      </c>
      <c r="H444" s="11">
        <f t="shared" si="6"/>
        <v>0.6467898053552833</v>
      </c>
    </row>
    <row r="445" spans="1:8" ht="15" customHeight="1" x14ac:dyDescent="0.25">
      <c r="A445" s="5">
        <v>439</v>
      </c>
      <c r="B445" s="10" t="s">
        <v>930</v>
      </c>
      <c r="C445" s="10" t="s">
        <v>931</v>
      </c>
      <c r="D445" s="7">
        <v>5868.5</v>
      </c>
      <c r="E445" s="5">
        <v>1154</v>
      </c>
      <c r="F445" s="5">
        <v>57</v>
      </c>
      <c r="G445" s="12">
        <f>SUM($D$7:D445)</f>
        <v>6904971.3200000031</v>
      </c>
      <c r="H445" s="11">
        <f t="shared" si="6"/>
        <v>0.64733997630819673</v>
      </c>
    </row>
    <row r="446" spans="1:8" ht="15" customHeight="1" x14ac:dyDescent="0.25">
      <c r="A446" s="5">
        <v>440</v>
      </c>
      <c r="B446" s="10" t="s">
        <v>932</v>
      </c>
      <c r="C446" s="10" t="s">
        <v>933</v>
      </c>
      <c r="D446" s="7">
        <v>5849.29</v>
      </c>
      <c r="E446" s="5">
        <v>2431</v>
      </c>
      <c r="F446" s="5">
        <v>272</v>
      </c>
      <c r="G446" s="12">
        <f>SUM($D$7:D446)</f>
        <v>6910820.6100000031</v>
      </c>
      <c r="H446" s="11">
        <f t="shared" si="6"/>
        <v>0.64788834632662862</v>
      </c>
    </row>
    <row r="447" spans="1:8" ht="15" customHeight="1" x14ac:dyDescent="0.25">
      <c r="A447" s="5">
        <v>441</v>
      </c>
      <c r="B447" s="10" t="s">
        <v>934</v>
      </c>
      <c r="C447" s="10" t="s">
        <v>935</v>
      </c>
      <c r="D447" s="7">
        <v>5843.92</v>
      </c>
      <c r="E447" s="5">
        <v>262</v>
      </c>
      <c r="F447" s="5">
        <v>83</v>
      </c>
      <c r="G447" s="12">
        <f>SUM($D$7:D447)</f>
        <v>6916664.5300000031</v>
      </c>
      <c r="H447" s="11">
        <f t="shared" si="6"/>
        <v>0.64843621290840414</v>
      </c>
    </row>
    <row r="448" spans="1:8" ht="15" customHeight="1" x14ac:dyDescent="0.25">
      <c r="A448" s="5">
        <v>442</v>
      </c>
      <c r="B448" s="10" t="s">
        <v>936</v>
      </c>
      <c r="C448" s="10" t="s">
        <v>937</v>
      </c>
      <c r="D448" s="7">
        <v>5837.84</v>
      </c>
      <c r="E448" s="5">
        <v>1334</v>
      </c>
      <c r="F448" s="5">
        <v>208</v>
      </c>
      <c r="G448" s="12">
        <f>SUM($D$7:D448)</f>
        <v>6922502.3700000029</v>
      </c>
      <c r="H448" s="11">
        <f t="shared" si="6"/>
        <v>0.64898350949113515</v>
      </c>
    </row>
    <row r="449" spans="1:8" ht="15" customHeight="1" x14ac:dyDescent="0.25">
      <c r="A449" s="5">
        <v>443</v>
      </c>
      <c r="B449" s="10" t="s">
        <v>938</v>
      </c>
      <c r="C449" s="10" t="s">
        <v>939</v>
      </c>
      <c r="D449" s="7">
        <v>5812.72</v>
      </c>
      <c r="E449" s="5">
        <v>1566</v>
      </c>
      <c r="F449" s="5">
        <v>290</v>
      </c>
      <c r="G449" s="12">
        <f>SUM($D$7:D449)</f>
        <v>6928315.0900000026</v>
      </c>
      <c r="H449" s="11">
        <f t="shared" si="6"/>
        <v>0.64952845107781298</v>
      </c>
    </row>
    <row r="450" spans="1:8" ht="15" customHeight="1" x14ac:dyDescent="0.25">
      <c r="A450" s="5">
        <v>444</v>
      </c>
      <c r="B450" s="10" t="s">
        <v>940</v>
      </c>
      <c r="C450" s="10" t="s">
        <v>941</v>
      </c>
      <c r="D450" s="7">
        <v>5807.35</v>
      </c>
      <c r="E450" s="5">
        <v>584</v>
      </c>
      <c r="F450" s="5">
        <v>232</v>
      </c>
      <c r="G450" s="12">
        <f>SUM($D$7:D450)</f>
        <v>6934122.4400000023</v>
      </c>
      <c r="H450" s="11">
        <f t="shared" si="6"/>
        <v>0.65007288922783457</v>
      </c>
    </row>
    <row r="451" spans="1:8" ht="15" customHeight="1" x14ac:dyDescent="0.25">
      <c r="A451" s="5">
        <v>445</v>
      </c>
      <c r="B451" s="10" t="s">
        <v>942</v>
      </c>
      <c r="C451" s="10" t="s">
        <v>943</v>
      </c>
      <c r="D451" s="7">
        <v>5802.6</v>
      </c>
      <c r="E451" s="5">
        <v>1540</v>
      </c>
      <c r="F451" s="5">
        <v>149</v>
      </c>
      <c r="G451" s="12">
        <f>SUM($D$7:D451)</f>
        <v>6939925.0400000019</v>
      </c>
      <c r="H451" s="11">
        <f t="shared" si="6"/>
        <v>0.65061688206610258</v>
      </c>
    </row>
    <row r="452" spans="1:8" ht="15" customHeight="1" x14ac:dyDescent="0.25">
      <c r="A452" s="5">
        <v>446</v>
      </c>
      <c r="B452" s="10" t="s">
        <v>944</v>
      </c>
      <c r="C452" s="10" t="s">
        <v>945</v>
      </c>
      <c r="D452" s="7">
        <v>5793.62</v>
      </c>
      <c r="E452" s="5">
        <v>6842</v>
      </c>
      <c r="F452" s="5">
        <v>170</v>
      </c>
      <c r="G452" s="12">
        <f>SUM($D$7:D452)</f>
        <v>6945718.660000002</v>
      </c>
      <c r="H452" s="11">
        <f t="shared" si="6"/>
        <v>0.65116003303078152</v>
      </c>
    </row>
    <row r="453" spans="1:8" ht="15" customHeight="1" x14ac:dyDescent="0.25">
      <c r="A453" s="5">
        <v>447</v>
      </c>
      <c r="B453" s="10" t="s">
        <v>946</v>
      </c>
      <c r="C453" s="10" t="s">
        <v>947</v>
      </c>
      <c r="D453" s="7">
        <v>5762.28</v>
      </c>
      <c r="E453" s="5">
        <v>790</v>
      </c>
      <c r="F453" s="5">
        <v>179</v>
      </c>
      <c r="G453" s="12">
        <f>SUM($D$7:D453)</f>
        <v>6951480.9400000023</v>
      </c>
      <c r="H453" s="11">
        <f t="shared" si="6"/>
        <v>0.65170024587538489</v>
      </c>
    </row>
    <row r="454" spans="1:8" ht="15" customHeight="1" x14ac:dyDescent="0.25">
      <c r="A454" s="5">
        <v>448</v>
      </c>
      <c r="B454" s="10" t="s">
        <v>496</v>
      </c>
      <c r="C454" s="10" t="s">
        <v>948</v>
      </c>
      <c r="D454" s="7">
        <v>5729.11</v>
      </c>
      <c r="E454" s="5">
        <v>1580</v>
      </c>
      <c r="F454" s="5">
        <v>108</v>
      </c>
      <c r="G454" s="12">
        <f>SUM($D$7:D454)</f>
        <v>6957210.0500000026</v>
      </c>
      <c r="H454" s="11">
        <f t="shared" si="6"/>
        <v>0.65223734903769992</v>
      </c>
    </row>
    <row r="455" spans="1:8" ht="15" customHeight="1" x14ac:dyDescent="0.25">
      <c r="A455" s="5">
        <v>449</v>
      </c>
      <c r="B455" s="10" t="s">
        <v>949</v>
      </c>
      <c r="C455" s="10" t="s">
        <v>950</v>
      </c>
      <c r="D455" s="7">
        <v>5716.85</v>
      </c>
      <c r="E455" s="5">
        <v>4415</v>
      </c>
      <c r="F455" s="5">
        <v>61</v>
      </c>
      <c r="G455" s="12">
        <f>SUM($D$7:D455)</f>
        <v>6962926.9000000022</v>
      </c>
      <c r="H455" s="11">
        <f t="shared" ref="H455:H518" si="7">G455/SUM($D$7:$D$4167)</f>
        <v>0.65277330282694135</v>
      </c>
    </row>
    <row r="456" spans="1:8" ht="15" customHeight="1" x14ac:dyDescent="0.25">
      <c r="A456" s="5">
        <v>450</v>
      </c>
      <c r="B456" s="10" t="s">
        <v>951</v>
      </c>
      <c r="C456" s="10" t="s">
        <v>952</v>
      </c>
      <c r="D456" s="7">
        <v>5704.78</v>
      </c>
      <c r="E456" s="5">
        <v>3376</v>
      </c>
      <c r="F456" s="5">
        <v>304</v>
      </c>
      <c r="G456" s="12">
        <f>SUM($D$7:D456)</f>
        <v>6968631.6800000025</v>
      </c>
      <c r="H456" s="11">
        <f t="shared" si="7"/>
        <v>0.65330812505557934</v>
      </c>
    </row>
    <row r="457" spans="1:8" ht="15" customHeight="1" x14ac:dyDescent="0.25">
      <c r="A457" s="5">
        <v>451</v>
      </c>
      <c r="B457" s="10" t="s">
        <v>953</v>
      </c>
      <c r="C457" s="10" t="s">
        <v>954</v>
      </c>
      <c r="D457" s="7">
        <v>5695.77</v>
      </c>
      <c r="E457" s="5">
        <v>4168</v>
      </c>
      <c r="F457" s="5">
        <v>390</v>
      </c>
      <c r="G457" s="12">
        <f>SUM($D$7:D457)</f>
        <v>6974327.450000002</v>
      </c>
      <c r="H457" s="11">
        <f t="shared" si="7"/>
        <v>0.65384210259813291</v>
      </c>
    </row>
    <row r="458" spans="1:8" ht="15" customHeight="1" x14ac:dyDescent="0.25">
      <c r="A458" s="5">
        <v>452</v>
      </c>
      <c r="B458" s="10" t="s">
        <v>955</v>
      </c>
      <c r="C458" s="10" t="s">
        <v>956</v>
      </c>
      <c r="D458" s="7">
        <v>5681.9</v>
      </c>
      <c r="E458" s="5">
        <v>6587</v>
      </c>
      <c r="F458" s="5">
        <v>670</v>
      </c>
      <c r="G458" s="12">
        <f>SUM($D$7:D458)</f>
        <v>6980009.3500000024</v>
      </c>
      <c r="H458" s="11">
        <f t="shared" si="7"/>
        <v>0.65437477983036596</v>
      </c>
    </row>
    <row r="459" spans="1:8" ht="15" customHeight="1" x14ac:dyDescent="0.25">
      <c r="A459" s="5">
        <v>453</v>
      </c>
      <c r="B459" s="10" t="s">
        <v>957</v>
      </c>
      <c r="C459" s="10" t="s">
        <v>958</v>
      </c>
      <c r="D459" s="7">
        <v>5661.05</v>
      </c>
      <c r="E459" s="5">
        <v>1893</v>
      </c>
      <c r="F459" s="5">
        <v>238</v>
      </c>
      <c r="G459" s="12">
        <f>SUM($D$7:D459)</f>
        <v>6985670.4000000022</v>
      </c>
      <c r="H459" s="11">
        <f t="shared" si="7"/>
        <v>0.65490550237837497</v>
      </c>
    </row>
    <row r="460" spans="1:8" ht="15" customHeight="1" x14ac:dyDescent="0.25">
      <c r="A460" s="5">
        <v>454</v>
      </c>
      <c r="B460" s="10" t="s">
        <v>959</v>
      </c>
      <c r="C460" s="10" t="s">
        <v>960</v>
      </c>
      <c r="D460" s="7">
        <v>5625.38</v>
      </c>
      <c r="E460" s="5">
        <v>1166</v>
      </c>
      <c r="F460" s="5">
        <v>177</v>
      </c>
      <c r="G460" s="12">
        <f>SUM($D$7:D460)</f>
        <v>6991295.7800000021</v>
      </c>
      <c r="H460" s="11">
        <f t="shared" si="7"/>
        <v>0.65543288086948859</v>
      </c>
    </row>
    <row r="461" spans="1:8" ht="15" customHeight="1" x14ac:dyDescent="0.25">
      <c r="A461" s="5">
        <v>455</v>
      </c>
      <c r="B461" s="10" t="s">
        <v>961</v>
      </c>
      <c r="C461" s="10" t="s">
        <v>962</v>
      </c>
      <c r="D461" s="7">
        <v>5585.45</v>
      </c>
      <c r="E461" s="5">
        <v>6564</v>
      </c>
      <c r="F461" s="5">
        <v>318</v>
      </c>
      <c r="G461" s="12">
        <f>SUM($D$7:D461)</f>
        <v>6996881.2300000023</v>
      </c>
      <c r="H461" s="11">
        <f t="shared" si="7"/>
        <v>0.6559565159293762</v>
      </c>
    </row>
    <row r="462" spans="1:8" ht="15" customHeight="1" x14ac:dyDescent="0.25">
      <c r="A462" s="5">
        <v>456</v>
      </c>
      <c r="B462" s="10" t="s">
        <v>963</v>
      </c>
      <c r="C462" s="10" t="s">
        <v>964</v>
      </c>
      <c r="D462" s="7">
        <v>5575.33</v>
      </c>
      <c r="E462" s="5">
        <v>3196</v>
      </c>
      <c r="F462" s="5">
        <v>415</v>
      </c>
      <c r="G462" s="12">
        <f>SUM($D$7:D462)</f>
        <v>7002456.5600000024</v>
      </c>
      <c r="H462" s="11">
        <f t="shared" si="7"/>
        <v>0.65647920224085399</v>
      </c>
    </row>
    <row r="463" spans="1:8" ht="15" customHeight="1" x14ac:dyDescent="0.25">
      <c r="A463" s="5">
        <v>457</v>
      </c>
      <c r="B463" s="10" t="s">
        <v>965</v>
      </c>
      <c r="C463" s="10" t="s">
        <v>966</v>
      </c>
      <c r="D463" s="7">
        <v>5568.07</v>
      </c>
      <c r="E463" s="5">
        <v>2138</v>
      </c>
      <c r="F463" s="5">
        <v>412</v>
      </c>
      <c r="G463" s="12">
        <f>SUM($D$7:D463)</f>
        <v>7008024.6300000027</v>
      </c>
      <c r="H463" s="11">
        <f t="shared" si="7"/>
        <v>0.6570012079284725</v>
      </c>
    </row>
    <row r="464" spans="1:8" ht="15" customHeight="1" x14ac:dyDescent="0.25">
      <c r="A464" s="5">
        <v>458</v>
      </c>
      <c r="B464" s="10" t="s">
        <v>967</v>
      </c>
      <c r="C464" s="10" t="s">
        <v>968</v>
      </c>
      <c r="D464" s="7">
        <v>5564.25</v>
      </c>
      <c r="E464" s="5">
        <v>1799</v>
      </c>
      <c r="F464" s="5">
        <v>267</v>
      </c>
      <c r="G464" s="12">
        <f>SUM($D$7:D464)</f>
        <v>7013588.8800000027</v>
      </c>
      <c r="H464" s="11">
        <f t="shared" si="7"/>
        <v>0.65752285549169109</v>
      </c>
    </row>
    <row r="465" spans="1:8" ht="15" customHeight="1" x14ac:dyDescent="0.25">
      <c r="A465" s="5">
        <v>459</v>
      </c>
      <c r="B465" s="10" t="s">
        <v>969</v>
      </c>
      <c r="C465" s="10" t="s">
        <v>970</v>
      </c>
      <c r="D465" s="7">
        <v>5559.11</v>
      </c>
      <c r="E465" s="5">
        <v>979</v>
      </c>
      <c r="F465" s="5">
        <v>112</v>
      </c>
      <c r="G465" s="12">
        <f>SUM($D$7:D465)</f>
        <v>7019147.990000003</v>
      </c>
      <c r="H465" s="11">
        <f t="shared" si="7"/>
        <v>0.65804402118071748</v>
      </c>
    </row>
    <row r="466" spans="1:8" ht="15" customHeight="1" x14ac:dyDescent="0.25">
      <c r="A466" s="5">
        <v>460</v>
      </c>
      <c r="B466" s="10" t="s">
        <v>971</v>
      </c>
      <c r="C466" s="10" t="s">
        <v>972</v>
      </c>
      <c r="D466" s="7">
        <v>5549.68</v>
      </c>
      <c r="E466" s="5">
        <v>1272</v>
      </c>
      <c r="F466" s="5">
        <v>376</v>
      </c>
      <c r="G466" s="12">
        <f>SUM($D$7:D466)</f>
        <v>7024697.6700000027</v>
      </c>
      <c r="H466" s="11">
        <f t="shared" si="7"/>
        <v>0.65856430280872547</v>
      </c>
    </row>
    <row r="467" spans="1:8" ht="15" customHeight="1" x14ac:dyDescent="0.25">
      <c r="A467" s="5">
        <v>461</v>
      </c>
      <c r="B467" s="10" t="s">
        <v>973</v>
      </c>
      <c r="C467" s="10" t="s">
        <v>974</v>
      </c>
      <c r="D467" s="7">
        <v>5528.04</v>
      </c>
      <c r="E467" s="5">
        <v>2535</v>
      </c>
      <c r="F467" s="5">
        <v>267</v>
      </c>
      <c r="G467" s="12">
        <f>SUM($D$7:D467)</f>
        <v>7030225.7100000028</v>
      </c>
      <c r="H467" s="11">
        <f t="shared" si="7"/>
        <v>0.65908255569013363</v>
      </c>
    </row>
    <row r="468" spans="1:8" ht="15" customHeight="1" x14ac:dyDescent="0.25">
      <c r="A468" s="5">
        <v>462</v>
      </c>
      <c r="B468" s="10" t="s">
        <v>975</v>
      </c>
      <c r="C468" s="10" t="s">
        <v>976</v>
      </c>
      <c r="D468" s="7">
        <v>5525.4</v>
      </c>
      <c r="E468" s="5">
        <v>782</v>
      </c>
      <c r="F468" s="5">
        <v>155</v>
      </c>
      <c r="G468" s="12">
        <f>SUM($D$7:D468)</f>
        <v>7035751.1100000031</v>
      </c>
      <c r="H468" s="11">
        <f t="shared" si="7"/>
        <v>0.65960056107195664</v>
      </c>
    </row>
    <row r="469" spans="1:8" ht="15" customHeight="1" x14ac:dyDescent="0.25">
      <c r="A469" s="5">
        <v>463</v>
      </c>
      <c r="B469" s="10" t="s">
        <v>977</v>
      </c>
      <c r="C469" s="10" t="s">
        <v>978</v>
      </c>
      <c r="D469" s="7">
        <v>5519.42</v>
      </c>
      <c r="E469" s="5">
        <v>3423</v>
      </c>
      <c r="F469" s="5">
        <v>351</v>
      </c>
      <c r="G469" s="12">
        <f>SUM($D$7:D469)</f>
        <v>7041270.5300000031</v>
      </c>
      <c r="H469" s="11">
        <f t="shared" si="7"/>
        <v>0.66011800582971913</v>
      </c>
    </row>
    <row r="470" spans="1:8" ht="15" customHeight="1" x14ac:dyDescent="0.25">
      <c r="A470" s="5">
        <v>464</v>
      </c>
      <c r="B470" s="10" t="s">
        <v>979</v>
      </c>
      <c r="C470" s="10" t="s">
        <v>980</v>
      </c>
      <c r="D470" s="7">
        <v>5517.99</v>
      </c>
      <c r="E470" s="5">
        <v>2635</v>
      </c>
      <c r="F470" s="5">
        <v>255</v>
      </c>
      <c r="G470" s="12">
        <f>SUM($D$7:D470)</f>
        <v>7046788.5200000033</v>
      </c>
      <c r="H470" s="11">
        <f t="shared" si="7"/>
        <v>0.66063531652520646</v>
      </c>
    </row>
    <row r="471" spans="1:8" ht="15" customHeight="1" x14ac:dyDescent="0.25">
      <c r="A471" s="5">
        <v>465</v>
      </c>
      <c r="B471" s="10" t="s">
        <v>981</v>
      </c>
      <c r="C471" s="10" t="s">
        <v>982</v>
      </c>
      <c r="D471" s="7">
        <v>5513.83</v>
      </c>
      <c r="E471" s="5">
        <v>3395</v>
      </c>
      <c r="F471" s="5">
        <v>325</v>
      </c>
      <c r="G471" s="12">
        <f>SUM($D$7:D471)</f>
        <v>7052302.3500000034</v>
      </c>
      <c r="H471" s="11">
        <f t="shared" si="7"/>
        <v>0.66115223722134742</v>
      </c>
    </row>
    <row r="472" spans="1:8" ht="15" customHeight="1" x14ac:dyDescent="0.25">
      <c r="A472" s="5">
        <v>466</v>
      </c>
      <c r="B472" s="10" t="s">
        <v>983</v>
      </c>
      <c r="C472" s="10" t="s">
        <v>984</v>
      </c>
      <c r="D472" s="7">
        <v>5481.09</v>
      </c>
      <c r="E472" s="5">
        <v>2628</v>
      </c>
      <c r="F472" s="5">
        <v>378</v>
      </c>
      <c r="G472" s="12">
        <f>SUM($D$7:D472)</f>
        <v>7057783.4400000032</v>
      </c>
      <c r="H472" s="11">
        <f t="shared" si="7"/>
        <v>0.66166608854763254</v>
      </c>
    </row>
    <row r="473" spans="1:8" ht="15" customHeight="1" x14ac:dyDescent="0.25">
      <c r="A473" s="5">
        <v>467</v>
      </c>
      <c r="B473" s="10" t="s">
        <v>985</v>
      </c>
      <c r="C473" s="10" t="s">
        <v>986</v>
      </c>
      <c r="D473" s="7">
        <v>5479.06</v>
      </c>
      <c r="E473" s="5">
        <v>1838</v>
      </c>
      <c r="F473" s="5">
        <v>271</v>
      </c>
      <c r="G473" s="12">
        <f>SUM($D$7:D473)</f>
        <v>7063262.5000000028</v>
      </c>
      <c r="H473" s="11">
        <f t="shared" si="7"/>
        <v>0.66217974956173664</v>
      </c>
    </row>
    <row r="474" spans="1:8" ht="15" customHeight="1" x14ac:dyDescent="0.25">
      <c r="A474" s="5">
        <v>468</v>
      </c>
      <c r="B474" s="10" t="s">
        <v>987</v>
      </c>
      <c r="C474" s="10" t="s">
        <v>988</v>
      </c>
      <c r="D474" s="7">
        <v>5468.66</v>
      </c>
      <c r="E474" s="5">
        <v>4171</v>
      </c>
      <c r="F474" s="5">
        <v>378</v>
      </c>
      <c r="G474" s="12">
        <f>SUM($D$7:D474)</f>
        <v>7068731.1600000029</v>
      </c>
      <c r="H474" s="11">
        <f t="shared" si="7"/>
        <v>0.66269243557747493</v>
      </c>
    </row>
    <row r="475" spans="1:8" ht="15" customHeight="1" x14ac:dyDescent="0.25">
      <c r="A475" s="5">
        <v>469</v>
      </c>
      <c r="B475" s="10" t="s">
        <v>989</v>
      </c>
      <c r="C475" s="10" t="s">
        <v>990</v>
      </c>
      <c r="D475" s="7">
        <v>5416.18</v>
      </c>
      <c r="E475" s="5">
        <v>1541</v>
      </c>
      <c r="F475" s="5">
        <v>45</v>
      </c>
      <c r="G475" s="12">
        <f>SUM($D$7:D475)</f>
        <v>7074147.3400000026</v>
      </c>
      <c r="H475" s="11">
        <f t="shared" si="7"/>
        <v>0.66320020160145898</v>
      </c>
    </row>
    <row r="476" spans="1:8" ht="15" customHeight="1" x14ac:dyDescent="0.25">
      <c r="A476" s="5">
        <v>470</v>
      </c>
      <c r="B476" s="10" t="s">
        <v>991</v>
      </c>
      <c r="C476" s="10" t="s">
        <v>992</v>
      </c>
      <c r="D476" s="7">
        <v>5415</v>
      </c>
      <c r="E476" s="5">
        <v>35</v>
      </c>
      <c r="F476" s="5">
        <v>26</v>
      </c>
      <c r="G476" s="12">
        <f>SUM($D$7:D476)</f>
        <v>7079562.3400000026</v>
      </c>
      <c r="H476" s="11">
        <f t="shared" si="7"/>
        <v>0.66370785700062862</v>
      </c>
    </row>
    <row r="477" spans="1:8" ht="15" customHeight="1" x14ac:dyDescent="0.25">
      <c r="A477" s="5">
        <v>471</v>
      </c>
      <c r="B477" s="10" t="s">
        <v>993</v>
      </c>
      <c r="C477" s="10" t="s">
        <v>994</v>
      </c>
      <c r="D477" s="7">
        <v>5407.58</v>
      </c>
      <c r="E477" s="5">
        <v>5459</v>
      </c>
      <c r="F477" s="5">
        <v>445</v>
      </c>
      <c r="G477" s="12">
        <f>SUM($D$7:D477)</f>
        <v>7084969.9200000027</v>
      </c>
      <c r="H477" s="11">
        <f t="shared" si="7"/>
        <v>0.66421481677596395</v>
      </c>
    </row>
    <row r="478" spans="1:8" ht="15" customHeight="1" x14ac:dyDescent="0.25">
      <c r="A478" s="5">
        <v>472</v>
      </c>
      <c r="B478" s="10" t="s">
        <v>995</v>
      </c>
      <c r="C478" s="10" t="s">
        <v>996</v>
      </c>
      <c r="D478" s="7">
        <v>5405.98</v>
      </c>
      <c r="E478" s="5">
        <v>2100</v>
      </c>
      <c r="F478" s="5">
        <v>178</v>
      </c>
      <c r="G478" s="12">
        <f>SUM($D$7:D478)</f>
        <v>7090375.9000000032</v>
      </c>
      <c r="H478" s="11">
        <f t="shared" si="7"/>
        <v>0.66472162655155087</v>
      </c>
    </row>
    <row r="479" spans="1:8" ht="15" customHeight="1" x14ac:dyDescent="0.25">
      <c r="A479" s="5">
        <v>473</v>
      </c>
      <c r="B479" s="10" t="s">
        <v>997</v>
      </c>
      <c r="C479" s="10" t="s">
        <v>998</v>
      </c>
      <c r="D479" s="7">
        <v>5403.28</v>
      </c>
      <c r="E479" s="5">
        <v>803</v>
      </c>
      <c r="F479" s="5">
        <v>316</v>
      </c>
      <c r="G479" s="12">
        <f>SUM($D$7:D479)</f>
        <v>7095779.1800000034</v>
      </c>
      <c r="H479" s="11">
        <f t="shared" si="7"/>
        <v>0.66522818320256194</v>
      </c>
    </row>
    <row r="480" spans="1:8" ht="15" customHeight="1" x14ac:dyDescent="0.25">
      <c r="A480" s="5">
        <v>474</v>
      </c>
      <c r="B480" s="10" t="s">
        <v>999</v>
      </c>
      <c r="C480" s="10" t="s">
        <v>1000</v>
      </c>
      <c r="D480" s="7">
        <v>5389.02</v>
      </c>
      <c r="E480" s="5">
        <v>1368</v>
      </c>
      <c r="F480" s="5">
        <v>131</v>
      </c>
      <c r="G480" s="12">
        <f>SUM($D$7:D480)</f>
        <v>7101168.200000003</v>
      </c>
      <c r="H480" s="11">
        <f t="shared" si="7"/>
        <v>0.66573340298081352</v>
      </c>
    </row>
    <row r="481" spans="1:8" ht="15" customHeight="1" x14ac:dyDescent="0.25">
      <c r="A481" s="5">
        <v>475</v>
      </c>
      <c r="B481" s="10" t="s">
        <v>1001</v>
      </c>
      <c r="C481" s="10" t="s">
        <v>1002</v>
      </c>
      <c r="D481" s="7">
        <v>5377.81</v>
      </c>
      <c r="E481" s="5">
        <v>813</v>
      </c>
      <c r="F481" s="5">
        <v>205</v>
      </c>
      <c r="G481" s="12">
        <f>SUM($D$7:D481)</f>
        <v>7106546.0100000026</v>
      </c>
      <c r="H481" s="11">
        <f t="shared" si="7"/>
        <v>0.66623757182332655</v>
      </c>
    </row>
    <row r="482" spans="1:8" ht="15" customHeight="1" x14ac:dyDescent="0.25">
      <c r="A482" s="5">
        <v>476</v>
      </c>
      <c r="B482" s="10" t="s">
        <v>1003</v>
      </c>
      <c r="C482" s="10" t="s">
        <v>1004</v>
      </c>
      <c r="D482" s="7">
        <v>5345.88</v>
      </c>
      <c r="E482" s="5">
        <v>3490</v>
      </c>
      <c r="F482" s="5">
        <v>467</v>
      </c>
      <c r="G482" s="12">
        <f>SUM($D$7:D482)</f>
        <v>7111891.8900000025</v>
      </c>
      <c r="H482" s="11">
        <f t="shared" si="7"/>
        <v>0.66673874723335647</v>
      </c>
    </row>
    <row r="483" spans="1:8" ht="15" customHeight="1" x14ac:dyDescent="0.25">
      <c r="A483" s="5">
        <v>477</v>
      </c>
      <c r="B483" s="10" t="s">
        <v>1005</v>
      </c>
      <c r="C483" s="10" t="s">
        <v>1006</v>
      </c>
      <c r="D483" s="7">
        <v>5314.9</v>
      </c>
      <c r="E483" s="5">
        <v>12490</v>
      </c>
      <c r="F483" s="5">
        <v>534</v>
      </c>
      <c r="G483" s="12">
        <f>SUM($D$7:D483)</f>
        <v>7117206.7900000028</v>
      </c>
      <c r="H483" s="11">
        <f t="shared" si="7"/>
        <v>0.66723701827325432</v>
      </c>
    </row>
    <row r="484" spans="1:8" ht="15" customHeight="1" x14ac:dyDescent="0.25">
      <c r="A484" s="5">
        <v>478</v>
      </c>
      <c r="B484" s="10" t="s">
        <v>1007</v>
      </c>
      <c r="C484" s="10" t="s">
        <v>1008</v>
      </c>
      <c r="D484" s="7">
        <v>5276.94</v>
      </c>
      <c r="E484" s="5">
        <v>526</v>
      </c>
      <c r="F484" s="5">
        <v>188</v>
      </c>
      <c r="G484" s="12">
        <f>SUM($D$7:D484)</f>
        <v>7122483.7300000032</v>
      </c>
      <c r="H484" s="11">
        <f t="shared" si="7"/>
        <v>0.6677317305691165</v>
      </c>
    </row>
    <row r="485" spans="1:8" ht="15" customHeight="1" x14ac:dyDescent="0.25">
      <c r="A485" s="5">
        <v>479</v>
      </c>
      <c r="B485" s="10" t="s">
        <v>1009</v>
      </c>
      <c r="C485" s="10" t="s">
        <v>1010</v>
      </c>
      <c r="D485" s="7">
        <v>5274.12</v>
      </c>
      <c r="E485" s="5">
        <v>3156</v>
      </c>
      <c r="F485" s="5">
        <v>318</v>
      </c>
      <c r="G485" s="12">
        <f>SUM($D$7:D485)</f>
        <v>7127757.8500000034</v>
      </c>
      <c r="H485" s="11">
        <f t="shared" si="7"/>
        <v>0.66822617849042176</v>
      </c>
    </row>
    <row r="486" spans="1:8" ht="15" customHeight="1" x14ac:dyDescent="0.25">
      <c r="A486" s="5">
        <v>480</v>
      </c>
      <c r="B486" s="10" t="s">
        <v>1011</v>
      </c>
      <c r="C486" s="10" t="s">
        <v>1012</v>
      </c>
      <c r="D486" s="7">
        <v>5248.21</v>
      </c>
      <c r="E486" s="5">
        <v>939</v>
      </c>
      <c r="F486" s="5">
        <v>235</v>
      </c>
      <c r="G486" s="12">
        <f>SUM($D$7:D486)</f>
        <v>7133006.0600000033</v>
      </c>
      <c r="H486" s="11">
        <f t="shared" si="7"/>
        <v>0.66871819735329818</v>
      </c>
    </row>
    <row r="487" spans="1:8" ht="15" customHeight="1" x14ac:dyDescent="0.25">
      <c r="A487" s="5">
        <v>481</v>
      </c>
      <c r="B487" s="10" t="s">
        <v>320</v>
      </c>
      <c r="C487" s="10" t="s">
        <v>1013</v>
      </c>
      <c r="D487" s="7">
        <v>5234.5600000000004</v>
      </c>
      <c r="E487" s="5">
        <v>1437</v>
      </c>
      <c r="F487" s="5">
        <v>115</v>
      </c>
      <c r="G487" s="12">
        <f>SUM($D$7:D487)</f>
        <v>7138240.6200000029</v>
      </c>
      <c r="H487" s="11">
        <f t="shared" si="7"/>
        <v>0.66920893653081925</v>
      </c>
    </row>
    <row r="488" spans="1:8" ht="15" customHeight="1" x14ac:dyDescent="0.25">
      <c r="A488" s="5">
        <v>482</v>
      </c>
      <c r="B488" s="10" t="s">
        <v>1014</v>
      </c>
      <c r="C488" s="10" t="s">
        <v>1015</v>
      </c>
      <c r="D488" s="7">
        <v>5225.3999999999996</v>
      </c>
      <c r="E488" s="5">
        <v>324</v>
      </c>
      <c r="F488" s="5">
        <v>128</v>
      </c>
      <c r="G488" s="12">
        <f>SUM($D$7:D488)</f>
        <v>7143466.0200000033</v>
      </c>
      <c r="H488" s="11">
        <f t="shared" si="7"/>
        <v>0.66969881695977973</v>
      </c>
    </row>
    <row r="489" spans="1:8" ht="15" customHeight="1" x14ac:dyDescent="0.25">
      <c r="A489" s="5">
        <v>483</v>
      </c>
      <c r="B489" s="10" t="s">
        <v>1016</v>
      </c>
      <c r="C489" s="10" t="s">
        <v>1017</v>
      </c>
      <c r="D489" s="7">
        <v>5219.1000000000004</v>
      </c>
      <c r="E489" s="5">
        <v>1034</v>
      </c>
      <c r="F489" s="5">
        <v>152</v>
      </c>
      <c r="G489" s="12">
        <f>SUM($D$7:D489)</f>
        <v>7148685.1200000029</v>
      </c>
      <c r="H489" s="11">
        <f t="shared" si="7"/>
        <v>0.67018810676472995</v>
      </c>
    </row>
    <row r="490" spans="1:8" ht="15" customHeight="1" x14ac:dyDescent="0.25">
      <c r="A490" s="5">
        <v>484</v>
      </c>
      <c r="B490" s="10" t="s">
        <v>1018</v>
      </c>
      <c r="C490" s="10" t="s">
        <v>1019</v>
      </c>
      <c r="D490" s="7">
        <v>5211.7</v>
      </c>
      <c r="E490" s="5">
        <v>3869</v>
      </c>
      <c r="F490" s="5">
        <v>254</v>
      </c>
      <c r="G490" s="12">
        <f>SUM($D$7:D490)</f>
        <v>7153896.8200000031</v>
      </c>
      <c r="H490" s="11">
        <f t="shared" si="7"/>
        <v>0.67067670282084302</v>
      </c>
    </row>
    <row r="491" spans="1:8" ht="15" customHeight="1" x14ac:dyDescent="0.25">
      <c r="A491" s="5">
        <v>485</v>
      </c>
      <c r="B491" s="10" t="s">
        <v>1020</v>
      </c>
      <c r="C491" s="10" t="s">
        <v>1021</v>
      </c>
      <c r="D491" s="7">
        <v>5198.66</v>
      </c>
      <c r="E491" s="5">
        <v>622</v>
      </c>
      <c r="F491" s="5">
        <v>232</v>
      </c>
      <c r="G491" s="12">
        <f>SUM($D$7:D491)</f>
        <v>7159095.4800000032</v>
      </c>
      <c r="H491" s="11">
        <f t="shared" si="7"/>
        <v>0.67116407637900488</v>
      </c>
    </row>
    <row r="492" spans="1:8" ht="15" customHeight="1" x14ac:dyDescent="0.25">
      <c r="A492" s="5">
        <v>486</v>
      </c>
      <c r="B492" s="10" t="s">
        <v>1022</v>
      </c>
      <c r="C492" s="10" t="s">
        <v>1023</v>
      </c>
      <c r="D492" s="7">
        <v>5195.03</v>
      </c>
      <c r="E492" s="5">
        <v>1517</v>
      </c>
      <c r="F492" s="5">
        <v>356</v>
      </c>
      <c r="G492" s="12">
        <f>SUM($D$7:D492)</f>
        <v>7164290.5100000035</v>
      </c>
      <c r="H492" s="11">
        <f t="shared" si="7"/>
        <v>0.67165110962523722</v>
      </c>
    </row>
    <row r="493" spans="1:8" ht="15" customHeight="1" x14ac:dyDescent="0.25">
      <c r="A493" s="5">
        <v>487</v>
      </c>
      <c r="B493" s="10" t="s">
        <v>1024</v>
      </c>
      <c r="C493" s="10" t="s">
        <v>1025</v>
      </c>
      <c r="D493" s="7">
        <v>5184.6899999999996</v>
      </c>
      <c r="E493" s="5">
        <v>3893</v>
      </c>
      <c r="F493" s="5">
        <v>445</v>
      </c>
      <c r="G493" s="12">
        <f>SUM($D$7:D493)</f>
        <v>7169475.2000000039</v>
      </c>
      <c r="H493" s="11">
        <f t="shared" si="7"/>
        <v>0.67213717349809421</v>
      </c>
    </row>
    <row r="494" spans="1:8" ht="15" customHeight="1" x14ac:dyDescent="0.25">
      <c r="A494" s="5">
        <v>488</v>
      </c>
      <c r="B494" s="10" t="s">
        <v>1026</v>
      </c>
      <c r="C494" s="10" t="s">
        <v>1027</v>
      </c>
      <c r="D494" s="7">
        <v>5176.25</v>
      </c>
      <c r="E494" s="5">
        <v>673</v>
      </c>
      <c r="F494" s="5">
        <v>146</v>
      </c>
      <c r="G494" s="12">
        <f>SUM($D$7:D494)</f>
        <v>7174651.4500000039</v>
      </c>
      <c r="H494" s="11">
        <f t="shared" si="7"/>
        <v>0.67262244612227728</v>
      </c>
    </row>
    <row r="495" spans="1:8" ht="15" customHeight="1" x14ac:dyDescent="0.25">
      <c r="A495" s="5">
        <v>489</v>
      </c>
      <c r="B495" s="10" t="s">
        <v>1028</v>
      </c>
      <c r="C495" s="10" t="s">
        <v>1029</v>
      </c>
      <c r="D495" s="7">
        <v>5174.32</v>
      </c>
      <c r="E495" s="5">
        <v>2426</v>
      </c>
      <c r="F495" s="5">
        <v>365</v>
      </c>
      <c r="G495" s="12">
        <f>SUM($D$7:D495)</f>
        <v>7179825.7700000042</v>
      </c>
      <c r="H495" s="11">
        <f t="shared" si="7"/>
        <v>0.67310753780926358</v>
      </c>
    </row>
    <row r="496" spans="1:8" ht="15" customHeight="1" x14ac:dyDescent="0.25">
      <c r="A496" s="5">
        <v>490</v>
      </c>
      <c r="B496" s="10" t="s">
        <v>1030</v>
      </c>
      <c r="C496" s="10" t="s">
        <v>1031</v>
      </c>
      <c r="D496" s="7">
        <v>5170.6400000000003</v>
      </c>
      <c r="E496" s="5">
        <v>1848</v>
      </c>
      <c r="F496" s="5">
        <v>156</v>
      </c>
      <c r="G496" s="12">
        <f>SUM($D$7:D496)</f>
        <v>7184996.4100000039</v>
      </c>
      <c r="H496" s="11">
        <f t="shared" si="7"/>
        <v>0.67359228449682818</v>
      </c>
    </row>
    <row r="497" spans="1:8" ht="15" customHeight="1" x14ac:dyDescent="0.25">
      <c r="A497" s="5">
        <v>491</v>
      </c>
      <c r="B497" s="10" t="s">
        <v>1032</v>
      </c>
      <c r="C497" s="10" t="s">
        <v>1033</v>
      </c>
      <c r="D497" s="7">
        <v>5170.1000000000004</v>
      </c>
      <c r="E497" s="5">
        <v>2570</v>
      </c>
      <c r="F497" s="5">
        <v>163</v>
      </c>
      <c r="G497" s="12">
        <f>SUM($D$7:D497)</f>
        <v>7190166.5100000035</v>
      </c>
      <c r="H497" s="11">
        <f t="shared" si="7"/>
        <v>0.67407698055947751</v>
      </c>
    </row>
    <row r="498" spans="1:8" ht="15" customHeight="1" x14ac:dyDescent="0.25">
      <c r="A498" s="5">
        <v>492</v>
      </c>
      <c r="B498" s="10" t="s">
        <v>1034</v>
      </c>
      <c r="C498" s="10" t="s">
        <v>1035</v>
      </c>
      <c r="D498" s="7">
        <v>5167.88</v>
      </c>
      <c r="E498" s="5">
        <v>1208</v>
      </c>
      <c r="F498" s="5">
        <v>262</v>
      </c>
      <c r="G498" s="12">
        <f>SUM($D$7:D498)</f>
        <v>7195334.3900000034</v>
      </c>
      <c r="H498" s="11">
        <f t="shared" si="7"/>
        <v>0.67456146849747567</v>
      </c>
    </row>
    <row r="499" spans="1:8" ht="15" customHeight="1" x14ac:dyDescent="0.25">
      <c r="A499" s="5">
        <v>493</v>
      </c>
      <c r="B499" s="10" t="s">
        <v>1036</v>
      </c>
      <c r="C499" s="10" t="s">
        <v>1037</v>
      </c>
      <c r="D499" s="7">
        <v>5161.88</v>
      </c>
      <c r="E499" s="5">
        <v>1768</v>
      </c>
      <c r="F499" s="5">
        <v>282</v>
      </c>
      <c r="G499" s="12">
        <f>SUM($D$7:D499)</f>
        <v>7200496.2700000033</v>
      </c>
      <c r="H499" s="11">
        <f t="shared" si="7"/>
        <v>0.67504539393641672</v>
      </c>
    </row>
    <row r="500" spans="1:8" ht="15" customHeight="1" x14ac:dyDescent="0.25">
      <c r="A500" s="5">
        <v>494</v>
      </c>
      <c r="B500" s="10" t="s">
        <v>1038</v>
      </c>
      <c r="C500" s="10" t="s">
        <v>1039</v>
      </c>
      <c r="D500" s="7">
        <v>5147.66</v>
      </c>
      <c r="E500" s="5">
        <v>3118</v>
      </c>
      <c r="F500" s="5">
        <v>280</v>
      </c>
      <c r="G500" s="12">
        <f>SUM($D$7:D500)</f>
        <v>7205643.9300000034</v>
      </c>
      <c r="H500" s="11">
        <f t="shared" si="7"/>
        <v>0.67552798625259192</v>
      </c>
    </row>
    <row r="501" spans="1:8" ht="15" customHeight="1" x14ac:dyDescent="0.25">
      <c r="A501" s="5">
        <v>495</v>
      </c>
      <c r="B501" s="10" t="s">
        <v>1040</v>
      </c>
      <c r="C501" s="10" t="s">
        <v>1041</v>
      </c>
      <c r="D501" s="7">
        <v>5143.6899999999996</v>
      </c>
      <c r="E501" s="5">
        <v>1412</v>
      </c>
      <c r="F501" s="5">
        <v>176</v>
      </c>
      <c r="G501" s="12">
        <f>SUM($D$7:D501)</f>
        <v>7210787.6200000038</v>
      </c>
      <c r="H501" s="11">
        <f t="shared" si="7"/>
        <v>0.67601020638189102</v>
      </c>
    </row>
    <row r="502" spans="1:8" ht="15" customHeight="1" x14ac:dyDescent="0.25">
      <c r="A502" s="5">
        <v>496</v>
      </c>
      <c r="B502" s="10" t="s">
        <v>1042</v>
      </c>
      <c r="C502" s="10" t="s">
        <v>1043</v>
      </c>
      <c r="D502" s="7">
        <v>5136.84</v>
      </c>
      <c r="E502" s="5">
        <v>2330</v>
      </c>
      <c r="F502" s="5">
        <v>212</v>
      </c>
      <c r="G502" s="12">
        <f>SUM($D$7:D502)</f>
        <v>7215924.4600000037</v>
      </c>
      <c r="H502" s="11">
        <f t="shared" si="7"/>
        <v>0.67649178432476642</v>
      </c>
    </row>
    <row r="503" spans="1:8" ht="15" customHeight="1" x14ac:dyDescent="0.25">
      <c r="A503" s="5">
        <v>497</v>
      </c>
      <c r="B503" s="10" t="s">
        <v>1044</v>
      </c>
      <c r="C503" s="10" t="s">
        <v>1045</v>
      </c>
      <c r="D503" s="7">
        <v>5127.24</v>
      </c>
      <c r="E503" s="5">
        <v>564</v>
      </c>
      <c r="F503" s="5">
        <v>154</v>
      </c>
      <c r="G503" s="12">
        <f>SUM($D$7:D503)</f>
        <v>7221051.7000000039</v>
      </c>
      <c r="H503" s="11">
        <f t="shared" si="7"/>
        <v>0.6769724622691502</v>
      </c>
    </row>
    <row r="504" spans="1:8" ht="15" customHeight="1" x14ac:dyDescent="0.25">
      <c r="A504" s="5">
        <v>498</v>
      </c>
      <c r="B504" s="10" t="s">
        <v>1046</v>
      </c>
      <c r="C504" s="10" t="s">
        <v>1047</v>
      </c>
      <c r="D504" s="7">
        <v>5125.46</v>
      </c>
      <c r="E504" s="5">
        <v>6152</v>
      </c>
      <c r="F504" s="5">
        <v>413</v>
      </c>
      <c r="G504" s="12">
        <f>SUM($D$7:D504)</f>
        <v>7226177.1600000039</v>
      </c>
      <c r="H504" s="11">
        <f t="shared" si="7"/>
        <v>0.6774529733388136</v>
      </c>
    </row>
    <row r="505" spans="1:8" ht="15" customHeight="1" x14ac:dyDescent="0.25">
      <c r="A505" s="5">
        <v>499</v>
      </c>
      <c r="B505" s="10" t="s">
        <v>1048</v>
      </c>
      <c r="C505" s="10" t="s">
        <v>1049</v>
      </c>
      <c r="D505" s="7">
        <v>5097.6499999999996</v>
      </c>
      <c r="E505" s="5">
        <v>489</v>
      </c>
      <c r="F505" s="5">
        <v>217</v>
      </c>
      <c r="G505" s="12">
        <f>SUM($D$7:D505)</f>
        <v>7231274.8100000042</v>
      </c>
      <c r="H505" s="11">
        <f t="shared" si="7"/>
        <v>0.67793087722534673</v>
      </c>
    </row>
    <row r="506" spans="1:8" ht="15" customHeight="1" x14ac:dyDescent="0.25">
      <c r="A506" s="5">
        <v>500</v>
      </c>
      <c r="B506" s="10" t="s">
        <v>1050</v>
      </c>
      <c r="C506" s="10" t="s">
        <v>1051</v>
      </c>
      <c r="D506" s="7">
        <v>5093.76</v>
      </c>
      <c r="E506" s="5">
        <v>3731</v>
      </c>
      <c r="F506" s="5">
        <v>248</v>
      </c>
      <c r="G506" s="12">
        <f>SUM($D$7:D506)</f>
        <v>7236368.570000004</v>
      </c>
      <c r="H506" s="11">
        <f t="shared" si="7"/>
        <v>0.67840841642499106</v>
      </c>
    </row>
    <row r="507" spans="1:8" ht="15" customHeight="1" x14ac:dyDescent="0.25">
      <c r="A507" s="5">
        <v>501</v>
      </c>
      <c r="B507" s="10" t="s">
        <v>1052</v>
      </c>
      <c r="C507" s="10" t="s">
        <v>1053</v>
      </c>
      <c r="D507" s="7">
        <v>5093.57</v>
      </c>
      <c r="E507" s="5">
        <v>1091</v>
      </c>
      <c r="F507" s="5">
        <v>392</v>
      </c>
      <c r="G507" s="12">
        <f>SUM($D$7:D507)</f>
        <v>7241462.1400000043</v>
      </c>
      <c r="H507" s="11">
        <f t="shared" si="7"/>
        <v>0.67888593781216522</v>
      </c>
    </row>
    <row r="508" spans="1:8" ht="15" customHeight="1" x14ac:dyDescent="0.25">
      <c r="A508" s="5">
        <v>502</v>
      </c>
      <c r="B508" s="10" t="s">
        <v>1054</v>
      </c>
      <c r="C508" s="10" t="s">
        <v>1055</v>
      </c>
      <c r="D508" s="7">
        <v>5089.5600000000004</v>
      </c>
      <c r="E508" s="5">
        <v>823</v>
      </c>
      <c r="F508" s="5">
        <v>270</v>
      </c>
      <c r="G508" s="12">
        <f>SUM($D$7:D508)</f>
        <v>7246551.7000000039</v>
      </c>
      <c r="H508" s="11">
        <f t="shared" si="7"/>
        <v>0.67936308326246941</v>
      </c>
    </row>
    <row r="509" spans="1:8" ht="15" customHeight="1" x14ac:dyDescent="0.25">
      <c r="A509" s="5">
        <v>503</v>
      </c>
      <c r="B509" s="10" t="s">
        <v>1056</v>
      </c>
      <c r="C509" s="10" t="s">
        <v>1057</v>
      </c>
      <c r="D509" s="7">
        <v>5088.45</v>
      </c>
      <c r="E509" s="5">
        <v>1725</v>
      </c>
      <c r="F509" s="5">
        <v>277</v>
      </c>
      <c r="G509" s="12">
        <f>SUM($D$7:D509)</f>
        <v>7251640.1500000041</v>
      </c>
      <c r="H509" s="11">
        <f t="shared" si="7"/>
        <v>0.67984012465044807</v>
      </c>
    </row>
    <row r="510" spans="1:8" ht="15" customHeight="1" x14ac:dyDescent="0.25">
      <c r="A510" s="5">
        <v>504</v>
      </c>
      <c r="B510" s="10" t="s">
        <v>1058</v>
      </c>
      <c r="C510" s="10" t="s">
        <v>1059</v>
      </c>
      <c r="D510" s="7">
        <v>5083.8900000000003</v>
      </c>
      <c r="E510" s="5">
        <v>1012</v>
      </c>
      <c r="F510" s="5">
        <v>275</v>
      </c>
      <c r="G510" s="12">
        <f>SUM($D$7:D510)</f>
        <v>7256724.0400000038</v>
      </c>
      <c r="H510" s="11">
        <f t="shared" si="7"/>
        <v>0.6803167385391431</v>
      </c>
    </row>
    <row r="511" spans="1:8" ht="15" customHeight="1" x14ac:dyDescent="0.25">
      <c r="A511" s="5">
        <v>505</v>
      </c>
      <c r="B511" s="10" t="s">
        <v>1060</v>
      </c>
      <c r="C511" s="10" t="s">
        <v>1061</v>
      </c>
      <c r="D511" s="7">
        <v>5078.43</v>
      </c>
      <c r="E511" s="5">
        <v>6140</v>
      </c>
      <c r="F511" s="5">
        <v>444</v>
      </c>
      <c r="G511" s="12">
        <f>SUM($D$7:D511)</f>
        <v>7261802.4700000035</v>
      </c>
      <c r="H511" s="11">
        <f t="shared" si="7"/>
        <v>0.68079284055369615</v>
      </c>
    </row>
    <row r="512" spans="1:8" ht="15" customHeight="1" x14ac:dyDescent="0.25">
      <c r="A512" s="5">
        <v>506</v>
      </c>
      <c r="B512" s="10" t="s">
        <v>1062</v>
      </c>
      <c r="C512" s="10" t="s">
        <v>1063</v>
      </c>
      <c r="D512" s="7">
        <v>5068.3999999999996</v>
      </c>
      <c r="E512" s="5">
        <v>3346</v>
      </c>
      <c r="F512" s="5">
        <v>475</v>
      </c>
      <c r="G512" s="12">
        <f>SUM($D$7:D512)</f>
        <v>7266870.8700000038</v>
      </c>
      <c r="H512" s="11">
        <f t="shared" si="7"/>
        <v>0.68126800225732509</v>
      </c>
    </row>
    <row r="513" spans="1:8" ht="15" customHeight="1" x14ac:dyDescent="0.25">
      <c r="A513" s="5">
        <v>507</v>
      </c>
      <c r="B513" s="10" t="s">
        <v>1064</v>
      </c>
      <c r="C513" s="10" t="s">
        <v>1065</v>
      </c>
      <c r="D513" s="7">
        <v>5048.72</v>
      </c>
      <c r="E513" s="5">
        <v>1766</v>
      </c>
      <c r="F513" s="5">
        <v>203</v>
      </c>
      <c r="G513" s="12">
        <f>SUM($D$7:D513)</f>
        <v>7271919.5900000036</v>
      </c>
      <c r="H513" s="11">
        <f t="shared" si="7"/>
        <v>0.68174131896404633</v>
      </c>
    </row>
    <row r="514" spans="1:8" ht="15" customHeight="1" x14ac:dyDescent="0.25">
      <c r="A514" s="5">
        <v>508</v>
      </c>
      <c r="B514" s="10" t="s">
        <v>1066</v>
      </c>
      <c r="C514" s="10" t="s">
        <v>1067</v>
      </c>
      <c r="D514" s="7">
        <v>5044.34</v>
      </c>
      <c r="E514" s="5">
        <v>1346</v>
      </c>
      <c r="F514" s="5">
        <v>132</v>
      </c>
      <c r="G514" s="12">
        <f>SUM($D$7:D514)</f>
        <v>7276963.9300000034</v>
      </c>
      <c r="H514" s="11">
        <f t="shared" si="7"/>
        <v>0.68221422504645568</v>
      </c>
    </row>
    <row r="515" spans="1:8" ht="15" customHeight="1" x14ac:dyDescent="0.25">
      <c r="A515" s="5">
        <v>509</v>
      </c>
      <c r="B515" s="10" t="s">
        <v>1068</v>
      </c>
      <c r="C515" s="10" t="s">
        <v>1069</v>
      </c>
      <c r="D515" s="7">
        <v>5037.96</v>
      </c>
      <c r="E515" s="5">
        <v>409</v>
      </c>
      <c r="F515" s="5">
        <v>117</v>
      </c>
      <c r="G515" s="12">
        <f>SUM($D$7:D515)</f>
        <v>7282001.8900000034</v>
      </c>
      <c r="H515" s="11">
        <f t="shared" si="7"/>
        <v>0.68268653300486759</v>
      </c>
    </row>
    <row r="516" spans="1:8" ht="15" customHeight="1" x14ac:dyDescent="0.25">
      <c r="A516" s="5">
        <v>510</v>
      </c>
      <c r="B516" s="10" t="s">
        <v>1070</v>
      </c>
      <c r="C516" s="10" t="s">
        <v>1071</v>
      </c>
      <c r="D516" s="7">
        <v>5031.83</v>
      </c>
      <c r="E516" s="5">
        <v>2225</v>
      </c>
      <c r="F516" s="5">
        <v>252</v>
      </c>
      <c r="G516" s="12">
        <f>SUM($D$7:D516)</f>
        <v>7287033.7200000035</v>
      </c>
      <c r="H516" s="11">
        <f t="shared" si="7"/>
        <v>0.68315826627674259</v>
      </c>
    </row>
    <row r="517" spans="1:8" ht="15" customHeight="1" x14ac:dyDescent="0.25">
      <c r="A517" s="5">
        <v>511</v>
      </c>
      <c r="B517" s="10" t="s">
        <v>1072</v>
      </c>
      <c r="C517" s="10" t="s">
        <v>1073</v>
      </c>
      <c r="D517" s="7">
        <v>5031.38</v>
      </c>
      <c r="E517" s="5">
        <v>2373</v>
      </c>
      <c r="F517" s="5">
        <v>367</v>
      </c>
      <c r="G517" s="12">
        <f>SUM($D$7:D517)</f>
        <v>7292065.1000000034</v>
      </c>
      <c r="H517" s="11">
        <f t="shared" si="7"/>
        <v>0.68362995736118837</v>
      </c>
    </row>
    <row r="518" spans="1:8" ht="15" customHeight="1" x14ac:dyDescent="0.25">
      <c r="A518" s="5">
        <v>512</v>
      </c>
      <c r="B518" s="10" t="s">
        <v>1074</v>
      </c>
      <c r="C518" s="10" t="s">
        <v>1075</v>
      </c>
      <c r="D518" s="7">
        <v>5023.5</v>
      </c>
      <c r="E518" s="5">
        <v>1778</v>
      </c>
      <c r="F518" s="5">
        <v>214</v>
      </c>
      <c r="G518" s="12">
        <f>SUM($D$7:D518)</f>
        <v>7297088.6000000034</v>
      </c>
      <c r="H518" s="11">
        <f t="shared" si="7"/>
        <v>0.68410090969687221</v>
      </c>
    </row>
    <row r="519" spans="1:8" ht="15" customHeight="1" x14ac:dyDescent="0.25">
      <c r="A519" s="5">
        <v>513</v>
      </c>
      <c r="B519" s="10" t="s">
        <v>1076</v>
      </c>
      <c r="C519" s="10" t="s">
        <v>1077</v>
      </c>
      <c r="D519" s="7">
        <v>5022.1000000000004</v>
      </c>
      <c r="E519" s="5">
        <v>1706</v>
      </c>
      <c r="F519" s="5">
        <v>301</v>
      </c>
      <c r="G519" s="12">
        <f>SUM($D$7:D519)</f>
        <v>7302110.700000003</v>
      </c>
      <c r="H519" s="11">
        <f t="shared" ref="H519:H582" si="8">G519/SUM($D$7:$D$4167)</f>
        <v>0.684571730782776</v>
      </c>
    </row>
    <row r="520" spans="1:8" ht="15" customHeight="1" x14ac:dyDescent="0.25">
      <c r="A520" s="5">
        <v>514</v>
      </c>
      <c r="B520" s="10" t="s">
        <v>1078</v>
      </c>
      <c r="C520" s="10" t="s">
        <v>1079</v>
      </c>
      <c r="D520" s="7">
        <v>5009.5600000000004</v>
      </c>
      <c r="E520" s="5">
        <v>595</v>
      </c>
      <c r="F520" s="5">
        <v>198</v>
      </c>
      <c r="G520" s="12">
        <f>SUM($D$7:D520)</f>
        <v>7307120.2600000026</v>
      </c>
      <c r="H520" s="11">
        <f t="shared" si="8"/>
        <v>0.6850413762456502</v>
      </c>
    </row>
    <row r="521" spans="1:8" ht="15" customHeight="1" x14ac:dyDescent="0.25">
      <c r="A521" s="5">
        <v>515</v>
      </c>
      <c r="B521" s="10" t="s">
        <v>1080</v>
      </c>
      <c r="C521" s="10" t="s">
        <v>1081</v>
      </c>
      <c r="D521" s="7">
        <v>5003.04</v>
      </c>
      <c r="E521" s="5">
        <v>968</v>
      </c>
      <c r="F521" s="5">
        <v>83</v>
      </c>
      <c r="G521" s="12">
        <f>SUM($D$7:D521)</f>
        <v>7312123.3000000026</v>
      </c>
      <c r="H521" s="11">
        <f t="shared" si="8"/>
        <v>0.68551041045954886</v>
      </c>
    </row>
    <row r="522" spans="1:8" ht="15" customHeight="1" x14ac:dyDescent="0.25">
      <c r="A522" s="5">
        <v>516</v>
      </c>
      <c r="B522" s="10" t="s">
        <v>1082</v>
      </c>
      <c r="C522" s="10" t="s">
        <v>1083</v>
      </c>
      <c r="D522" s="7">
        <v>5001.9799999999996</v>
      </c>
      <c r="E522" s="5">
        <v>2724</v>
      </c>
      <c r="F522" s="5">
        <v>446</v>
      </c>
      <c r="G522" s="12">
        <f>SUM($D$7:D522)</f>
        <v>7317125.2800000031</v>
      </c>
      <c r="H522" s="11">
        <f t="shared" si="8"/>
        <v>0.68597934529861415</v>
      </c>
    </row>
    <row r="523" spans="1:8" ht="15" customHeight="1" x14ac:dyDescent="0.25">
      <c r="A523" s="5">
        <v>517</v>
      </c>
      <c r="B523" s="10" t="s">
        <v>1084</v>
      </c>
      <c r="C523" s="10" t="s">
        <v>1085</v>
      </c>
      <c r="D523" s="7">
        <v>5001.83</v>
      </c>
      <c r="E523" s="5">
        <v>321</v>
      </c>
      <c r="F523" s="5">
        <v>128</v>
      </c>
      <c r="G523" s="12">
        <f>SUM($D$7:D523)</f>
        <v>7322127.1100000031</v>
      </c>
      <c r="H523" s="11">
        <f t="shared" si="8"/>
        <v>0.68644826607520293</v>
      </c>
    </row>
    <row r="524" spans="1:8" ht="15" customHeight="1" x14ac:dyDescent="0.25">
      <c r="A524" s="5">
        <v>518</v>
      </c>
      <c r="B524" s="10" t="s">
        <v>1086</v>
      </c>
      <c r="C524" s="10" t="s">
        <v>1087</v>
      </c>
      <c r="D524" s="7">
        <v>4997.28</v>
      </c>
      <c r="E524" s="5">
        <v>12050</v>
      </c>
      <c r="F524" s="5">
        <v>245</v>
      </c>
      <c r="G524" s="12">
        <f>SUM($D$7:D524)</f>
        <v>7327124.3900000034</v>
      </c>
      <c r="H524" s="11">
        <f t="shared" si="8"/>
        <v>0.68691676029000659</v>
      </c>
    </row>
    <row r="525" spans="1:8" ht="15" customHeight="1" x14ac:dyDescent="0.25">
      <c r="A525" s="5">
        <v>519</v>
      </c>
      <c r="B525" s="10" t="s">
        <v>1088</v>
      </c>
      <c r="C525" s="10" t="s">
        <v>1089</v>
      </c>
      <c r="D525" s="7">
        <v>4974.51</v>
      </c>
      <c r="E525" s="5">
        <v>439</v>
      </c>
      <c r="F525" s="5">
        <v>53</v>
      </c>
      <c r="G525" s="12">
        <f>SUM($D$7:D525)</f>
        <v>7332098.9000000032</v>
      </c>
      <c r="H525" s="11">
        <f t="shared" si="8"/>
        <v>0.68738311982088807</v>
      </c>
    </row>
    <row r="526" spans="1:8" ht="15" customHeight="1" x14ac:dyDescent="0.25">
      <c r="A526" s="5">
        <v>520</v>
      </c>
      <c r="B526" s="10" t="s">
        <v>1090</v>
      </c>
      <c r="C526" s="10" t="s">
        <v>1091</v>
      </c>
      <c r="D526" s="7">
        <v>4964.03</v>
      </c>
      <c r="E526" s="5">
        <v>2676</v>
      </c>
      <c r="F526" s="5">
        <v>410</v>
      </c>
      <c r="G526" s="12">
        <f>SUM($D$7:D526)</f>
        <v>7337062.9300000034</v>
      </c>
      <c r="H526" s="11">
        <f t="shared" si="8"/>
        <v>0.68784849685341609</v>
      </c>
    </row>
    <row r="527" spans="1:8" ht="15" customHeight="1" x14ac:dyDescent="0.25">
      <c r="A527" s="5">
        <v>521</v>
      </c>
      <c r="B527" s="10" t="s">
        <v>1092</v>
      </c>
      <c r="C527" s="10" t="s">
        <v>1093</v>
      </c>
      <c r="D527" s="7">
        <v>4950.54</v>
      </c>
      <c r="E527" s="5">
        <v>3250</v>
      </c>
      <c r="F527" s="5">
        <v>377</v>
      </c>
      <c r="G527" s="12">
        <f>SUM($D$7:D527)</f>
        <v>7342013.4700000035</v>
      </c>
      <c r="H527" s="11">
        <f t="shared" si="8"/>
        <v>0.68831260920056381</v>
      </c>
    </row>
    <row r="528" spans="1:8" ht="15" customHeight="1" x14ac:dyDescent="0.25">
      <c r="A528" s="5">
        <v>522</v>
      </c>
      <c r="B528" s="10" t="s">
        <v>1094</v>
      </c>
      <c r="C528" s="10" t="s">
        <v>1095</v>
      </c>
      <c r="D528" s="7">
        <v>4944.37</v>
      </c>
      <c r="E528" s="5">
        <v>2782</v>
      </c>
      <c r="F528" s="5">
        <v>276</v>
      </c>
      <c r="G528" s="12">
        <f>SUM($D$7:D528)</f>
        <v>7346957.8400000036</v>
      </c>
      <c r="H528" s="11">
        <f t="shared" si="8"/>
        <v>0.68877614311118096</v>
      </c>
    </row>
    <row r="529" spans="1:8" ht="15" customHeight="1" x14ac:dyDescent="0.25">
      <c r="A529" s="5">
        <v>523</v>
      </c>
      <c r="B529" s="10" t="s">
        <v>1096</v>
      </c>
      <c r="C529" s="10" t="s">
        <v>1097</v>
      </c>
      <c r="D529" s="7">
        <v>4934.87</v>
      </c>
      <c r="E529" s="5">
        <v>10315</v>
      </c>
      <c r="F529" s="5">
        <v>111</v>
      </c>
      <c r="G529" s="12">
        <f>SUM($D$7:D529)</f>
        <v>7351892.7100000037</v>
      </c>
      <c r="H529" s="11">
        <f t="shared" si="8"/>
        <v>0.68923878639829084</v>
      </c>
    </row>
    <row r="530" spans="1:8" ht="15" customHeight="1" x14ac:dyDescent="0.25">
      <c r="A530" s="5">
        <v>524</v>
      </c>
      <c r="B530" s="10" t="s">
        <v>1098</v>
      </c>
      <c r="C530" s="10" t="s">
        <v>1099</v>
      </c>
      <c r="D530" s="7">
        <v>4914.6899999999996</v>
      </c>
      <c r="E530" s="5">
        <v>1173</v>
      </c>
      <c r="F530" s="5">
        <v>279</v>
      </c>
      <c r="G530" s="12">
        <f>SUM($D$7:D530)</f>
        <v>7356807.4000000041</v>
      </c>
      <c r="H530" s="11">
        <f t="shared" si="8"/>
        <v>0.68969953781357152</v>
      </c>
    </row>
    <row r="531" spans="1:8" ht="15" customHeight="1" x14ac:dyDescent="0.25">
      <c r="A531" s="5">
        <v>525</v>
      </c>
      <c r="B531" s="10" t="s">
        <v>1100</v>
      </c>
      <c r="C531" s="10" t="s">
        <v>1101</v>
      </c>
      <c r="D531" s="7">
        <v>4901.8</v>
      </c>
      <c r="E531" s="5">
        <v>1708</v>
      </c>
      <c r="F531" s="5">
        <v>251</v>
      </c>
      <c r="G531" s="12">
        <f>SUM($D$7:D531)</f>
        <v>7361709.2000000039</v>
      </c>
      <c r="H531" s="11">
        <f t="shared" si="8"/>
        <v>0.69015908079337751</v>
      </c>
    </row>
    <row r="532" spans="1:8" ht="15" customHeight="1" x14ac:dyDescent="0.25">
      <c r="A532" s="5">
        <v>526</v>
      </c>
      <c r="B532" s="10" t="s">
        <v>1102</v>
      </c>
      <c r="C532" s="10" t="s">
        <v>1103</v>
      </c>
      <c r="D532" s="7">
        <v>4897.63</v>
      </c>
      <c r="E532" s="5">
        <v>2125</v>
      </c>
      <c r="F532" s="5">
        <v>436</v>
      </c>
      <c r="G532" s="12">
        <f>SUM($D$7:D532)</f>
        <v>7366606.8300000038</v>
      </c>
      <c r="H532" s="11">
        <f t="shared" si="8"/>
        <v>0.69061823283633861</v>
      </c>
    </row>
    <row r="533" spans="1:8" ht="15" customHeight="1" x14ac:dyDescent="0.25">
      <c r="A533" s="5">
        <v>527</v>
      </c>
      <c r="B533" s="10" t="s">
        <v>1104</v>
      </c>
      <c r="C533" s="10" t="s">
        <v>1105</v>
      </c>
      <c r="D533" s="7">
        <v>4896.55</v>
      </c>
      <c r="E533" s="5">
        <v>316</v>
      </c>
      <c r="F533" s="5">
        <v>111</v>
      </c>
      <c r="G533" s="12">
        <f>SUM($D$7:D533)</f>
        <v>7371503.3800000036</v>
      </c>
      <c r="H533" s="11">
        <f t="shared" si="8"/>
        <v>0.69107728362946952</v>
      </c>
    </row>
    <row r="534" spans="1:8" ht="15" customHeight="1" x14ac:dyDescent="0.25">
      <c r="A534" s="5">
        <v>528</v>
      </c>
      <c r="B534" s="10" t="s">
        <v>1106</v>
      </c>
      <c r="C534" s="10" t="s">
        <v>1107</v>
      </c>
      <c r="D534" s="7">
        <v>4880.6499999999996</v>
      </c>
      <c r="E534" s="5">
        <v>3539</v>
      </c>
      <c r="F534" s="5">
        <v>354</v>
      </c>
      <c r="G534" s="12">
        <f>SUM($D$7:D534)</f>
        <v>7376384.030000004</v>
      </c>
      <c r="H534" s="11">
        <f t="shared" si="8"/>
        <v>0.69153484380009866</v>
      </c>
    </row>
    <row r="535" spans="1:8" ht="15" customHeight="1" x14ac:dyDescent="0.25">
      <c r="A535" s="5">
        <v>529</v>
      </c>
      <c r="B535" s="10" t="s">
        <v>1108</v>
      </c>
      <c r="C535" s="10" t="s">
        <v>1109</v>
      </c>
      <c r="D535" s="7">
        <v>4868.05</v>
      </c>
      <c r="E535" s="5">
        <v>4015</v>
      </c>
      <c r="F535" s="5">
        <v>240</v>
      </c>
      <c r="G535" s="12">
        <f>SUM($D$7:D535)</f>
        <v>7381252.0800000038</v>
      </c>
      <c r="H535" s="11">
        <f t="shared" si="8"/>
        <v>0.69199122272270763</v>
      </c>
    </row>
    <row r="536" spans="1:8" ht="15" customHeight="1" x14ac:dyDescent="0.25">
      <c r="A536" s="5">
        <v>530</v>
      </c>
      <c r="B536" s="10" t="s">
        <v>1110</v>
      </c>
      <c r="C536" s="10" t="s">
        <v>1111</v>
      </c>
      <c r="D536" s="7">
        <v>4864.3</v>
      </c>
      <c r="E536" s="5">
        <v>3646</v>
      </c>
      <c r="F536" s="5">
        <v>335</v>
      </c>
      <c r="G536" s="12">
        <f>SUM($D$7:D536)</f>
        <v>7386116.3800000036</v>
      </c>
      <c r="H536" s="11">
        <f t="shared" si="8"/>
        <v>0.69244725008340569</v>
      </c>
    </row>
    <row r="537" spans="1:8" ht="15" customHeight="1" x14ac:dyDescent="0.25">
      <c r="A537" s="5">
        <v>531</v>
      </c>
      <c r="B537" s="10" t="s">
        <v>1112</v>
      </c>
      <c r="C537" s="10" t="s">
        <v>1113</v>
      </c>
      <c r="D537" s="7">
        <v>4861.8999999999996</v>
      </c>
      <c r="E537" s="5">
        <v>7137</v>
      </c>
      <c r="F537" s="5">
        <v>428</v>
      </c>
      <c r="G537" s="12">
        <f>SUM($D$7:D537)</f>
        <v>7390978.280000004</v>
      </c>
      <c r="H537" s="11">
        <f t="shared" si="8"/>
        <v>0.69290305244448103</v>
      </c>
    </row>
    <row r="538" spans="1:8" ht="15" customHeight="1" x14ac:dyDescent="0.25">
      <c r="A538" s="5">
        <v>532</v>
      </c>
      <c r="B538" s="10" t="s">
        <v>1114</v>
      </c>
      <c r="C538" s="10" t="s">
        <v>1115</v>
      </c>
      <c r="D538" s="7">
        <v>4853.8100000000004</v>
      </c>
      <c r="E538" s="5">
        <v>1933</v>
      </c>
      <c r="F538" s="5">
        <v>300</v>
      </c>
      <c r="G538" s="12">
        <f>SUM($D$7:D538)</f>
        <v>7395832.0900000036</v>
      </c>
      <c r="H538" s="11">
        <f t="shared" si="8"/>
        <v>0.69335809636932733</v>
      </c>
    </row>
    <row r="539" spans="1:8" ht="15" customHeight="1" x14ac:dyDescent="0.25">
      <c r="A539" s="5">
        <v>533</v>
      </c>
      <c r="B539" s="10" t="s">
        <v>1116</v>
      </c>
      <c r="C539" s="10" t="s">
        <v>1117</v>
      </c>
      <c r="D539" s="7">
        <v>4851.88</v>
      </c>
      <c r="E539" s="5">
        <v>3906</v>
      </c>
      <c r="F539" s="5">
        <v>212</v>
      </c>
      <c r="G539" s="12">
        <f>SUM($D$7:D539)</f>
        <v>7400683.9700000035</v>
      </c>
      <c r="H539" s="11">
        <f t="shared" si="8"/>
        <v>0.69381295935697695</v>
      </c>
    </row>
    <row r="540" spans="1:8" ht="15" customHeight="1" x14ac:dyDescent="0.25">
      <c r="A540" s="5">
        <v>534</v>
      </c>
      <c r="B540" s="10" t="s">
        <v>1118</v>
      </c>
      <c r="C540" s="10" t="s">
        <v>1119</v>
      </c>
      <c r="D540" s="7">
        <v>4834.51</v>
      </c>
      <c r="E540" s="5">
        <v>3796</v>
      </c>
      <c r="F540" s="5">
        <v>333</v>
      </c>
      <c r="G540" s="12">
        <f>SUM($D$7:D540)</f>
        <v>7405518.4800000032</v>
      </c>
      <c r="H540" s="11">
        <f t="shared" si="8"/>
        <v>0.69426619390985578</v>
      </c>
    </row>
    <row r="541" spans="1:8" ht="15" customHeight="1" x14ac:dyDescent="0.25">
      <c r="A541" s="5">
        <v>535</v>
      </c>
      <c r="B541" s="10" t="s">
        <v>1120</v>
      </c>
      <c r="C541" s="10" t="s">
        <v>1121</v>
      </c>
      <c r="D541" s="7">
        <v>4830.53</v>
      </c>
      <c r="E541" s="5">
        <v>424</v>
      </c>
      <c r="F541" s="5">
        <v>57</v>
      </c>
      <c r="G541" s="12">
        <f>SUM($D$7:D541)</f>
        <v>7410349.0100000035</v>
      </c>
      <c r="H541" s="11">
        <f t="shared" si="8"/>
        <v>0.69471905533836009</v>
      </c>
    </row>
    <row r="542" spans="1:8" ht="15" customHeight="1" x14ac:dyDescent="0.25">
      <c r="A542" s="5">
        <v>536</v>
      </c>
      <c r="B542" s="10" t="s">
        <v>1122</v>
      </c>
      <c r="C542" s="10" t="s">
        <v>1123</v>
      </c>
      <c r="D542" s="7">
        <v>4818.07</v>
      </c>
      <c r="E542" s="5">
        <v>424</v>
      </c>
      <c r="F542" s="5">
        <v>50</v>
      </c>
      <c r="G542" s="12">
        <f>SUM($D$7:D542)</f>
        <v>7415167.0800000038</v>
      </c>
      <c r="H542" s="11">
        <f t="shared" si="8"/>
        <v>0.69517074864382211</v>
      </c>
    </row>
    <row r="543" spans="1:8" ht="15" customHeight="1" x14ac:dyDescent="0.25">
      <c r="A543" s="5">
        <v>537</v>
      </c>
      <c r="B543" s="10" t="s">
        <v>1124</v>
      </c>
      <c r="C543" s="10" t="s">
        <v>1125</v>
      </c>
      <c r="D543" s="7">
        <v>4799.83</v>
      </c>
      <c r="E543" s="5">
        <v>3189</v>
      </c>
      <c r="F543" s="5">
        <v>356</v>
      </c>
      <c r="G543" s="12">
        <f>SUM($D$7:D543)</f>
        <v>7419966.9100000039</v>
      </c>
      <c r="H543" s="11">
        <f t="shared" si="8"/>
        <v>0.69562073195215013</v>
      </c>
    </row>
    <row r="544" spans="1:8" ht="15" customHeight="1" x14ac:dyDescent="0.25">
      <c r="A544" s="5">
        <v>538</v>
      </c>
      <c r="B544" s="10" t="s">
        <v>1126</v>
      </c>
      <c r="C544" s="10" t="s">
        <v>1127</v>
      </c>
      <c r="D544" s="7">
        <v>4771.76</v>
      </c>
      <c r="E544" s="5">
        <v>2321</v>
      </c>
      <c r="F544" s="5">
        <v>223</v>
      </c>
      <c r="G544" s="12">
        <f>SUM($D$7:D544)</f>
        <v>7424738.6700000037</v>
      </c>
      <c r="H544" s="11">
        <f t="shared" si="8"/>
        <v>0.6960680837023886</v>
      </c>
    </row>
    <row r="545" spans="1:8" ht="15" customHeight="1" x14ac:dyDescent="0.25">
      <c r="A545" s="5">
        <v>539</v>
      </c>
      <c r="B545" s="10" t="s">
        <v>1128</v>
      </c>
      <c r="C545" s="10" t="s">
        <v>1129</v>
      </c>
      <c r="D545" s="7">
        <v>4764.5</v>
      </c>
      <c r="E545" s="5">
        <v>874</v>
      </c>
      <c r="F545" s="5">
        <v>264</v>
      </c>
      <c r="G545" s="12">
        <f>SUM($D$7:D545)</f>
        <v>7429503.1700000037</v>
      </c>
      <c r="H545" s="11">
        <f t="shared" si="8"/>
        <v>0.69651475482876779</v>
      </c>
    </row>
    <row r="546" spans="1:8" ht="15" customHeight="1" x14ac:dyDescent="0.25">
      <c r="A546" s="5">
        <v>540</v>
      </c>
      <c r="B546" s="10" t="s">
        <v>1130</v>
      </c>
      <c r="C546" s="10" t="s">
        <v>1131</v>
      </c>
      <c r="D546" s="7">
        <v>4761.78</v>
      </c>
      <c r="E546" s="5">
        <v>3234</v>
      </c>
      <c r="F546" s="5">
        <v>256</v>
      </c>
      <c r="G546" s="12">
        <f>SUM($D$7:D546)</f>
        <v>7434264.9500000039</v>
      </c>
      <c r="H546" s="11">
        <f t="shared" si="8"/>
        <v>0.69696117095557431</v>
      </c>
    </row>
    <row r="547" spans="1:8" ht="15" customHeight="1" x14ac:dyDescent="0.25">
      <c r="A547" s="5">
        <v>541</v>
      </c>
      <c r="B547" s="10" t="s">
        <v>1132</v>
      </c>
      <c r="C547" s="10" t="s">
        <v>1133</v>
      </c>
      <c r="D547" s="7">
        <v>4758.75</v>
      </c>
      <c r="E547" s="5">
        <v>972</v>
      </c>
      <c r="F547" s="5">
        <v>238</v>
      </c>
      <c r="G547" s="12">
        <f>SUM($D$7:D547)</f>
        <v>7439023.7000000039</v>
      </c>
      <c r="H547" s="11">
        <f t="shared" si="8"/>
        <v>0.69740730302035703</v>
      </c>
    </row>
    <row r="548" spans="1:8" ht="15" customHeight="1" x14ac:dyDescent="0.25">
      <c r="A548" s="5">
        <v>542</v>
      </c>
      <c r="B548" s="10" t="s">
        <v>1134</v>
      </c>
      <c r="C548" s="10" t="s">
        <v>1135</v>
      </c>
      <c r="D548" s="7">
        <v>4753.29</v>
      </c>
      <c r="E548" s="5">
        <v>3099</v>
      </c>
      <c r="F548" s="5">
        <v>131</v>
      </c>
      <c r="G548" s="12">
        <f>SUM($D$7:D548)</f>
        <v>7443776.9900000039</v>
      </c>
      <c r="H548" s="11">
        <f t="shared" si="8"/>
        <v>0.69785292321099757</v>
      </c>
    </row>
    <row r="549" spans="1:8" ht="15" customHeight="1" x14ac:dyDescent="0.25">
      <c r="A549" s="5">
        <v>543</v>
      </c>
      <c r="B549" s="10" t="s">
        <v>1136</v>
      </c>
      <c r="C549" s="10" t="s">
        <v>1137</v>
      </c>
      <c r="D549" s="7">
        <v>4752.3100000000004</v>
      </c>
      <c r="E549" s="5">
        <v>961</v>
      </c>
      <c r="F549" s="5">
        <v>192</v>
      </c>
      <c r="G549" s="12">
        <f>SUM($D$7:D549)</f>
        <v>7448529.3000000035</v>
      </c>
      <c r="H549" s="11">
        <f t="shared" si="8"/>
        <v>0.69829845152679204</v>
      </c>
    </row>
    <row r="550" spans="1:8" ht="15" customHeight="1" x14ac:dyDescent="0.25">
      <c r="A550" s="5">
        <v>544</v>
      </c>
      <c r="B550" s="10" t="s">
        <v>1138</v>
      </c>
      <c r="C550" s="10" t="s">
        <v>1139</v>
      </c>
      <c r="D550" s="7">
        <v>4749.84</v>
      </c>
      <c r="E550" s="5">
        <v>3676</v>
      </c>
      <c r="F550" s="5">
        <v>333</v>
      </c>
      <c r="G550" s="12">
        <f>SUM($D$7:D550)</f>
        <v>7453279.1400000034</v>
      </c>
      <c r="H550" s="11">
        <f t="shared" si="8"/>
        <v>0.6987437482804747</v>
      </c>
    </row>
    <row r="551" spans="1:8" ht="15" customHeight="1" x14ac:dyDescent="0.25">
      <c r="A551" s="5">
        <v>545</v>
      </c>
      <c r="B551" s="10" t="s">
        <v>1140</v>
      </c>
      <c r="C551" s="10" t="s">
        <v>1141</v>
      </c>
      <c r="D551" s="7">
        <v>4747.62</v>
      </c>
      <c r="E551" s="5">
        <v>5048</v>
      </c>
      <c r="F551" s="5">
        <v>222</v>
      </c>
      <c r="G551" s="12">
        <f>SUM($D$7:D551)</f>
        <v>7458026.7600000035</v>
      </c>
      <c r="H551" s="11">
        <f t="shared" si="8"/>
        <v>0.69918883690950617</v>
      </c>
    </row>
    <row r="552" spans="1:8" ht="15" customHeight="1" x14ac:dyDescent="0.25">
      <c r="A552" s="5">
        <v>546</v>
      </c>
      <c r="B552" s="10" t="s">
        <v>1142</v>
      </c>
      <c r="C552" s="10" t="s">
        <v>1143</v>
      </c>
      <c r="D552" s="7">
        <v>4741.37</v>
      </c>
      <c r="E552" s="5">
        <v>418</v>
      </c>
      <c r="F552" s="5">
        <v>52</v>
      </c>
      <c r="G552" s="12">
        <f>SUM($D$7:D552)</f>
        <v>7462768.1300000036</v>
      </c>
      <c r="H552" s="11">
        <f t="shared" si="8"/>
        <v>0.69963333960201968</v>
      </c>
    </row>
    <row r="553" spans="1:8" ht="15" customHeight="1" x14ac:dyDescent="0.25">
      <c r="A553" s="5">
        <v>547</v>
      </c>
      <c r="B553" s="10" t="s">
        <v>1144</v>
      </c>
      <c r="C553" s="10" t="s">
        <v>1145</v>
      </c>
      <c r="D553" s="7">
        <v>4729.9799999999996</v>
      </c>
      <c r="E553" s="5">
        <v>3739</v>
      </c>
      <c r="F553" s="5">
        <v>325</v>
      </c>
      <c r="G553" s="12">
        <f>SUM($D$7:D553)</f>
        <v>7467498.1100000041</v>
      </c>
      <c r="H553" s="11">
        <f t="shared" si="8"/>
        <v>0.70007677448382277</v>
      </c>
    </row>
    <row r="554" spans="1:8" ht="15" customHeight="1" x14ac:dyDescent="0.25">
      <c r="A554" s="5">
        <v>548</v>
      </c>
      <c r="B554" s="10" t="s">
        <v>1146</v>
      </c>
      <c r="C554" s="10" t="s">
        <v>1147</v>
      </c>
      <c r="D554" s="7">
        <v>4726.59</v>
      </c>
      <c r="E554" s="5">
        <v>1109</v>
      </c>
      <c r="F554" s="5">
        <v>233</v>
      </c>
      <c r="G554" s="12">
        <f>SUM($D$7:D554)</f>
        <v>7472224.7000000039</v>
      </c>
      <c r="H554" s="11">
        <f t="shared" si="8"/>
        <v>0.70051989155365857</v>
      </c>
    </row>
    <row r="555" spans="1:8" ht="15" customHeight="1" x14ac:dyDescent="0.25">
      <c r="A555" s="5">
        <v>549</v>
      </c>
      <c r="B555" s="10" t="s">
        <v>1148</v>
      </c>
      <c r="C555" s="10" t="s">
        <v>1149</v>
      </c>
      <c r="D555" s="7">
        <v>4721.7299999999996</v>
      </c>
      <c r="E555" s="5">
        <v>2363</v>
      </c>
      <c r="F555" s="5">
        <v>351</v>
      </c>
      <c r="G555" s="12">
        <f>SUM($D$7:D555)</f>
        <v>7476946.4300000044</v>
      </c>
      <c r="H555" s="11">
        <f t="shared" si="8"/>
        <v>0.70096255299925803</v>
      </c>
    </row>
    <row r="556" spans="1:8" ht="15" customHeight="1" x14ac:dyDescent="0.25">
      <c r="A556" s="5">
        <v>550</v>
      </c>
      <c r="B556" s="10" t="s">
        <v>1150</v>
      </c>
      <c r="C556" s="10" t="s">
        <v>1151</v>
      </c>
      <c r="D556" s="7">
        <v>4716.33</v>
      </c>
      <c r="E556" s="5">
        <v>2713</v>
      </c>
      <c r="F556" s="5">
        <v>409</v>
      </c>
      <c r="G556" s="12">
        <f>SUM($D$7:D556)</f>
        <v>7481662.7600000044</v>
      </c>
      <c r="H556" s="11">
        <f t="shared" si="8"/>
        <v>0.70140470819570599</v>
      </c>
    </row>
    <row r="557" spans="1:8" ht="15" customHeight="1" x14ac:dyDescent="0.25">
      <c r="A557" s="5">
        <v>551</v>
      </c>
      <c r="B557" s="10" t="s">
        <v>1152</v>
      </c>
      <c r="C557" s="10" t="s">
        <v>1153</v>
      </c>
      <c r="D557" s="7">
        <v>4709.07</v>
      </c>
      <c r="E557" s="5">
        <v>2184</v>
      </c>
      <c r="F557" s="5">
        <v>363</v>
      </c>
      <c r="G557" s="12">
        <f>SUM($D$7:D557)</f>
        <v>7486371.8300000047</v>
      </c>
      <c r="H557" s="11">
        <f t="shared" si="8"/>
        <v>0.70184618276829458</v>
      </c>
    </row>
    <row r="558" spans="1:8" ht="15" customHeight="1" x14ac:dyDescent="0.25">
      <c r="A558" s="5">
        <v>552</v>
      </c>
      <c r="B558" s="10" t="s">
        <v>1154</v>
      </c>
      <c r="C558" s="10" t="s">
        <v>1155</v>
      </c>
      <c r="D558" s="7">
        <v>4697.58</v>
      </c>
      <c r="E558" s="5">
        <v>2167</v>
      </c>
      <c r="F558" s="5">
        <v>226</v>
      </c>
      <c r="G558" s="12">
        <f>SUM($D$7:D558)</f>
        <v>7491069.4100000048</v>
      </c>
      <c r="H558" s="11">
        <f t="shared" si="8"/>
        <v>0.70228658015518852</v>
      </c>
    </row>
    <row r="559" spans="1:8" ht="15" customHeight="1" x14ac:dyDescent="0.25">
      <c r="A559" s="5">
        <v>553</v>
      </c>
      <c r="B559" s="10" t="s">
        <v>1156</v>
      </c>
      <c r="C559" s="10" t="s">
        <v>1157</v>
      </c>
      <c r="D559" s="7">
        <v>4682.45</v>
      </c>
      <c r="E559" s="5">
        <v>1295</v>
      </c>
      <c r="F559" s="5">
        <v>101</v>
      </c>
      <c r="G559" s="12">
        <f>SUM($D$7:D559)</f>
        <v>7495751.860000005</v>
      </c>
      <c r="H559" s="11">
        <f t="shared" si="8"/>
        <v>0.70272555910695989</v>
      </c>
    </row>
    <row r="560" spans="1:8" ht="15" customHeight="1" x14ac:dyDescent="0.25">
      <c r="A560" s="5">
        <v>554</v>
      </c>
      <c r="B560" s="10" t="s">
        <v>1158</v>
      </c>
      <c r="C560" s="10" t="s">
        <v>1159</v>
      </c>
      <c r="D560" s="7">
        <v>4680.63</v>
      </c>
      <c r="E560" s="5">
        <v>3016</v>
      </c>
      <c r="F560" s="5">
        <v>364</v>
      </c>
      <c r="G560" s="12">
        <f>SUM($D$7:D560)</f>
        <v>7500432.4900000049</v>
      </c>
      <c r="H560" s="11">
        <f t="shared" si="8"/>
        <v>0.70316436743401711</v>
      </c>
    </row>
    <row r="561" spans="1:8" ht="15" customHeight="1" x14ac:dyDescent="0.25">
      <c r="A561" s="5">
        <v>555</v>
      </c>
      <c r="B561" s="10" t="s">
        <v>1160</v>
      </c>
      <c r="C561" s="10" t="s">
        <v>1161</v>
      </c>
      <c r="D561" s="7">
        <v>4678.71</v>
      </c>
      <c r="E561" s="5">
        <v>1022</v>
      </c>
      <c r="F561" s="5">
        <v>297</v>
      </c>
      <c r="G561" s="12">
        <f>SUM($D$7:D561)</f>
        <v>7505111.2000000048</v>
      </c>
      <c r="H561" s="11">
        <f t="shared" si="8"/>
        <v>0.70360299576137597</v>
      </c>
    </row>
    <row r="562" spans="1:8" ht="15" customHeight="1" x14ac:dyDescent="0.25">
      <c r="A562" s="5">
        <v>556</v>
      </c>
      <c r="B562" s="10" t="s">
        <v>1162</v>
      </c>
      <c r="C562" s="10" t="s">
        <v>1163</v>
      </c>
      <c r="D562" s="7">
        <v>4678.59</v>
      </c>
      <c r="E562" s="5">
        <v>2029</v>
      </c>
      <c r="F562" s="5">
        <v>423</v>
      </c>
      <c r="G562" s="12">
        <f>SUM($D$7:D562)</f>
        <v>7509789.7900000047</v>
      </c>
      <c r="H562" s="11">
        <f t="shared" si="8"/>
        <v>0.70404161283875377</v>
      </c>
    </row>
    <row r="563" spans="1:8" ht="15" customHeight="1" x14ac:dyDescent="0.25">
      <c r="A563" s="5">
        <v>557</v>
      </c>
      <c r="B563" s="10" t="s">
        <v>1164</v>
      </c>
      <c r="C563" s="10" t="s">
        <v>1165</v>
      </c>
      <c r="D563" s="7">
        <v>4674.62</v>
      </c>
      <c r="E563" s="5">
        <v>247</v>
      </c>
      <c r="F563" s="5">
        <v>68</v>
      </c>
      <c r="G563" s="12">
        <f>SUM($D$7:D563)</f>
        <v>7514464.4100000048</v>
      </c>
      <c r="H563" s="11">
        <f t="shared" si="8"/>
        <v>0.70447985772925537</v>
      </c>
    </row>
    <row r="564" spans="1:8" ht="15" customHeight="1" x14ac:dyDescent="0.25">
      <c r="A564" s="5">
        <v>558</v>
      </c>
      <c r="B564" s="10" t="s">
        <v>1166</v>
      </c>
      <c r="C564" s="10" t="s">
        <v>1167</v>
      </c>
      <c r="D564" s="7">
        <v>4670.3599999999997</v>
      </c>
      <c r="E564" s="5">
        <v>315</v>
      </c>
      <c r="F564" s="5">
        <v>142</v>
      </c>
      <c r="G564" s="12">
        <f>SUM($D$7:D564)</f>
        <v>7519134.7700000051</v>
      </c>
      <c r="H564" s="11">
        <f t="shared" si="8"/>
        <v>0.70491770324542624</v>
      </c>
    </row>
    <row r="565" spans="1:8" ht="15" customHeight="1" x14ac:dyDescent="0.25">
      <c r="A565" s="5">
        <v>559</v>
      </c>
      <c r="B565" s="10" t="s">
        <v>1168</v>
      </c>
      <c r="C565" s="10" t="s">
        <v>1169</v>
      </c>
      <c r="D565" s="7">
        <v>4649.5</v>
      </c>
      <c r="E565" s="5">
        <v>2456</v>
      </c>
      <c r="F565" s="5">
        <v>165</v>
      </c>
      <c r="G565" s="12">
        <f>SUM($D$7:D565)</f>
        <v>7523784.2700000051</v>
      </c>
      <c r="H565" s="11">
        <f t="shared" si="8"/>
        <v>0.70535359313987478</v>
      </c>
    </row>
    <row r="566" spans="1:8" ht="15" customHeight="1" x14ac:dyDescent="0.25">
      <c r="A566" s="5">
        <v>560</v>
      </c>
      <c r="B566" s="10" t="s">
        <v>1170</v>
      </c>
      <c r="C566" s="10" t="s">
        <v>1171</v>
      </c>
      <c r="D566" s="7">
        <v>4643.67</v>
      </c>
      <c r="E566" s="5">
        <v>2807</v>
      </c>
      <c r="F566" s="5">
        <v>250</v>
      </c>
      <c r="G566" s="12">
        <f>SUM($D$7:D566)</f>
        <v>7528427.9400000051</v>
      </c>
      <c r="H566" s="11">
        <f t="shared" si="8"/>
        <v>0.70578893647273944</v>
      </c>
    </row>
    <row r="567" spans="1:8" ht="15" customHeight="1" x14ac:dyDescent="0.25">
      <c r="A567" s="5">
        <v>561</v>
      </c>
      <c r="B567" s="10" t="s">
        <v>1172</v>
      </c>
      <c r="C567" s="10" t="s">
        <v>1173</v>
      </c>
      <c r="D567" s="7">
        <v>4625.8599999999997</v>
      </c>
      <c r="E567" s="5">
        <v>966</v>
      </c>
      <c r="F567" s="5">
        <v>190</v>
      </c>
      <c r="G567" s="12">
        <f>SUM($D$7:D567)</f>
        <v>7533053.8000000054</v>
      </c>
      <c r="H567" s="11">
        <f t="shared" si="8"/>
        <v>0.70622261012090237</v>
      </c>
    </row>
    <row r="568" spans="1:8" ht="15" customHeight="1" x14ac:dyDescent="0.25">
      <c r="A568" s="5">
        <v>562</v>
      </c>
      <c r="B568" s="10" t="s">
        <v>1174</v>
      </c>
      <c r="C568" s="10" t="s">
        <v>1175</v>
      </c>
      <c r="D568" s="7">
        <v>4621.87</v>
      </c>
      <c r="E568" s="5">
        <v>3227</v>
      </c>
      <c r="F568" s="5">
        <v>237</v>
      </c>
      <c r="G568" s="12">
        <f>SUM($D$7:D568)</f>
        <v>7537675.6700000055</v>
      </c>
      <c r="H568" s="11">
        <f t="shared" si="8"/>
        <v>0.70665590970719228</v>
      </c>
    </row>
    <row r="569" spans="1:8" ht="15" customHeight="1" x14ac:dyDescent="0.25">
      <c r="A569" s="5">
        <v>563</v>
      </c>
      <c r="B569" s="10" t="s">
        <v>1176</v>
      </c>
      <c r="C569" s="10" t="s">
        <v>1177</v>
      </c>
      <c r="D569" s="7">
        <v>4594.43</v>
      </c>
      <c r="E569" s="5">
        <v>2726</v>
      </c>
      <c r="F569" s="5">
        <v>168</v>
      </c>
      <c r="G569" s="12">
        <f>SUM($D$7:D569)</f>
        <v>7542270.1000000052</v>
      </c>
      <c r="H569" s="11">
        <f t="shared" si="8"/>
        <v>0.7070866367977936</v>
      </c>
    </row>
    <row r="570" spans="1:8" ht="15" customHeight="1" x14ac:dyDescent="0.25">
      <c r="A570" s="5">
        <v>564</v>
      </c>
      <c r="B570" s="10" t="s">
        <v>1178</v>
      </c>
      <c r="C570" s="10" t="s">
        <v>1179</v>
      </c>
      <c r="D570" s="7">
        <v>4572.41</v>
      </c>
      <c r="E570" s="5">
        <v>4807</v>
      </c>
      <c r="F570" s="5">
        <v>191</v>
      </c>
      <c r="G570" s="12">
        <f>SUM($D$7:D570)</f>
        <v>7546842.5100000054</v>
      </c>
      <c r="H570" s="11">
        <f t="shared" si="8"/>
        <v>0.70751529951685499</v>
      </c>
    </row>
    <row r="571" spans="1:8" ht="15" customHeight="1" x14ac:dyDescent="0.25">
      <c r="A571" s="5">
        <v>565</v>
      </c>
      <c r="B571" s="10" t="s">
        <v>1180</v>
      </c>
      <c r="C571" s="10" t="s">
        <v>1181</v>
      </c>
      <c r="D571" s="7">
        <v>4566.54</v>
      </c>
      <c r="E571" s="5">
        <v>8426</v>
      </c>
      <c r="F571" s="5">
        <v>520</v>
      </c>
      <c r="G571" s="12">
        <f>SUM($D$7:D571)</f>
        <v>7551409.0500000054</v>
      </c>
      <c r="H571" s="11">
        <f t="shared" si="8"/>
        <v>0.70794341192433852</v>
      </c>
    </row>
    <row r="572" spans="1:8" ht="15" customHeight="1" x14ac:dyDescent="0.25">
      <c r="A572" s="5">
        <v>566</v>
      </c>
      <c r="B572" s="10" t="s">
        <v>1182</v>
      </c>
      <c r="C572" s="10" t="s">
        <v>1183</v>
      </c>
      <c r="D572" s="7">
        <v>4561.76</v>
      </c>
      <c r="E572" s="5">
        <v>1011</v>
      </c>
      <c r="F572" s="5">
        <v>169</v>
      </c>
      <c r="G572" s="12">
        <f>SUM($D$7:D572)</f>
        <v>7555970.8100000052</v>
      </c>
      <c r="H572" s="11">
        <f t="shared" si="8"/>
        <v>0.70837107620757322</v>
      </c>
    </row>
    <row r="573" spans="1:8" ht="15" customHeight="1" x14ac:dyDescent="0.25">
      <c r="A573" s="5">
        <v>567</v>
      </c>
      <c r="B573" s="10" t="s">
        <v>1184</v>
      </c>
      <c r="C573" s="10" t="s">
        <v>1185</v>
      </c>
      <c r="D573" s="7">
        <v>4557.97</v>
      </c>
      <c r="E573" s="5">
        <v>3749</v>
      </c>
      <c r="F573" s="5">
        <v>325</v>
      </c>
      <c r="G573" s="12">
        <f>SUM($D$7:D573)</f>
        <v>7560528.7800000049</v>
      </c>
      <c r="H573" s="11">
        <f t="shared" si="8"/>
        <v>0.70879838517890337</v>
      </c>
    </row>
    <row r="574" spans="1:8" ht="15" customHeight="1" x14ac:dyDescent="0.25">
      <c r="A574" s="5">
        <v>568</v>
      </c>
      <c r="B574" s="10" t="s">
        <v>1186</v>
      </c>
      <c r="C574" s="10" t="s">
        <v>1187</v>
      </c>
      <c r="D574" s="7">
        <v>4542.8900000000003</v>
      </c>
      <c r="E574" s="5">
        <v>2918</v>
      </c>
      <c r="F574" s="5">
        <v>351</v>
      </c>
      <c r="G574" s="12">
        <f>SUM($D$7:D574)</f>
        <v>7565071.6700000046</v>
      </c>
      <c r="H574" s="11">
        <f t="shared" si="8"/>
        <v>0.70922428040260288</v>
      </c>
    </row>
    <row r="575" spans="1:8" ht="15" customHeight="1" x14ac:dyDescent="0.25">
      <c r="A575" s="5">
        <v>569</v>
      </c>
      <c r="B575" s="10" t="s">
        <v>1188</v>
      </c>
      <c r="C575" s="10" t="s">
        <v>1189</v>
      </c>
      <c r="D575" s="7">
        <v>4531.9799999999996</v>
      </c>
      <c r="E575" s="5">
        <v>6983</v>
      </c>
      <c r="F575" s="5">
        <v>355</v>
      </c>
      <c r="G575" s="12">
        <f>SUM($D$7:D575)</f>
        <v>7569603.650000005</v>
      </c>
      <c r="H575" s="11">
        <f t="shared" si="8"/>
        <v>0.70964915281551677</v>
      </c>
    </row>
    <row r="576" spans="1:8" ht="15" customHeight="1" x14ac:dyDescent="0.25">
      <c r="A576" s="5">
        <v>570</v>
      </c>
      <c r="B576" s="10" t="s">
        <v>1190</v>
      </c>
      <c r="C576" s="10" t="s">
        <v>1191</v>
      </c>
      <c r="D576" s="7">
        <v>4527.2</v>
      </c>
      <c r="E576" s="5">
        <v>8332</v>
      </c>
      <c r="F576" s="5">
        <v>407</v>
      </c>
      <c r="G576" s="12">
        <f>SUM($D$7:D576)</f>
        <v>7574130.8500000052</v>
      </c>
      <c r="H576" s="11">
        <f t="shared" si="8"/>
        <v>0.71007357710418173</v>
      </c>
    </row>
    <row r="577" spans="1:8" ht="15" customHeight="1" x14ac:dyDescent="0.25">
      <c r="A577" s="5">
        <v>571</v>
      </c>
      <c r="B577" s="10" t="s">
        <v>1192</v>
      </c>
      <c r="C577" s="10" t="s">
        <v>1193</v>
      </c>
      <c r="D577" s="7">
        <v>4515.22</v>
      </c>
      <c r="E577" s="5">
        <v>1832</v>
      </c>
      <c r="F577" s="5">
        <v>209</v>
      </c>
      <c r="G577" s="12">
        <f>SUM($D$7:D577)</f>
        <v>7578646.070000005</v>
      </c>
      <c r="H577" s="11">
        <f t="shared" si="8"/>
        <v>0.71049687826972885</v>
      </c>
    </row>
    <row r="578" spans="1:8" ht="15" customHeight="1" x14ac:dyDescent="0.25">
      <c r="A578" s="5">
        <v>572</v>
      </c>
      <c r="B578" s="10" t="s">
        <v>1194</v>
      </c>
      <c r="C578" s="10" t="s">
        <v>1195</v>
      </c>
      <c r="D578" s="7">
        <v>4514.58</v>
      </c>
      <c r="E578" s="5">
        <v>547</v>
      </c>
      <c r="F578" s="5">
        <v>241</v>
      </c>
      <c r="G578" s="12">
        <f>SUM($D$7:D578)</f>
        <v>7583160.650000005</v>
      </c>
      <c r="H578" s="11">
        <f t="shared" si="8"/>
        <v>0.7109201194353767</v>
      </c>
    </row>
    <row r="579" spans="1:8" ht="15" customHeight="1" x14ac:dyDescent="0.25">
      <c r="A579" s="5">
        <v>573</v>
      </c>
      <c r="B579" s="10" t="s">
        <v>1196</v>
      </c>
      <c r="C579" s="10" t="s">
        <v>1197</v>
      </c>
      <c r="D579" s="7">
        <v>4488.63</v>
      </c>
      <c r="E579" s="5">
        <v>2367</v>
      </c>
      <c r="F579" s="5">
        <v>186</v>
      </c>
      <c r="G579" s="12">
        <f>SUM($D$7:D579)</f>
        <v>7587649.2800000049</v>
      </c>
      <c r="H579" s="11">
        <f t="shared" si="8"/>
        <v>0.71134092779260194</v>
      </c>
    </row>
    <row r="580" spans="1:8" ht="15" customHeight="1" x14ac:dyDescent="0.25">
      <c r="A580" s="5">
        <v>574</v>
      </c>
      <c r="B580" s="10" t="s">
        <v>1198</v>
      </c>
      <c r="C580" s="10" t="s">
        <v>1199</v>
      </c>
      <c r="D580" s="7">
        <v>4480.28</v>
      </c>
      <c r="E580" s="5">
        <v>2421</v>
      </c>
      <c r="F580" s="5">
        <v>411</v>
      </c>
      <c r="G580" s="12">
        <f>SUM($D$7:D580)</f>
        <v>7592129.5600000052</v>
      </c>
      <c r="H580" s="11">
        <f t="shared" si="8"/>
        <v>0.71176095333863909</v>
      </c>
    </row>
    <row r="581" spans="1:8" ht="15" customHeight="1" x14ac:dyDescent="0.25">
      <c r="A581" s="5">
        <v>575</v>
      </c>
      <c r="B581" s="10" t="s">
        <v>1200</v>
      </c>
      <c r="C581" s="10" t="s">
        <v>1201</v>
      </c>
      <c r="D581" s="7">
        <v>4476.01</v>
      </c>
      <c r="E581" s="5">
        <v>5847</v>
      </c>
      <c r="F581" s="5">
        <v>231</v>
      </c>
      <c r="G581" s="12">
        <f>SUM($D$7:D581)</f>
        <v>7596605.570000005</v>
      </c>
      <c r="H581" s="11">
        <f t="shared" si="8"/>
        <v>0.71218057857284722</v>
      </c>
    </row>
    <row r="582" spans="1:8" ht="15" customHeight="1" x14ac:dyDescent="0.25">
      <c r="A582" s="5">
        <v>576</v>
      </c>
      <c r="B582" s="10" t="s">
        <v>1202</v>
      </c>
      <c r="C582" s="10" t="s">
        <v>1203</v>
      </c>
      <c r="D582" s="7">
        <v>4474.07</v>
      </c>
      <c r="E582" s="5">
        <v>3053</v>
      </c>
      <c r="F582" s="5">
        <v>334</v>
      </c>
      <c r="G582" s="12">
        <f>SUM($D$7:D582)</f>
        <v>7601079.6400000053</v>
      </c>
      <c r="H582" s="11">
        <f t="shared" si="8"/>
        <v>0.71260002193236016</v>
      </c>
    </row>
    <row r="583" spans="1:8" ht="15" customHeight="1" x14ac:dyDescent="0.25">
      <c r="A583" s="5">
        <v>577</v>
      </c>
      <c r="B583" s="10" t="s">
        <v>1204</v>
      </c>
      <c r="C583" s="10" t="s">
        <v>1205</v>
      </c>
      <c r="D583" s="7">
        <v>4470.8100000000004</v>
      </c>
      <c r="E583" s="5">
        <v>581</v>
      </c>
      <c r="F583" s="5">
        <v>173</v>
      </c>
      <c r="G583" s="12">
        <f>SUM($D$7:D583)</f>
        <v>7605550.4500000048</v>
      </c>
      <c r="H583" s="11">
        <f t="shared" ref="H583:H646" si="9">G583/SUM($D$7:$D$4167)</f>
        <v>0.71301915966738527</v>
      </c>
    </row>
    <row r="584" spans="1:8" ht="15" customHeight="1" x14ac:dyDescent="0.25">
      <c r="A584" s="5">
        <v>578</v>
      </c>
      <c r="B584" s="10" t="s">
        <v>1206</v>
      </c>
      <c r="C584" s="10" t="s">
        <v>1207</v>
      </c>
      <c r="D584" s="7">
        <v>4469.04</v>
      </c>
      <c r="E584" s="5">
        <v>609</v>
      </c>
      <c r="F584" s="5">
        <v>152</v>
      </c>
      <c r="G584" s="12">
        <f>SUM($D$7:D584)</f>
        <v>7610019.4900000049</v>
      </c>
      <c r="H584" s="11">
        <f t="shared" si="9"/>
        <v>0.71343813146518853</v>
      </c>
    </row>
    <row r="585" spans="1:8" ht="15" customHeight="1" x14ac:dyDescent="0.25">
      <c r="A585" s="5">
        <v>579</v>
      </c>
      <c r="B585" s="10" t="s">
        <v>1208</v>
      </c>
      <c r="C585" s="10" t="s">
        <v>1209</v>
      </c>
      <c r="D585" s="7">
        <v>4460.38</v>
      </c>
      <c r="E585" s="5">
        <v>1424</v>
      </c>
      <c r="F585" s="5">
        <v>272</v>
      </c>
      <c r="G585" s="12">
        <f>SUM($D$7:D585)</f>
        <v>7614479.8700000048</v>
      </c>
      <c r="H585" s="11">
        <f t="shared" si="9"/>
        <v>0.71385629138935247</v>
      </c>
    </row>
    <row r="586" spans="1:8" ht="15" customHeight="1" x14ac:dyDescent="0.25">
      <c r="A586" s="5">
        <v>580</v>
      </c>
      <c r="B586" s="10" t="s">
        <v>1210</v>
      </c>
      <c r="C586" s="10" t="s">
        <v>1211</v>
      </c>
      <c r="D586" s="7">
        <v>4444.2299999999996</v>
      </c>
      <c r="E586" s="5">
        <v>4625</v>
      </c>
      <c r="F586" s="5">
        <v>185</v>
      </c>
      <c r="G586" s="12">
        <f>SUM($D$7:D586)</f>
        <v>7618924.1000000052</v>
      </c>
      <c r="H586" s="11">
        <f t="shared" si="9"/>
        <v>0.71427293725355401</v>
      </c>
    </row>
    <row r="587" spans="1:8" ht="15" customHeight="1" x14ac:dyDescent="0.25">
      <c r="A587" s="5">
        <v>581</v>
      </c>
      <c r="B587" s="10" t="s">
        <v>1212</v>
      </c>
      <c r="C587" s="10" t="s">
        <v>1213</v>
      </c>
      <c r="D587" s="7">
        <v>4436.2700000000004</v>
      </c>
      <c r="E587" s="5">
        <v>1056</v>
      </c>
      <c r="F587" s="5">
        <v>86</v>
      </c>
      <c r="G587" s="12">
        <f>SUM($D$7:D587)</f>
        <v>7623360.3700000048</v>
      </c>
      <c r="H587" s="11">
        <f t="shared" si="9"/>
        <v>0.71468883686900631</v>
      </c>
    </row>
    <row r="588" spans="1:8" ht="15" customHeight="1" x14ac:dyDescent="0.25">
      <c r="A588" s="5">
        <v>582</v>
      </c>
      <c r="B588" s="10" t="s">
        <v>1214</v>
      </c>
      <c r="C588" s="10" t="s">
        <v>1215</v>
      </c>
      <c r="D588" s="7">
        <v>4427.3599999999997</v>
      </c>
      <c r="E588" s="5">
        <v>520</v>
      </c>
      <c r="F588" s="5">
        <v>199</v>
      </c>
      <c r="G588" s="12">
        <f>SUM($D$7:D588)</f>
        <v>7627787.7300000051</v>
      </c>
      <c r="H588" s="11">
        <f t="shared" si="9"/>
        <v>0.71510390117335854</v>
      </c>
    </row>
    <row r="589" spans="1:8" ht="15" customHeight="1" x14ac:dyDescent="0.25">
      <c r="A589" s="5">
        <v>583</v>
      </c>
      <c r="B589" s="10" t="s">
        <v>1216</v>
      </c>
      <c r="C589" s="10" t="s">
        <v>1217</v>
      </c>
      <c r="D589" s="7">
        <v>4387.82</v>
      </c>
      <c r="E589" s="5">
        <v>6640</v>
      </c>
      <c r="F589" s="5">
        <v>362</v>
      </c>
      <c r="G589" s="12">
        <f>SUM($D$7:D589)</f>
        <v>7632175.5500000054</v>
      </c>
      <c r="H589" s="11">
        <f t="shared" si="9"/>
        <v>0.71551525860892351</v>
      </c>
    </row>
    <row r="590" spans="1:8" ht="15" customHeight="1" x14ac:dyDescent="0.25">
      <c r="A590" s="5">
        <v>584</v>
      </c>
      <c r="B590" s="10" t="s">
        <v>1218</v>
      </c>
      <c r="C590" s="10" t="s">
        <v>1219</v>
      </c>
      <c r="D590" s="7">
        <v>4366.82</v>
      </c>
      <c r="E590" s="5">
        <v>778</v>
      </c>
      <c r="F590" s="5">
        <v>144</v>
      </c>
      <c r="G590" s="12">
        <f>SUM($D$7:D590)</f>
        <v>7636542.3700000057</v>
      </c>
      <c r="H590" s="11">
        <f t="shared" si="9"/>
        <v>0.71592464729778804</v>
      </c>
    </row>
    <row r="591" spans="1:8" ht="15" customHeight="1" x14ac:dyDescent="0.25">
      <c r="A591" s="5">
        <v>585</v>
      </c>
      <c r="B591" s="10" t="s">
        <v>1220</v>
      </c>
      <c r="C591" s="10" t="s">
        <v>1221</v>
      </c>
      <c r="D591" s="7">
        <v>4355.1000000000004</v>
      </c>
      <c r="E591" s="5">
        <v>3231</v>
      </c>
      <c r="F591" s="5">
        <v>337</v>
      </c>
      <c r="G591" s="12">
        <f>SUM($D$7:D591)</f>
        <v>7640897.4700000053</v>
      </c>
      <c r="H591" s="11">
        <f t="shared" si="9"/>
        <v>0.71633293723849412</v>
      </c>
    </row>
    <row r="592" spans="1:8" ht="15" customHeight="1" x14ac:dyDescent="0.25">
      <c r="A592" s="5">
        <v>586</v>
      </c>
      <c r="B592" s="10" t="s">
        <v>506</v>
      </c>
      <c r="C592" s="10" t="s">
        <v>1222</v>
      </c>
      <c r="D592" s="7">
        <v>4346.2700000000004</v>
      </c>
      <c r="E592" s="5">
        <v>1201</v>
      </c>
      <c r="F592" s="5">
        <v>102</v>
      </c>
      <c r="G592" s="12">
        <f>SUM($D$7:D592)</f>
        <v>7645243.7400000049</v>
      </c>
      <c r="H592" s="11">
        <f t="shared" si="9"/>
        <v>0.71674039936808753</v>
      </c>
    </row>
    <row r="593" spans="1:8" ht="15" customHeight="1" x14ac:dyDescent="0.25">
      <c r="A593" s="5">
        <v>587</v>
      </c>
      <c r="B593" s="10" t="s">
        <v>1223</v>
      </c>
      <c r="C593" s="10" t="s">
        <v>1224</v>
      </c>
      <c r="D593" s="7">
        <v>4336.7</v>
      </c>
      <c r="E593" s="5">
        <v>1178</v>
      </c>
      <c r="F593" s="5">
        <v>287</v>
      </c>
      <c r="G593" s="12">
        <f>SUM($D$7:D593)</f>
        <v>7649580.4400000051</v>
      </c>
      <c r="H593" s="11">
        <f t="shared" si="9"/>
        <v>0.71714696431168468</v>
      </c>
    </row>
    <row r="594" spans="1:8" ht="15" customHeight="1" x14ac:dyDescent="0.25">
      <c r="A594" s="5">
        <v>588</v>
      </c>
      <c r="B594" s="10" t="s">
        <v>1225</v>
      </c>
      <c r="C594" s="10" t="s">
        <v>1226</v>
      </c>
      <c r="D594" s="7">
        <v>4335.76</v>
      </c>
      <c r="E594" s="5">
        <v>13328</v>
      </c>
      <c r="F594" s="5">
        <v>54</v>
      </c>
      <c r="G594" s="12">
        <f>SUM($D$7:D594)</f>
        <v>7653916.2000000048</v>
      </c>
      <c r="H594" s="11">
        <f t="shared" si="9"/>
        <v>0.71755344113042951</v>
      </c>
    </row>
    <row r="595" spans="1:8" ht="15" customHeight="1" x14ac:dyDescent="0.25">
      <c r="A595" s="5">
        <v>589</v>
      </c>
      <c r="B595" s="10" t="s">
        <v>1227</v>
      </c>
      <c r="C595" s="10" t="s">
        <v>1228</v>
      </c>
      <c r="D595" s="7">
        <v>4329.4799999999996</v>
      </c>
      <c r="E595" s="5">
        <v>7908</v>
      </c>
      <c r="F595" s="5">
        <v>583</v>
      </c>
      <c r="G595" s="12">
        <f>SUM($D$7:D595)</f>
        <v>7658245.6800000053</v>
      </c>
      <c r="H595" s="11">
        <f t="shared" si="9"/>
        <v>0.71795932920016114</v>
      </c>
    </row>
    <row r="596" spans="1:8" ht="15" customHeight="1" x14ac:dyDescent="0.25">
      <c r="A596" s="5">
        <v>590</v>
      </c>
      <c r="B596" s="10" t="s">
        <v>1229</v>
      </c>
      <c r="C596" s="10" t="s">
        <v>1230</v>
      </c>
      <c r="D596" s="7">
        <v>4328.53</v>
      </c>
      <c r="E596" s="5">
        <v>2070</v>
      </c>
      <c r="F596" s="5">
        <v>313</v>
      </c>
      <c r="G596" s="12">
        <f>SUM($D$7:D596)</f>
        <v>7662574.2100000056</v>
      </c>
      <c r="H596" s="11">
        <f t="shared" si="9"/>
        <v>0.71836512820754206</v>
      </c>
    </row>
    <row r="597" spans="1:8" ht="15" customHeight="1" x14ac:dyDescent="0.25">
      <c r="A597" s="5">
        <v>591</v>
      </c>
      <c r="B597" s="10" t="s">
        <v>1231</v>
      </c>
      <c r="C597" s="10" t="s">
        <v>1232</v>
      </c>
      <c r="D597" s="7">
        <v>4322.42</v>
      </c>
      <c r="E597" s="5">
        <v>10551</v>
      </c>
      <c r="F597" s="5">
        <v>336</v>
      </c>
      <c r="G597" s="12">
        <f>SUM($D$7:D597)</f>
        <v>7666896.6300000055</v>
      </c>
      <c r="H597" s="11">
        <f t="shared" si="9"/>
        <v>0.71877035440338288</v>
      </c>
    </row>
    <row r="598" spans="1:8" ht="15" customHeight="1" x14ac:dyDescent="0.25">
      <c r="A598" s="5">
        <v>592</v>
      </c>
      <c r="B598" s="10" t="s">
        <v>1233</v>
      </c>
      <c r="C598" s="10" t="s">
        <v>1234</v>
      </c>
      <c r="D598" s="7">
        <v>4322.16</v>
      </c>
      <c r="E598" s="5">
        <v>3196</v>
      </c>
      <c r="F598" s="5">
        <v>412</v>
      </c>
      <c r="G598" s="12">
        <f>SUM($D$7:D598)</f>
        <v>7671218.7900000056</v>
      </c>
      <c r="H598" s="11">
        <f t="shared" si="9"/>
        <v>0.71917555622426466</v>
      </c>
    </row>
    <row r="599" spans="1:8" ht="15" customHeight="1" x14ac:dyDescent="0.25">
      <c r="A599" s="5">
        <v>593</v>
      </c>
      <c r="B599" s="10" t="s">
        <v>1235</v>
      </c>
      <c r="C599" s="10" t="s">
        <v>1236</v>
      </c>
      <c r="D599" s="7">
        <v>4312.6000000000004</v>
      </c>
      <c r="E599" s="5">
        <v>3076</v>
      </c>
      <c r="F599" s="5">
        <v>325</v>
      </c>
      <c r="G599" s="12">
        <f>SUM($D$7:D599)</f>
        <v>7675531.3900000053</v>
      </c>
      <c r="H599" s="11">
        <f t="shared" si="9"/>
        <v>0.71957986179664846</v>
      </c>
    </row>
    <row r="600" spans="1:8" ht="15" customHeight="1" x14ac:dyDescent="0.25">
      <c r="A600" s="5">
        <v>594</v>
      </c>
      <c r="B600" s="10" t="s">
        <v>1237</v>
      </c>
      <c r="C600" s="10" t="s">
        <v>1238</v>
      </c>
      <c r="D600" s="7">
        <v>4286.55</v>
      </c>
      <c r="E600" s="5">
        <v>497</v>
      </c>
      <c r="F600" s="5">
        <v>205</v>
      </c>
      <c r="G600" s="12">
        <f>SUM($D$7:D600)</f>
        <v>7679817.9400000051</v>
      </c>
      <c r="H600" s="11">
        <f t="shared" si="9"/>
        <v>0.71998172518562542</v>
      </c>
    </row>
    <row r="601" spans="1:8" ht="15" customHeight="1" x14ac:dyDescent="0.25">
      <c r="A601" s="5">
        <v>595</v>
      </c>
      <c r="B601" s="10" t="s">
        <v>1239</v>
      </c>
      <c r="C601" s="10" t="s">
        <v>1240</v>
      </c>
      <c r="D601" s="7">
        <v>4282.57</v>
      </c>
      <c r="E601" s="5">
        <v>1169</v>
      </c>
      <c r="F601" s="5">
        <v>295</v>
      </c>
      <c r="G601" s="12">
        <f>SUM($D$7:D601)</f>
        <v>7684100.5100000054</v>
      </c>
      <c r="H601" s="11">
        <f t="shared" si="9"/>
        <v>0.72038321545022777</v>
      </c>
    </row>
    <row r="602" spans="1:8" ht="15" customHeight="1" x14ac:dyDescent="0.25">
      <c r="A602" s="5">
        <v>596</v>
      </c>
      <c r="B602" s="10" t="s">
        <v>1241</v>
      </c>
      <c r="C602" s="10" t="s">
        <v>1242</v>
      </c>
      <c r="D602" s="7">
        <v>4260.12</v>
      </c>
      <c r="E602" s="5">
        <v>1846</v>
      </c>
      <c r="F602" s="5">
        <v>405</v>
      </c>
      <c r="G602" s="12">
        <f>SUM($D$7:D602)</f>
        <v>7688360.6300000055</v>
      </c>
      <c r="H602" s="11">
        <f t="shared" si="9"/>
        <v>0.72078260103085756</v>
      </c>
    </row>
    <row r="603" spans="1:8" ht="15" customHeight="1" x14ac:dyDescent="0.25">
      <c r="A603" s="5">
        <v>597</v>
      </c>
      <c r="B603" s="10" t="s">
        <v>1243</v>
      </c>
      <c r="C603" s="10" t="s">
        <v>1244</v>
      </c>
      <c r="D603" s="7">
        <v>4235.88</v>
      </c>
      <c r="E603" s="5">
        <v>1117</v>
      </c>
      <c r="F603" s="5">
        <v>262</v>
      </c>
      <c r="G603" s="12">
        <f>SUM($D$7:D603)</f>
        <v>7692596.5100000054</v>
      </c>
      <c r="H603" s="11">
        <f t="shared" si="9"/>
        <v>0.72117971411529602</v>
      </c>
    </row>
    <row r="604" spans="1:8" ht="15" customHeight="1" x14ac:dyDescent="0.25">
      <c r="A604" s="5">
        <v>598</v>
      </c>
      <c r="B604" s="10" t="s">
        <v>1245</v>
      </c>
      <c r="C604" s="10" t="s">
        <v>1246</v>
      </c>
      <c r="D604" s="7">
        <v>4231.95</v>
      </c>
      <c r="E604" s="5">
        <v>5214</v>
      </c>
      <c r="F604" s="5">
        <v>415</v>
      </c>
      <c r="G604" s="12">
        <f>SUM($D$7:D604)</f>
        <v>7696828.4600000056</v>
      </c>
      <c r="H604" s="11">
        <f t="shared" si="9"/>
        <v>0.72157645876285204</v>
      </c>
    </row>
    <row r="605" spans="1:8" ht="15" customHeight="1" x14ac:dyDescent="0.25">
      <c r="A605" s="5">
        <v>599</v>
      </c>
      <c r="B605" s="10" t="s">
        <v>1247</v>
      </c>
      <c r="C605" s="10" t="s">
        <v>1248</v>
      </c>
      <c r="D605" s="7">
        <v>4228.01</v>
      </c>
      <c r="E605" s="5">
        <v>583</v>
      </c>
      <c r="F605" s="5">
        <v>146</v>
      </c>
      <c r="G605" s="12">
        <f>SUM($D$7:D605)</f>
        <v>7701056.4700000053</v>
      </c>
      <c r="H605" s="11">
        <f t="shared" si="9"/>
        <v>0.72197283403602697</v>
      </c>
    </row>
    <row r="606" spans="1:8" ht="15" customHeight="1" x14ac:dyDescent="0.25">
      <c r="A606" s="5">
        <v>600</v>
      </c>
      <c r="B606" s="10" t="s">
        <v>1249</v>
      </c>
      <c r="C606" s="10" t="s">
        <v>1250</v>
      </c>
      <c r="D606" s="7">
        <v>4217.7299999999996</v>
      </c>
      <c r="E606" s="5">
        <v>2355</v>
      </c>
      <c r="F606" s="5">
        <v>225</v>
      </c>
      <c r="G606" s="12">
        <f>SUM($D$7:D606)</f>
        <v>7705274.2000000058</v>
      </c>
      <c r="H606" s="11">
        <f t="shared" si="9"/>
        <v>0.72236824556081736</v>
      </c>
    </row>
    <row r="607" spans="1:8" ht="15" customHeight="1" x14ac:dyDescent="0.25">
      <c r="A607" s="5">
        <v>601</v>
      </c>
      <c r="B607" s="10" t="s">
        <v>1251</v>
      </c>
      <c r="C607" s="10" t="s">
        <v>1252</v>
      </c>
      <c r="D607" s="7">
        <v>4215.1400000000003</v>
      </c>
      <c r="E607" s="5">
        <v>1030</v>
      </c>
      <c r="F607" s="5">
        <v>220</v>
      </c>
      <c r="G607" s="12">
        <f>SUM($D$7:D607)</f>
        <v>7709489.3400000054</v>
      </c>
      <c r="H607" s="11">
        <f t="shared" si="9"/>
        <v>0.72276341427351454</v>
      </c>
    </row>
    <row r="608" spans="1:8" ht="15" customHeight="1" x14ac:dyDescent="0.25">
      <c r="A608" s="5">
        <v>602</v>
      </c>
      <c r="B608" s="10" t="s">
        <v>1253</v>
      </c>
      <c r="C608" s="10" t="s">
        <v>1254</v>
      </c>
      <c r="D608" s="7">
        <v>4208.96</v>
      </c>
      <c r="E608" s="5">
        <v>1074</v>
      </c>
      <c r="F608" s="5">
        <v>246</v>
      </c>
      <c r="G608" s="12">
        <f>SUM($D$7:D608)</f>
        <v>7713698.3000000054</v>
      </c>
      <c r="H608" s="11">
        <f t="shared" si="9"/>
        <v>0.72315800361218285</v>
      </c>
    </row>
    <row r="609" spans="1:8" ht="15" customHeight="1" x14ac:dyDescent="0.25">
      <c r="A609" s="5">
        <v>603</v>
      </c>
      <c r="B609" s="10" t="s">
        <v>1255</v>
      </c>
      <c r="C609" s="10" t="s">
        <v>1256</v>
      </c>
      <c r="D609" s="7">
        <v>4197.83</v>
      </c>
      <c r="E609" s="5">
        <v>5089</v>
      </c>
      <c r="F609" s="5">
        <v>274</v>
      </c>
      <c r="G609" s="12">
        <f>SUM($D$7:D609)</f>
        <v>7717896.1300000055</v>
      </c>
      <c r="H609" s="11">
        <f t="shared" si="9"/>
        <v>0.72355154951509992</v>
      </c>
    </row>
    <row r="610" spans="1:8" ht="15" customHeight="1" x14ac:dyDescent="0.25">
      <c r="A610" s="5">
        <v>604</v>
      </c>
      <c r="B610" s="10" t="s">
        <v>1257</v>
      </c>
      <c r="C610" s="10" t="s">
        <v>1258</v>
      </c>
      <c r="D610" s="7">
        <v>4194.8900000000003</v>
      </c>
      <c r="E610" s="5">
        <v>1162</v>
      </c>
      <c r="F610" s="5">
        <v>217</v>
      </c>
      <c r="G610" s="12">
        <f>SUM($D$7:D610)</f>
        <v>7722091.0200000051</v>
      </c>
      <c r="H610" s="11">
        <f t="shared" si="9"/>
        <v>0.72394481979347891</v>
      </c>
    </row>
    <row r="611" spans="1:8" ht="15" customHeight="1" x14ac:dyDescent="0.25">
      <c r="A611" s="5">
        <v>605</v>
      </c>
      <c r="B611" s="10" t="s">
        <v>1259</v>
      </c>
      <c r="C611" s="10" t="s">
        <v>1260</v>
      </c>
      <c r="D611" s="7">
        <v>4190.83</v>
      </c>
      <c r="E611" s="5">
        <v>1241</v>
      </c>
      <c r="F611" s="5">
        <v>237</v>
      </c>
      <c r="G611" s="12">
        <f>SUM($D$7:D611)</f>
        <v>7726281.8500000052</v>
      </c>
      <c r="H611" s="11">
        <f t="shared" si="9"/>
        <v>0.72433770944749576</v>
      </c>
    </row>
    <row r="612" spans="1:8" ht="15" customHeight="1" x14ac:dyDescent="0.25">
      <c r="A612" s="5">
        <v>606</v>
      </c>
      <c r="B612" s="10" t="s">
        <v>1261</v>
      </c>
      <c r="C612" s="10" t="s">
        <v>1262</v>
      </c>
      <c r="D612" s="7">
        <v>4188.9399999999996</v>
      </c>
      <c r="E612" s="5">
        <v>2168</v>
      </c>
      <c r="F612" s="5">
        <v>187</v>
      </c>
      <c r="G612" s="12">
        <f>SUM($D$7:D612)</f>
        <v>7730470.7900000056</v>
      </c>
      <c r="H612" s="11">
        <f t="shared" si="9"/>
        <v>0.7247304219143097</v>
      </c>
    </row>
    <row r="613" spans="1:8" ht="15" customHeight="1" x14ac:dyDescent="0.25">
      <c r="A613" s="5">
        <v>607</v>
      </c>
      <c r="B613" s="10" t="s">
        <v>1263</v>
      </c>
      <c r="C613" s="10" t="s">
        <v>1264</v>
      </c>
      <c r="D613" s="7">
        <v>4158.68</v>
      </c>
      <c r="E613" s="5">
        <v>702</v>
      </c>
      <c r="F613" s="5">
        <v>255</v>
      </c>
      <c r="G613" s="12">
        <f>SUM($D$7:D613)</f>
        <v>7734629.4700000053</v>
      </c>
      <c r="H613" s="11">
        <f t="shared" si="9"/>
        <v>0.72512029751087825</v>
      </c>
    </row>
    <row r="614" spans="1:8" ht="15" customHeight="1" x14ac:dyDescent="0.25">
      <c r="A614" s="5">
        <v>608</v>
      </c>
      <c r="B614" s="10" t="s">
        <v>1265</v>
      </c>
      <c r="C614" s="10" t="s">
        <v>1266</v>
      </c>
      <c r="D614" s="7">
        <v>4155.34</v>
      </c>
      <c r="E614" s="5">
        <v>410</v>
      </c>
      <c r="F614" s="5">
        <v>153</v>
      </c>
      <c r="G614" s="12">
        <f>SUM($D$7:D614)</f>
        <v>7738784.8100000052</v>
      </c>
      <c r="H614" s="11">
        <f t="shared" si="9"/>
        <v>0.72550985998297146</v>
      </c>
    </row>
    <row r="615" spans="1:8" ht="15" customHeight="1" x14ac:dyDescent="0.25">
      <c r="A615" s="5">
        <v>609</v>
      </c>
      <c r="B615" s="10" t="s">
        <v>1267</v>
      </c>
      <c r="C615" s="10" t="s">
        <v>1268</v>
      </c>
      <c r="D615" s="7">
        <v>4149.93</v>
      </c>
      <c r="E615" s="5">
        <v>2981</v>
      </c>
      <c r="F615" s="5">
        <v>295</v>
      </c>
      <c r="G615" s="12">
        <f>SUM($D$7:D615)</f>
        <v>7742934.7400000049</v>
      </c>
      <c r="H615" s="11">
        <f t="shared" si="9"/>
        <v>0.72589891526841477</v>
      </c>
    </row>
    <row r="616" spans="1:8" ht="15" customHeight="1" x14ac:dyDescent="0.25">
      <c r="A616" s="5">
        <v>610</v>
      </c>
      <c r="B616" s="10" t="s">
        <v>1269</v>
      </c>
      <c r="C616" s="10" t="s">
        <v>1270</v>
      </c>
      <c r="D616" s="7">
        <v>4147.7299999999996</v>
      </c>
      <c r="E616" s="5">
        <v>798</v>
      </c>
      <c r="F616" s="5">
        <v>200</v>
      </c>
      <c r="G616" s="12">
        <f>SUM($D$7:D616)</f>
        <v>7747082.4700000053</v>
      </c>
      <c r="H616" s="11">
        <f t="shared" si="9"/>
        <v>0.72628776430420383</v>
      </c>
    </row>
    <row r="617" spans="1:8" ht="15" customHeight="1" x14ac:dyDescent="0.25">
      <c r="A617" s="5">
        <v>611</v>
      </c>
      <c r="B617" s="10" t="s">
        <v>1271</v>
      </c>
      <c r="C617" s="10" t="s">
        <v>1272</v>
      </c>
      <c r="D617" s="7">
        <v>4145.47</v>
      </c>
      <c r="E617" s="5">
        <v>275</v>
      </c>
      <c r="F617" s="5">
        <v>74</v>
      </c>
      <c r="G617" s="12">
        <f>SUM($D$7:D617)</f>
        <v>7751227.9400000051</v>
      </c>
      <c r="H617" s="11">
        <f t="shared" si="9"/>
        <v>0.72667640146534795</v>
      </c>
    </row>
    <row r="618" spans="1:8" ht="15" customHeight="1" x14ac:dyDescent="0.25">
      <c r="A618" s="5">
        <v>612</v>
      </c>
      <c r="B618" s="10" t="s">
        <v>1273</v>
      </c>
      <c r="C618" s="10" t="s">
        <v>1274</v>
      </c>
      <c r="D618" s="7">
        <v>4142.92</v>
      </c>
      <c r="E618" s="5">
        <v>3502</v>
      </c>
      <c r="F618" s="5">
        <v>262</v>
      </c>
      <c r="G618" s="12">
        <f>SUM($D$7:D618)</f>
        <v>7755370.860000005</v>
      </c>
      <c r="H618" s="11">
        <f t="shared" si="9"/>
        <v>0.72706479956439274</v>
      </c>
    </row>
    <row r="619" spans="1:8" ht="15" customHeight="1" x14ac:dyDescent="0.25">
      <c r="A619" s="5">
        <v>613</v>
      </c>
      <c r="B619" s="10" t="s">
        <v>1275</v>
      </c>
      <c r="C619" s="10" t="s">
        <v>1276</v>
      </c>
      <c r="D619" s="7">
        <v>4122.2</v>
      </c>
      <c r="E619" s="5">
        <v>564</v>
      </c>
      <c r="F619" s="5">
        <v>142</v>
      </c>
      <c r="G619" s="12">
        <f>SUM($D$7:D619)</f>
        <v>7759493.0600000052</v>
      </c>
      <c r="H619" s="11">
        <f t="shared" si="9"/>
        <v>0.72745125516669318</v>
      </c>
    </row>
    <row r="620" spans="1:8" ht="15" customHeight="1" x14ac:dyDescent="0.25">
      <c r="A620" s="5">
        <v>614</v>
      </c>
      <c r="B620" s="10" t="s">
        <v>1277</v>
      </c>
      <c r="C620" s="10" t="s">
        <v>1278</v>
      </c>
      <c r="D620" s="7">
        <v>4109.72</v>
      </c>
      <c r="E620" s="5">
        <v>530</v>
      </c>
      <c r="F620" s="5">
        <v>213</v>
      </c>
      <c r="G620" s="12">
        <f>SUM($D$7:D620)</f>
        <v>7763602.7800000049</v>
      </c>
      <c r="H620" s="11">
        <f t="shared" si="9"/>
        <v>0.7278365407709545</v>
      </c>
    </row>
    <row r="621" spans="1:8" ht="15" customHeight="1" x14ac:dyDescent="0.25">
      <c r="A621" s="5">
        <v>615</v>
      </c>
      <c r="B621" s="10" t="s">
        <v>1279</v>
      </c>
      <c r="C621" s="10" t="s">
        <v>1280</v>
      </c>
      <c r="D621" s="7">
        <v>4101.37</v>
      </c>
      <c r="E621" s="5">
        <v>1015</v>
      </c>
      <c r="F621" s="5">
        <v>158</v>
      </c>
      <c r="G621" s="12">
        <f>SUM($D$7:D621)</f>
        <v>7767704.150000005</v>
      </c>
      <c r="H621" s="11">
        <f t="shared" si="9"/>
        <v>0.72822104356402784</v>
      </c>
    </row>
    <row r="622" spans="1:8" ht="15" customHeight="1" x14ac:dyDescent="0.25">
      <c r="A622" s="5">
        <v>616</v>
      </c>
      <c r="B622" s="10" t="s">
        <v>1281</v>
      </c>
      <c r="C622" s="10" t="s">
        <v>1282</v>
      </c>
      <c r="D622" s="7">
        <v>4097.28</v>
      </c>
      <c r="E622" s="5">
        <v>1930</v>
      </c>
      <c r="F622" s="5">
        <v>175</v>
      </c>
      <c r="G622" s="12">
        <f>SUM($D$7:D622)</f>
        <v>7771801.4300000053</v>
      </c>
      <c r="H622" s="11">
        <f t="shared" si="9"/>
        <v>0.7286051629202438</v>
      </c>
    </row>
    <row r="623" spans="1:8" ht="15" customHeight="1" x14ac:dyDescent="0.25">
      <c r="A623" s="5">
        <v>617</v>
      </c>
      <c r="B623" s="10" t="s">
        <v>1283</v>
      </c>
      <c r="C623" s="10" t="s">
        <v>1284</v>
      </c>
      <c r="D623" s="7">
        <v>4082.52</v>
      </c>
      <c r="E623" s="5">
        <v>263</v>
      </c>
      <c r="F623" s="5">
        <v>103</v>
      </c>
      <c r="G623" s="12">
        <f>SUM($D$7:D623)</f>
        <v>7775883.9500000048</v>
      </c>
      <c r="H623" s="11">
        <f t="shared" si="9"/>
        <v>0.72898789852877888</v>
      </c>
    </row>
    <row r="624" spans="1:8" ht="15" customHeight="1" x14ac:dyDescent="0.25">
      <c r="A624" s="5">
        <v>618</v>
      </c>
      <c r="B624" s="10" t="s">
        <v>1285</v>
      </c>
      <c r="C624" s="10" t="s">
        <v>1286</v>
      </c>
      <c r="D624" s="7">
        <v>4075.94</v>
      </c>
      <c r="E624" s="5">
        <v>10610</v>
      </c>
      <c r="F624" s="5">
        <v>538</v>
      </c>
      <c r="G624" s="12">
        <f>SUM($D$7:D624)</f>
        <v>7779959.8900000053</v>
      </c>
      <c r="H624" s="11">
        <f t="shared" si="9"/>
        <v>0.72937001726334794</v>
      </c>
    </row>
    <row r="625" spans="1:8" ht="15" customHeight="1" x14ac:dyDescent="0.25">
      <c r="A625" s="5">
        <v>619</v>
      </c>
      <c r="B625" s="10" t="s">
        <v>1287</v>
      </c>
      <c r="C625" s="10" t="s">
        <v>1288</v>
      </c>
      <c r="D625" s="7">
        <v>4072.97</v>
      </c>
      <c r="E625" s="5">
        <v>9721</v>
      </c>
      <c r="F625" s="5">
        <v>443</v>
      </c>
      <c r="G625" s="12">
        <f>SUM($D$7:D625)</f>
        <v>7784032.860000005</v>
      </c>
      <c r="H625" s="11">
        <f t="shared" si="9"/>
        <v>0.72975185756088357</v>
      </c>
    </row>
    <row r="626" spans="1:8" ht="15" customHeight="1" x14ac:dyDescent="0.25">
      <c r="A626" s="5">
        <v>620</v>
      </c>
      <c r="B626" s="10" t="s">
        <v>1289</v>
      </c>
      <c r="C626" s="10" t="s">
        <v>1290</v>
      </c>
      <c r="D626" s="7">
        <v>4053.88</v>
      </c>
      <c r="E626" s="5">
        <v>2512</v>
      </c>
      <c r="F626" s="5">
        <v>151</v>
      </c>
      <c r="G626" s="12">
        <f>SUM($D$7:D626)</f>
        <v>7788086.7400000049</v>
      </c>
      <c r="H626" s="11">
        <f t="shared" si="9"/>
        <v>0.73013190817391871</v>
      </c>
    </row>
    <row r="627" spans="1:8" ht="15" customHeight="1" x14ac:dyDescent="0.25">
      <c r="A627" s="5">
        <v>621</v>
      </c>
      <c r="B627" s="10" t="s">
        <v>1291</v>
      </c>
      <c r="C627" s="10" t="s">
        <v>1292</v>
      </c>
      <c r="D627" s="7">
        <v>4051.79</v>
      </c>
      <c r="E627" s="5">
        <v>695</v>
      </c>
      <c r="F627" s="5">
        <v>251</v>
      </c>
      <c r="G627" s="12">
        <f>SUM($D$7:D627)</f>
        <v>7792138.5300000049</v>
      </c>
      <c r="H627" s="11">
        <f t="shared" si="9"/>
        <v>0.73051176284978225</v>
      </c>
    </row>
    <row r="628" spans="1:8" ht="15" customHeight="1" x14ac:dyDescent="0.25">
      <c r="A628" s="5">
        <v>622</v>
      </c>
      <c r="B628" s="10" t="s">
        <v>1293</v>
      </c>
      <c r="C628" s="10" t="s">
        <v>1294</v>
      </c>
      <c r="D628" s="7">
        <v>4039.28</v>
      </c>
      <c r="E628" s="5">
        <v>5144</v>
      </c>
      <c r="F628" s="5">
        <v>248</v>
      </c>
      <c r="G628" s="12">
        <f>SUM($D$7:D628)</f>
        <v>7796177.8100000052</v>
      </c>
      <c r="H628" s="11">
        <f t="shared" si="9"/>
        <v>0.73089044471511144</v>
      </c>
    </row>
    <row r="629" spans="1:8" ht="15" customHeight="1" x14ac:dyDescent="0.25">
      <c r="A629" s="5">
        <v>623</v>
      </c>
      <c r="B629" s="10" t="s">
        <v>1295</v>
      </c>
      <c r="C629" s="10" t="s">
        <v>1296</v>
      </c>
      <c r="D629" s="7">
        <v>4037.98</v>
      </c>
      <c r="E629" s="5">
        <v>4138</v>
      </c>
      <c r="F629" s="5">
        <v>544</v>
      </c>
      <c r="G629" s="12">
        <f>SUM($D$7:D629)</f>
        <v>7800215.7900000056</v>
      </c>
      <c r="H629" s="11">
        <f t="shared" si="9"/>
        <v>0.73126900470564493</v>
      </c>
    </row>
    <row r="630" spans="1:8" ht="15" customHeight="1" x14ac:dyDescent="0.25">
      <c r="A630" s="5">
        <v>624</v>
      </c>
      <c r="B630" s="10" t="s">
        <v>1297</v>
      </c>
      <c r="C630" s="10" t="s">
        <v>1298</v>
      </c>
      <c r="D630" s="7">
        <v>4012.05</v>
      </c>
      <c r="E630" s="5">
        <v>2098</v>
      </c>
      <c r="F630" s="5">
        <v>186</v>
      </c>
      <c r="G630" s="12">
        <f>SUM($D$7:D630)</f>
        <v>7804227.8400000054</v>
      </c>
      <c r="H630" s="11">
        <f t="shared" si="9"/>
        <v>0.73164513376275264</v>
      </c>
    </row>
    <row r="631" spans="1:8" ht="15" customHeight="1" x14ac:dyDescent="0.25">
      <c r="A631" s="5">
        <v>625</v>
      </c>
      <c r="B631" s="10" t="s">
        <v>1299</v>
      </c>
      <c r="C631" s="10" t="s">
        <v>1300</v>
      </c>
      <c r="D631" s="7">
        <v>4010.55</v>
      </c>
      <c r="E631" s="5">
        <v>7518</v>
      </c>
      <c r="F631" s="5">
        <v>437</v>
      </c>
      <c r="G631" s="12">
        <f>SUM($D$7:D631)</f>
        <v>7808238.3900000053</v>
      </c>
      <c r="H631" s="11">
        <f t="shared" si="9"/>
        <v>0.73202112219509596</v>
      </c>
    </row>
    <row r="632" spans="1:8" ht="15" customHeight="1" x14ac:dyDescent="0.25">
      <c r="A632" s="5">
        <v>626</v>
      </c>
      <c r="B632" s="10" t="s">
        <v>1301</v>
      </c>
      <c r="C632" s="10" t="s">
        <v>1302</v>
      </c>
      <c r="D632" s="7">
        <v>4002.61</v>
      </c>
      <c r="E632" s="5">
        <v>2060</v>
      </c>
      <c r="F632" s="5">
        <v>334</v>
      </c>
      <c r="G632" s="12">
        <f>SUM($D$7:D632)</f>
        <v>7812241.0000000056</v>
      </c>
      <c r="H632" s="11">
        <f t="shared" si="9"/>
        <v>0.73239636625368698</v>
      </c>
    </row>
    <row r="633" spans="1:8" ht="15" customHeight="1" x14ac:dyDescent="0.25">
      <c r="A633" s="5">
        <v>627</v>
      </c>
      <c r="B633" s="10" t="s">
        <v>1303</v>
      </c>
      <c r="C633" s="10" t="s">
        <v>1304</v>
      </c>
      <c r="D633" s="7">
        <v>3999.57</v>
      </c>
      <c r="E633" s="5">
        <v>391</v>
      </c>
      <c r="F633" s="5">
        <v>165</v>
      </c>
      <c r="G633" s="12">
        <f>SUM($D$7:D633)</f>
        <v>7816240.5700000059</v>
      </c>
      <c r="H633" s="11">
        <f t="shared" si="9"/>
        <v>0.73277132531275568</v>
      </c>
    </row>
    <row r="634" spans="1:8" ht="15" customHeight="1" x14ac:dyDescent="0.25">
      <c r="A634" s="5">
        <v>628</v>
      </c>
      <c r="B634" s="10" t="s">
        <v>1305</v>
      </c>
      <c r="C634" s="10" t="s">
        <v>1306</v>
      </c>
      <c r="D634" s="7">
        <v>3999.5</v>
      </c>
      <c r="E634" s="5">
        <v>950</v>
      </c>
      <c r="F634" s="5">
        <v>172</v>
      </c>
      <c r="G634" s="12">
        <f>SUM($D$7:D634)</f>
        <v>7820240.0700000059</v>
      </c>
      <c r="H634" s="11">
        <f t="shared" si="9"/>
        <v>0.73314627780933528</v>
      </c>
    </row>
    <row r="635" spans="1:8" ht="15" customHeight="1" x14ac:dyDescent="0.25">
      <c r="A635" s="5">
        <v>629</v>
      </c>
      <c r="B635" s="10" t="s">
        <v>1307</v>
      </c>
      <c r="C635" s="10" t="s">
        <v>1308</v>
      </c>
      <c r="D635" s="7">
        <v>3992.58</v>
      </c>
      <c r="E635" s="5">
        <v>2055</v>
      </c>
      <c r="F635" s="5">
        <v>198</v>
      </c>
      <c r="G635" s="12">
        <f>SUM($D$7:D635)</f>
        <v>7824232.650000006</v>
      </c>
      <c r="H635" s="11">
        <f t="shared" si="9"/>
        <v>0.73352058155700217</v>
      </c>
    </row>
    <row r="636" spans="1:8" ht="15" customHeight="1" x14ac:dyDescent="0.25">
      <c r="A636" s="5">
        <v>630</v>
      </c>
      <c r="B636" s="10" t="s">
        <v>1309</v>
      </c>
      <c r="C636" s="10" t="s">
        <v>1310</v>
      </c>
      <c r="D636" s="7">
        <v>3989.94</v>
      </c>
      <c r="E636" s="5">
        <v>2463</v>
      </c>
      <c r="F636" s="5">
        <v>220</v>
      </c>
      <c r="G636" s="12">
        <f>SUM($D$7:D636)</f>
        <v>7828222.5900000064</v>
      </c>
      <c r="H636" s="11">
        <f t="shared" si="9"/>
        <v>0.7338946378050839</v>
      </c>
    </row>
    <row r="637" spans="1:8" ht="15" customHeight="1" x14ac:dyDescent="0.25">
      <c r="A637" s="5">
        <v>631</v>
      </c>
      <c r="B637" s="10" t="s">
        <v>1311</v>
      </c>
      <c r="C637" s="10" t="s">
        <v>1312</v>
      </c>
      <c r="D637" s="7">
        <v>3984.37</v>
      </c>
      <c r="E637" s="5">
        <v>3121</v>
      </c>
      <c r="F637" s="5">
        <v>322</v>
      </c>
      <c r="G637" s="12">
        <f>SUM($D$7:D637)</f>
        <v>7832206.9600000065</v>
      </c>
      <c r="H637" s="11">
        <f t="shared" si="9"/>
        <v>0.73426817186654081</v>
      </c>
    </row>
    <row r="638" spans="1:8" ht="15" customHeight="1" x14ac:dyDescent="0.25">
      <c r="A638" s="5">
        <v>632</v>
      </c>
      <c r="B638" s="10" t="s">
        <v>1313</v>
      </c>
      <c r="C638" s="10" t="s">
        <v>1314</v>
      </c>
      <c r="D638" s="7">
        <v>3983.6</v>
      </c>
      <c r="E638" s="5">
        <v>2741</v>
      </c>
      <c r="F638" s="5">
        <v>244</v>
      </c>
      <c r="G638" s="12">
        <f>SUM($D$7:D638)</f>
        <v>7836190.5600000061</v>
      </c>
      <c r="H638" s="11">
        <f t="shared" si="9"/>
        <v>0.73464163374061875</v>
      </c>
    </row>
    <row r="639" spans="1:8" ht="15" customHeight="1" x14ac:dyDescent="0.25">
      <c r="A639" s="5">
        <v>633</v>
      </c>
      <c r="B639" s="10" t="s">
        <v>1315</v>
      </c>
      <c r="C639" s="10" t="s">
        <v>1316</v>
      </c>
      <c r="D639" s="7">
        <v>3978.97</v>
      </c>
      <c r="E639" s="5">
        <v>834</v>
      </c>
      <c r="F639" s="5">
        <v>241</v>
      </c>
      <c r="G639" s="12">
        <f>SUM($D$7:D639)</f>
        <v>7840169.5300000058</v>
      </c>
      <c r="H639" s="11">
        <f t="shared" si="9"/>
        <v>0.73501466155292405</v>
      </c>
    </row>
    <row r="640" spans="1:8" ht="15" customHeight="1" x14ac:dyDescent="0.25">
      <c r="A640" s="5">
        <v>634</v>
      </c>
      <c r="B640" s="10" t="s">
        <v>1317</v>
      </c>
      <c r="C640" s="10" t="s">
        <v>1318</v>
      </c>
      <c r="D640" s="7">
        <v>3974.13</v>
      </c>
      <c r="E640" s="5">
        <v>1347</v>
      </c>
      <c r="F640" s="5">
        <v>267</v>
      </c>
      <c r="G640" s="12">
        <f>SUM($D$7:D640)</f>
        <v>7844143.6600000057</v>
      </c>
      <c r="H640" s="11">
        <f t="shared" si="9"/>
        <v>0.73538723561598995</v>
      </c>
    </row>
    <row r="641" spans="1:8" ht="15" customHeight="1" x14ac:dyDescent="0.25">
      <c r="A641" s="5">
        <v>635</v>
      </c>
      <c r="B641" s="10" t="s">
        <v>1319</v>
      </c>
      <c r="C641" s="10" t="s">
        <v>1320</v>
      </c>
      <c r="D641" s="7">
        <v>3952.19</v>
      </c>
      <c r="E641" s="5">
        <v>2039</v>
      </c>
      <c r="F641" s="5">
        <v>291</v>
      </c>
      <c r="G641" s="12">
        <f>SUM($D$7:D641)</f>
        <v>7848095.8500000061</v>
      </c>
      <c r="H641" s="11">
        <f t="shared" si="9"/>
        <v>0.73575775280750311</v>
      </c>
    </row>
    <row r="642" spans="1:8" ht="15" customHeight="1" x14ac:dyDescent="0.25">
      <c r="A642" s="5">
        <v>636</v>
      </c>
      <c r="B642" s="10" t="s">
        <v>1321</v>
      </c>
      <c r="C642" s="10" t="s">
        <v>1322</v>
      </c>
      <c r="D642" s="7">
        <v>3939.76</v>
      </c>
      <c r="E642" s="5">
        <v>604</v>
      </c>
      <c r="F642" s="5">
        <v>114</v>
      </c>
      <c r="G642" s="12">
        <f>SUM($D$7:D642)</f>
        <v>7852035.6100000059</v>
      </c>
      <c r="H642" s="11">
        <f t="shared" si="9"/>
        <v>0.73612710468846942</v>
      </c>
    </row>
    <row r="643" spans="1:8" ht="15" customHeight="1" x14ac:dyDescent="0.25">
      <c r="A643" s="5">
        <v>637</v>
      </c>
      <c r="B643" s="10" t="s">
        <v>1323</v>
      </c>
      <c r="C643" s="10" t="s">
        <v>1324</v>
      </c>
      <c r="D643" s="7">
        <v>3930.27</v>
      </c>
      <c r="E643" s="5">
        <v>350</v>
      </c>
      <c r="F643" s="5">
        <v>32</v>
      </c>
      <c r="G643" s="12">
        <f>SUM($D$7:D643)</f>
        <v>7855965.8800000055</v>
      </c>
      <c r="H643" s="11">
        <f t="shared" si="9"/>
        <v>0.73649556688342666</v>
      </c>
    </row>
    <row r="644" spans="1:8" ht="15" customHeight="1" x14ac:dyDescent="0.25">
      <c r="A644" s="5">
        <v>638</v>
      </c>
      <c r="B644" s="10" t="s">
        <v>1325</v>
      </c>
      <c r="C644" s="10" t="s">
        <v>1326</v>
      </c>
      <c r="D644" s="7">
        <v>3929.15</v>
      </c>
      <c r="E644" s="5">
        <v>1939</v>
      </c>
      <c r="F644" s="5">
        <v>186</v>
      </c>
      <c r="G644" s="12">
        <f>SUM($D$7:D644)</f>
        <v>7859895.0300000058</v>
      </c>
      <c r="H644" s="11">
        <f t="shared" si="9"/>
        <v>0.73686392407856005</v>
      </c>
    </row>
    <row r="645" spans="1:8" ht="15" customHeight="1" x14ac:dyDescent="0.25">
      <c r="A645" s="5">
        <v>639</v>
      </c>
      <c r="B645" s="10" t="s">
        <v>1327</v>
      </c>
      <c r="C645" s="10" t="s">
        <v>1328</v>
      </c>
      <c r="D645" s="7">
        <v>3915.48</v>
      </c>
      <c r="E645" s="5">
        <v>506</v>
      </c>
      <c r="F645" s="5">
        <v>170</v>
      </c>
      <c r="G645" s="12">
        <f>SUM($D$7:D645)</f>
        <v>7863810.5100000063</v>
      </c>
      <c r="H645" s="11">
        <f t="shared" si="9"/>
        <v>0.73723099971334138</v>
      </c>
    </row>
    <row r="646" spans="1:8" ht="15" customHeight="1" x14ac:dyDescent="0.25">
      <c r="A646" s="5">
        <v>640</v>
      </c>
      <c r="B646" s="10" t="s">
        <v>1329</v>
      </c>
      <c r="C646" s="10" t="s">
        <v>1330</v>
      </c>
      <c r="D646" s="7">
        <v>3914.96</v>
      </c>
      <c r="E646" s="5">
        <v>2366</v>
      </c>
      <c r="F646" s="5">
        <v>291</v>
      </c>
      <c r="G646" s="12">
        <f>SUM($D$7:D646)</f>
        <v>7867725.4700000063</v>
      </c>
      <c r="H646" s="11">
        <f t="shared" si="9"/>
        <v>0.73759802659820428</v>
      </c>
    </row>
    <row r="647" spans="1:8" ht="15" customHeight="1" x14ac:dyDescent="0.25">
      <c r="A647" s="5">
        <v>641</v>
      </c>
      <c r="B647" s="10" t="s">
        <v>1331</v>
      </c>
      <c r="C647" s="10" t="s">
        <v>1332</v>
      </c>
      <c r="D647" s="7">
        <v>3914.5</v>
      </c>
      <c r="E647" s="5">
        <v>468</v>
      </c>
      <c r="F647" s="5">
        <v>135</v>
      </c>
      <c r="G647" s="12">
        <f>SUM($D$7:D647)</f>
        <v>7871639.9700000063</v>
      </c>
      <c r="H647" s="11">
        <f t="shared" ref="H647:H710" si="10">G647/SUM($D$7:$D$4167)</f>
        <v>0.73796501035813955</v>
      </c>
    </row>
    <row r="648" spans="1:8" ht="15" customHeight="1" x14ac:dyDescent="0.25">
      <c r="A648" s="5">
        <v>642</v>
      </c>
      <c r="B648" s="10" t="s">
        <v>1333</v>
      </c>
      <c r="C648" s="10" t="s">
        <v>1334</v>
      </c>
      <c r="D648" s="7">
        <v>3913.72</v>
      </c>
      <c r="E648" s="5">
        <v>1441</v>
      </c>
      <c r="F648" s="5">
        <v>244</v>
      </c>
      <c r="G648" s="12">
        <f>SUM($D$7:D648)</f>
        <v>7875553.690000006</v>
      </c>
      <c r="H648" s="11">
        <f t="shared" si="10"/>
        <v>0.73833192099319722</v>
      </c>
    </row>
    <row r="649" spans="1:8" ht="15" customHeight="1" x14ac:dyDescent="0.25">
      <c r="A649" s="5">
        <v>643</v>
      </c>
      <c r="B649" s="10" t="s">
        <v>1335</v>
      </c>
      <c r="C649" s="10" t="s">
        <v>1336</v>
      </c>
      <c r="D649" s="7">
        <v>3909.63</v>
      </c>
      <c r="E649" s="5">
        <v>921</v>
      </c>
      <c r="F649" s="5">
        <v>255</v>
      </c>
      <c r="G649" s="12">
        <f>SUM($D$7:D649)</f>
        <v>7879463.3200000059</v>
      </c>
      <c r="H649" s="11">
        <f t="shared" si="10"/>
        <v>0.73869844819139763</v>
      </c>
    </row>
    <row r="650" spans="1:8" ht="15" customHeight="1" x14ac:dyDescent="0.25">
      <c r="A650" s="5">
        <v>644</v>
      </c>
      <c r="B650" s="10" t="s">
        <v>279</v>
      </c>
      <c r="C650" s="10" t="s">
        <v>1337</v>
      </c>
      <c r="D650" s="7">
        <v>3908.62</v>
      </c>
      <c r="E650" s="5">
        <v>2059</v>
      </c>
      <c r="F650" s="5">
        <v>144</v>
      </c>
      <c r="G650" s="12">
        <f>SUM($D$7:D650)</f>
        <v>7883371.940000006</v>
      </c>
      <c r="H650" s="11">
        <f t="shared" si="10"/>
        <v>0.73906488070225673</v>
      </c>
    </row>
    <row r="651" spans="1:8" ht="15" customHeight="1" x14ac:dyDescent="0.25">
      <c r="A651" s="5">
        <v>645</v>
      </c>
      <c r="B651" s="10" t="s">
        <v>1338</v>
      </c>
      <c r="C651" s="10" t="s">
        <v>1339</v>
      </c>
      <c r="D651" s="7">
        <v>3896.84</v>
      </c>
      <c r="E651" s="5">
        <v>456</v>
      </c>
      <c r="F651" s="5">
        <v>186</v>
      </c>
      <c r="G651" s="12">
        <f>SUM($D$7:D651)</f>
        <v>7887268.7800000058</v>
      </c>
      <c r="H651" s="11">
        <f t="shared" si="10"/>
        <v>0.7394302088399668</v>
      </c>
    </row>
    <row r="652" spans="1:8" ht="15" customHeight="1" x14ac:dyDescent="0.25">
      <c r="A652" s="5">
        <v>646</v>
      </c>
      <c r="B652" s="10" t="s">
        <v>1340</v>
      </c>
      <c r="C652" s="10" t="s">
        <v>1341</v>
      </c>
      <c r="D652" s="7">
        <v>3896.45</v>
      </c>
      <c r="E652" s="5">
        <v>1320</v>
      </c>
      <c r="F652" s="5">
        <v>95</v>
      </c>
      <c r="G652" s="12">
        <f>SUM($D$7:D652)</f>
        <v>7891165.230000006</v>
      </c>
      <c r="H652" s="11">
        <f t="shared" si="10"/>
        <v>0.73979550041523812</v>
      </c>
    </row>
    <row r="653" spans="1:8" ht="15" customHeight="1" x14ac:dyDescent="0.25">
      <c r="A653" s="5">
        <v>647</v>
      </c>
      <c r="B653" s="10" t="s">
        <v>1342</v>
      </c>
      <c r="C653" s="10" t="s">
        <v>1343</v>
      </c>
      <c r="D653" s="7">
        <v>3883.99</v>
      </c>
      <c r="E653" s="5">
        <v>1864</v>
      </c>
      <c r="F653" s="5">
        <v>116</v>
      </c>
      <c r="G653" s="12">
        <f>SUM($D$7:D653)</f>
        <v>7895049.2200000063</v>
      </c>
      <c r="H653" s="11">
        <f t="shared" si="10"/>
        <v>0.74015962386746725</v>
      </c>
    </row>
    <row r="654" spans="1:8" ht="15" customHeight="1" x14ac:dyDescent="0.25">
      <c r="A654" s="5">
        <v>648</v>
      </c>
      <c r="B654" s="10" t="s">
        <v>1344</v>
      </c>
      <c r="C654" s="10" t="s">
        <v>1345</v>
      </c>
      <c r="D654" s="7">
        <v>3880.2</v>
      </c>
      <c r="E654" s="5">
        <v>1057</v>
      </c>
      <c r="F654" s="5">
        <v>222</v>
      </c>
      <c r="G654" s="12">
        <f>SUM($D$7:D654)</f>
        <v>7898929.4200000064</v>
      </c>
      <c r="H654" s="11">
        <f t="shared" si="10"/>
        <v>0.74052339200779183</v>
      </c>
    </row>
    <row r="655" spans="1:8" ht="15" customHeight="1" x14ac:dyDescent="0.25">
      <c r="A655" s="5">
        <v>649</v>
      </c>
      <c r="B655" s="10" t="s">
        <v>1346</v>
      </c>
      <c r="C655" s="10" t="s">
        <v>1347</v>
      </c>
      <c r="D655" s="7">
        <v>3877.68</v>
      </c>
      <c r="E655" s="5">
        <v>10462</v>
      </c>
      <c r="F655" s="5">
        <v>512</v>
      </c>
      <c r="G655" s="12">
        <f>SUM($D$7:D655)</f>
        <v>7902807.1000000061</v>
      </c>
      <c r="H655" s="11">
        <f t="shared" si="10"/>
        <v>0.74088692389851241</v>
      </c>
    </row>
    <row r="656" spans="1:8" ht="15" customHeight="1" x14ac:dyDescent="0.25">
      <c r="A656" s="5">
        <v>650</v>
      </c>
      <c r="B656" s="10" t="s">
        <v>1348</v>
      </c>
      <c r="C656" s="10" t="s">
        <v>1349</v>
      </c>
      <c r="D656" s="7">
        <v>3877.09</v>
      </c>
      <c r="E656" s="5">
        <v>1963</v>
      </c>
      <c r="F656" s="5">
        <v>140</v>
      </c>
      <c r="G656" s="12">
        <f>SUM($D$7:D656)</f>
        <v>7906684.190000006</v>
      </c>
      <c r="H656" s="11">
        <f t="shared" si="10"/>
        <v>0.74125040047682567</v>
      </c>
    </row>
    <row r="657" spans="1:8" ht="15" customHeight="1" x14ac:dyDescent="0.25">
      <c r="A657" s="5">
        <v>651</v>
      </c>
      <c r="B657" s="10" t="s">
        <v>1350</v>
      </c>
      <c r="C657" s="10" t="s">
        <v>1351</v>
      </c>
      <c r="D657" s="7">
        <v>3856.07</v>
      </c>
      <c r="E657" s="5">
        <v>2189</v>
      </c>
      <c r="F657" s="5">
        <v>275</v>
      </c>
      <c r="G657" s="12">
        <f>SUM($D$7:D657)</f>
        <v>7910540.2600000063</v>
      </c>
      <c r="H657" s="11">
        <f t="shared" si="10"/>
        <v>0.74161190643344166</v>
      </c>
    </row>
    <row r="658" spans="1:8" ht="15" customHeight="1" x14ac:dyDescent="0.25">
      <c r="A658" s="5">
        <v>652</v>
      </c>
      <c r="B658" s="10" t="s">
        <v>1352</v>
      </c>
      <c r="C658" s="10" t="s">
        <v>1353</v>
      </c>
      <c r="D658" s="7">
        <v>3853.76</v>
      </c>
      <c r="E658" s="5">
        <v>1492</v>
      </c>
      <c r="F658" s="5">
        <v>287</v>
      </c>
      <c r="G658" s="12">
        <f>SUM($D$7:D658)</f>
        <v>7914394.0200000061</v>
      </c>
      <c r="H658" s="11">
        <f t="shared" si="10"/>
        <v>0.74197319582792065</v>
      </c>
    </row>
    <row r="659" spans="1:8" ht="15" customHeight="1" x14ac:dyDescent="0.25">
      <c r="A659" s="5">
        <v>653</v>
      </c>
      <c r="B659" s="10" t="s">
        <v>1354</v>
      </c>
      <c r="C659" s="10" t="s">
        <v>1355</v>
      </c>
      <c r="D659" s="7">
        <v>3847.36</v>
      </c>
      <c r="E659" s="5">
        <v>3005</v>
      </c>
      <c r="F659" s="5">
        <v>323</v>
      </c>
      <c r="G659" s="12">
        <f>SUM($D$7:D659)</f>
        <v>7918241.3800000064</v>
      </c>
      <c r="H659" s="11">
        <f t="shared" si="10"/>
        <v>0.74233388522340527</v>
      </c>
    </row>
    <row r="660" spans="1:8" ht="15" customHeight="1" x14ac:dyDescent="0.25">
      <c r="A660" s="5">
        <v>654</v>
      </c>
      <c r="B660" s="10" t="s">
        <v>1356</v>
      </c>
      <c r="C660" s="10" t="s">
        <v>1357</v>
      </c>
      <c r="D660" s="7">
        <v>3844.81</v>
      </c>
      <c r="E660" s="5">
        <v>2571</v>
      </c>
      <c r="F660" s="5">
        <v>159</v>
      </c>
      <c r="G660" s="12">
        <f>SUM($D$7:D660)</f>
        <v>7922086.190000006</v>
      </c>
      <c r="H660" s="11">
        <f t="shared" si="10"/>
        <v>0.74269433555679043</v>
      </c>
    </row>
    <row r="661" spans="1:8" ht="15" customHeight="1" x14ac:dyDescent="0.25">
      <c r="A661" s="5">
        <v>655</v>
      </c>
      <c r="B661" s="10" t="s">
        <v>1358</v>
      </c>
      <c r="C661" s="10" t="s">
        <v>1359</v>
      </c>
      <c r="D661" s="7">
        <v>3839.24</v>
      </c>
      <c r="E661" s="5">
        <v>312</v>
      </c>
      <c r="F661" s="5">
        <v>138</v>
      </c>
      <c r="G661" s="12">
        <f>SUM($D$7:D661)</f>
        <v>7925925.4300000062</v>
      </c>
      <c r="H661" s="11">
        <f t="shared" si="10"/>
        <v>0.74305426370355088</v>
      </c>
    </row>
    <row r="662" spans="1:8" ht="15" customHeight="1" x14ac:dyDescent="0.25">
      <c r="A662" s="5">
        <v>656</v>
      </c>
      <c r="B662" s="10" t="s">
        <v>1360</v>
      </c>
      <c r="C662" s="10" t="s">
        <v>1361</v>
      </c>
      <c r="D662" s="7">
        <v>3824.53</v>
      </c>
      <c r="E662" s="5">
        <v>1719</v>
      </c>
      <c r="F662" s="5">
        <v>200</v>
      </c>
      <c r="G662" s="12">
        <f>SUM($D$7:D662)</f>
        <v>7929749.9600000065</v>
      </c>
      <c r="H662" s="11">
        <f t="shared" si="10"/>
        <v>0.74341281279012261</v>
      </c>
    </row>
    <row r="663" spans="1:8" ht="15" customHeight="1" x14ac:dyDescent="0.25">
      <c r="A663" s="5">
        <v>657</v>
      </c>
      <c r="B663" s="10" t="s">
        <v>1362</v>
      </c>
      <c r="C663" s="10" t="s">
        <v>1363</v>
      </c>
      <c r="D663" s="7">
        <v>3823.21</v>
      </c>
      <c r="E663" s="5">
        <v>589</v>
      </c>
      <c r="F663" s="5">
        <v>162</v>
      </c>
      <c r="G663" s="12">
        <f>SUM($D$7:D663)</f>
        <v>7933573.1700000064</v>
      </c>
      <c r="H663" s="11">
        <f t="shared" si="10"/>
        <v>0.74377123812690171</v>
      </c>
    </row>
    <row r="664" spans="1:8" ht="15" customHeight="1" x14ac:dyDescent="0.25">
      <c r="A664" s="5">
        <v>658</v>
      </c>
      <c r="B664" s="10" t="s">
        <v>1364</v>
      </c>
      <c r="C664" s="10" t="s">
        <v>1365</v>
      </c>
      <c r="D664" s="7">
        <v>3822.5</v>
      </c>
      <c r="E664" s="5">
        <v>1254</v>
      </c>
      <c r="F664" s="5">
        <v>204</v>
      </c>
      <c r="G664" s="12">
        <f>SUM($D$7:D664)</f>
        <v>7937395.6700000064</v>
      </c>
      <c r="H664" s="11">
        <f t="shared" si="10"/>
        <v>0.74412959690129243</v>
      </c>
    </row>
    <row r="665" spans="1:8" ht="15" customHeight="1" x14ac:dyDescent="0.25">
      <c r="A665" s="5">
        <v>659</v>
      </c>
      <c r="B665" s="10" t="s">
        <v>1366</v>
      </c>
      <c r="C665" s="10" t="s">
        <v>1367</v>
      </c>
      <c r="D665" s="7">
        <v>3822.45</v>
      </c>
      <c r="E665" s="5">
        <v>1106</v>
      </c>
      <c r="F665" s="5">
        <v>134</v>
      </c>
      <c r="G665" s="12">
        <f>SUM($D$7:D665)</f>
        <v>7941218.1200000066</v>
      </c>
      <c r="H665" s="11">
        <f t="shared" si="10"/>
        <v>0.74448795098819098</v>
      </c>
    </row>
    <row r="666" spans="1:8" ht="15" customHeight="1" x14ac:dyDescent="0.25">
      <c r="A666" s="5">
        <v>660</v>
      </c>
      <c r="B666" s="10" t="s">
        <v>1368</v>
      </c>
      <c r="C666" s="10" t="s">
        <v>1369</v>
      </c>
      <c r="D666" s="7">
        <v>3822.12</v>
      </c>
      <c r="E666" s="5">
        <v>1410</v>
      </c>
      <c r="F666" s="5">
        <v>120</v>
      </c>
      <c r="G666" s="12">
        <f>SUM($D$7:D666)</f>
        <v>7945040.2400000067</v>
      </c>
      <c r="H666" s="11">
        <f t="shared" si="10"/>
        <v>0.74484627413764137</v>
      </c>
    </row>
    <row r="667" spans="1:8" ht="15" customHeight="1" x14ac:dyDescent="0.25">
      <c r="A667" s="5">
        <v>661</v>
      </c>
      <c r="B667" s="10" t="s">
        <v>254</v>
      </c>
      <c r="C667" s="10" t="s">
        <v>1370</v>
      </c>
      <c r="D667" s="7">
        <v>3791.86</v>
      </c>
      <c r="E667" s="5">
        <v>2220</v>
      </c>
      <c r="F667" s="5">
        <v>200</v>
      </c>
      <c r="G667" s="12">
        <f>SUM($D$7:D667)</f>
        <v>7948832.1000000071</v>
      </c>
      <c r="H667" s="11">
        <f t="shared" si="10"/>
        <v>0.74520176041684649</v>
      </c>
    </row>
    <row r="668" spans="1:8" ht="15" customHeight="1" x14ac:dyDescent="0.25">
      <c r="A668" s="5">
        <v>662</v>
      </c>
      <c r="B668" s="10" t="s">
        <v>1371</v>
      </c>
      <c r="C668" s="10" t="s">
        <v>1372</v>
      </c>
      <c r="D668" s="7">
        <v>3791.11</v>
      </c>
      <c r="E668" s="5">
        <v>2866</v>
      </c>
      <c r="F668" s="5">
        <v>409</v>
      </c>
      <c r="G668" s="12">
        <f>SUM($D$7:D668)</f>
        <v>7952623.2100000074</v>
      </c>
      <c r="H668" s="11">
        <f t="shared" si="10"/>
        <v>0.74555717638366936</v>
      </c>
    </row>
    <row r="669" spans="1:8" ht="15" customHeight="1" x14ac:dyDescent="0.25">
      <c r="A669" s="5">
        <v>663</v>
      </c>
      <c r="B669" s="10" t="s">
        <v>1373</v>
      </c>
      <c r="C669" s="10" t="s">
        <v>1374</v>
      </c>
      <c r="D669" s="7">
        <v>3789.32</v>
      </c>
      <c r="E669" s="5">
        <v>2282</v>
      </c>
      <c r="F669" s="5">
        <v>196</v>
      </c>
      <c r="G669" s="12">
        <f>SUM($D$7:D669)</f>
        <v>7956412.5300000077</v>
      </c>
      <c r="H669" s="11">
        <f t="shared" si="10"/>
        <v>0.74591242453827344</v>
      </c>
    </row>
    <row r="670" spans="1:8" ht="15" customHeight="1" x14ac:dyDescent="0.25">
      <c r="A670" s="5">
        <v>664</v>
      </c>
      <c r="B670" s="10" t="s">
        <v>1375</v>
      </c>
      <c r="C670" s="10" t="s">
        <v>1376</v>
      </c>
      <c r="D670" s="7">
        <v>3785.06</v>
      </c>
      <c r="E670" s="5">
        <v>254</v>
      </c>
      <c r="F670" s="5">
        <v>69</v>
      </c>
      <c r="G670" s="12">
        <f>SUM($D$7:D670)</f>
        <v>7960197.5900000073</v>
      </c>
      <c r="H670" s="11">
        <f t="shared" si="10"/>
        <v>0.74626727331854681</v>
      </c>
    </row>
    <row r="671" spans="1:8" ht="15" customHeight="1" x14ac:dyDescent="0.25">
      <c r="A671" s="5">
        <v>665</v>
      </c>
      <c r="B671" s="10" t="s">
        <v>1377</v>
      </c>
      <c r="C671" s="10" t="s">
        <v>1378</v>
      </c>
      <c r="D671" s="7">
        <v>3773.58</v>
      </c>
      <c r="E671" s="5">
        <v>525</v>
      </c>
      <c r="F671" s="5">
        <v>135</v>
      </c>
      <c r="G671" s="12">
        <f>SUM($D$7:D671)</f>
        <v>7963971.1700000074</v>
      </c>
      <c r="H671" s="11">
        <f t="shared" si="10"/>
        <v>0.74662104585062405</v>
      </c>
    </row>
    <row r="672" spans="1:8" ht="15" customHeight="1" x14ac:dyDescent="0.25">
      <c r="A672" s="5">
        <v>666</v>
      </c>
      <c r="B672" s="10" t="s">
        <v>1379</v>
      </c>
      <c r="C672" s="10" t="s">
        <v>1380</v>
      </c>
      <c r="D672" s="7">
        <v>3772.88</v>
      </c>
      <c r="E672" s="5">
        <v>1012</v>
      </c>
      <c r="F672" s="5">
        <v>145</v>
      </c>
      <c r="G672" s="12">
        <f>SUM($D$7:D672)</f>
        <v>7967744.0500000073</v>
      </c>
      <c r="H672" s="11">
        <f t="shared" si="10"/>
        <v>0.74697475275781133</v>
      </c>
    </row>
    <row r="673" spans="1:8" ht="15" customHeight="1" x14ac:dyDescent="0.25">
      <c r="A673" s="5">
        <v>667</v>
      </c>
      <c r="B673" s="10" t="s">
        <v>1381</v>
      </c>
      <c r="C673" s="10" t="s">
        <v>1382</v>
      </c>
      <c r="D673" s="7">
        <v>3766.93</v>
      </c>
      <c r="E673" s="5">
        <v>3075</v>
      </c>
      <c r="F673" s="5">
        <v>226</v>
      </c>
      <c r="G673" s="12">
        <f>SUM($D$7:D673)</f>
        <v>7971510.980000007</v>
      </c>
      <c r="H673" s="11">
        <f t="shared" si="10"/>
        <v>0.74732790185343334</v>
      </c>
    </row>
    <row r="674" spans="1:8" ht="15" customHeight="1" x14ac:dyDescent="0.25">
      <c r="A674" s="5">
        <v>668</v>
      </c>
      <c r="B674" s="10" t="s">
        <v>1383</v>
      </c>
      <c r="C674" s="10" t="s">
        <v>1384</v>
      </c>
      <c r="D674" s="7">
        <v>3756.79</v>
      </c>
      <c r="E674" s="5">
        <v>481</v>
      </c>
      <c r="F674" s="5">
        <v>144</v>
      </c>
      <c r="G674" s="12">
        <f>SUM($D$7:D674)</f>
        <v>7975267.770000007</v>
      </c>
      <c r="H674" s="11">
        <f t="shared" si="10"/>
        <v>0.74768010032564869</v>
      </c>
    </row>
    <row r="675" spans="1:8" ht="15" customHeight="1" x14ac:dyDescent="0.25">
      <c r="A675" s="5">
        <v>669</v>
      </c>
      <c r="B675" s="10" t="s">
        <v>1385</v>
      </c>
      <c r="C675" s="10" t="s">
        <v>1386</v>
      </c>
      <c r="D675" s="7">
        <v>3751.02</v>
      </c>
      <c r="E675" s="5">
        <v>1288</v>
      </c>
      <c r="F675" s="5">
        <v>190</v>
      </c>
      <c r="G675" s="12">
        <f>SUM($D$7:D675)</f>
        <v>7979018.7900000066</v>
      </c>
      <c r="H675" s="11">
        <f t="shared" si="10"/>
        <v>0.74803175786127063</v>
      </c>
    </row>
    <row r="676" spans="1:8" ht="15" customHeight="1" x14ac:dyDescent="0.25">
      <c r="A676" s="5">
        <v>670</v>
      </c>
      <c r="B676" s="10" t="s">
        <v>1387</v>
      </c>
      <c r="C676" s="10" t="s">
        <v>1388</v>
      </c>
      <c r="D676" s="7">
        <v>3725.61</v>
      </c>
      <c r="E676" s="5">
        <v>1979</v>
      </c>
      <c r="F676" s="5">
        <v>373</v>
      </c>
      <c r="G676" s="12">
        <f>SUM($D$7:D676)</f>
        <v>7982744.4000000069</v>
      </c>
      <c r="H676" s="11">
        <f t="shared" si="10"/>
        <v>0.74838103321338523</v>
      </c>
    </row>
    <row r="677" spans="1:8" ht="15" customHeight="1" x14ac:dyDescent="0.25">
      <c r="A677" s="5">
        <v>671</v>
      </c>
      <c r="B677" s="10" t="s">
        <v>1389</v>
      </c>
      <c r="C677" s="10" t="s">
        <v>1390</v>
      </c>
      <c r="D677" s="7">
        <v>3722.23</v>
      </c>
      <c r="E677" s="5">
        <v>1161</v>
      </c>
      <c r="F677" s="5">
        <v>166</v>
      </c>
      <c r="G677" s="12">
        <f>SUM($D$7:D677)</f>
        <v>7986466.6300000073</v>
      </c>
      <c r="H677" s="11">
        <f t="shared" si="10"/>
        <v>0.74872999169103083</v>
      </c>
    </row>
    <row r="678" spans="1:8" ht="15" customHeight="1" x14ac:dyDescent="0.25">
      <c r="A678" s="5">
        <v>672</v>
      </c>
      <c r="B678" s="10" t="s">
        <v>1391</v>
      </c>
      <c r="C678" s="10" t="s">
        <v>1392</v>
      </c>
      <c r="D678" s="7">
        <v>3721.63</v>
      </c>
      <c r="E678" s="5">
        <v>881</v>
      </c>
      <c r="F678" s="5">
        <v>212</v>
      </c>
      <c r="G678" s="12">
        <f>SUM($D$7:D678)</f>
        <v>7990188.2600000072</v>
      </c>
      <c r="H678" s="11">
        <f t="shared" si="10"/>
        <v>0.74907889391877069</v>
      </c>
    </row>
    <row r="679" spans="1:8" ht="15" customHeight="1" x14ac:dyDescent="0.25">
      <c r="A679" s="5">
        <v>673</v>
      </c>
      <c r="B679" s="10" t="s">
        <v>1393</v>
      </c>
      <c r="C679" s="10" t="s">
        <v>1394</v>
      </c>
      <c r="D679" s="7">
        <v>3718.09</v>
      </c>
      <c r="E679" s="5">
        <v>3777</v>
      </c>
      <c r="F679" s="5">
        <v>433</v>
      </c>
      <c r="G679" s="12">
        <f>SUM($D$7:D679)</f>
        <v>7993906.3500000071</v>
      </c>
      <c r="H679" s="11">
        <f t="shared" si="10"/>
        <v>0.74942746427206675</v>
      </c>
    </row>
    <row r="680" spans="1:8" ht="15" customHeight="1" x14ac:dyDescent="0.25">
      <c r="A680" s="5">
        <v>674</v>
      </c>
      <c r="B680" s="10" t="s">
        <v>1395</v>
      </c>
      <c r="C680" s="10" t="s">
        <v>1396</v>
      </c>
      <c r="D680" s="7">
        <v>3717.56</v>
      </c>
      <c r="E680" s="5">
        <v>221</v>
      </c>
      <c r="F680" s="5">
        <v>23</v>
      </c>
      <c r="G680" s="12">
        <f>SUM($D$7:D680)</f>
        <v>7997623.9100000067</v>
      </c>
      <c r="H680" s="11">
        <f t="shared" si="10"/>
        <v>0.74977598493794606</v>
      </c>
    </row>
    <row r="681" spans="1:8" ht="15" customHeight="1" x14ac:dyDescent="0.25">
      <c r="A681" s="5">
        <v>675</v>
      </c>
      <c r="B681" s="10" t="s">
        <v>1397</v>
      </c>
      <c r="C681" s="10" t="s">
        <v>1398</v>
      </c>
      <c r="D681" s="7">
        <v>3713.54</v>
      </c>
      <c r="E681" s="5">
        <v>1615</v>
      </c>
      <c r="F681" s="5">
        <v>399</v>
      </c>
      <c r="G681" s="12">
        <f>SUM($D$7:D681)</f>
        <v>8001337.4500000067</v>
      </c>
      <c r="H681" s="11">
        <f t="shared" si="10"/>
        <v>0.75012412872945711</v>
      </c>
    </row>
    <row r="682" spans="1:8" ht="15" customHeight="1" x14ac:dyDescent="0.25">
      <c r="A682" s="5">
        <v>676</v>
      </c>
      <c r="B682" s="10" t="s">
        <v>1399</v>
      </c>
      <c r="C682" s="10" t="s">
        <v>1400</v>
      </c>
      <c r="D682" s="7">
        <v>3708.52</v>
      </c>
      <c r="E682" s="5">
        <v>767</v>
      </c>
      <c r="F682" s="5">
        <v>161</v>
      </c>
      <c r="G682" s="12">
        <f>SUM($D$7:D682)</f>
        <v>8005045.9700000063</v>
      </c>
      <c r="H682" s="11">
        <f t="shared" si="10"/>
        <v>0.75047180189675677</v>
      </c>
    </row>
    <row r="683" spans="1:8" ht="15" customHeight="1" x14ac:dyDescent="0.25">
      <c r="A683" s="5">
        <v>677</v>
      </c>
      <c r="B683" s="10" t="s">
        <v>1401</v>
      </c>
      <c r="C683" s="10" t="s">
        <v>1402</v>
      </c>
      <c r="D683" s="7">
        <v>3692.37</v>
      </c>
      <c r="E683" s="5">
        <v>1520</v>
      </c>
      <c r="F683" s="5">
        <v>246</v>
      </c>
      <c r="G683" s="12">
        <f>SUM($D$7:D683)</f>
        <v>8008738.3400000064</v>
      </c>
      <c r="H683" s="11">
        <f t="shared" si="10"/>
        <v>0.75081796100409415</v>
      </c>
    </row>
    <row r="684" spans="1:8" ht="15" customHeight="1" x14ac:dyDescent="0.25">
      <c r="A684" s="5">
        <v>678</v>
      </c>
      <c r="B684" s="10" t="s">
        <v>1403</v>
      </c>
      <c r="C684" s="10" t="s">
        <v>1404</v>
      </c>
      <c r="D684" s="7">
        <v>3689.46</v>
      </c>
      <c r="E684" s="5">
        <v>1152</v>
      </c>
      <c r="F684" s="5">
        <v>231</v>
      </c>
      <c r="G684" s="12">
        <f>SUM($D$7:D684)</f>
        <v>8012427.8000000063</v>
      </c>
      <c r="H684" s="11">
        <f t="shared" si="10"/>
        <v>0.75116384729938879</v>
      </c>
    </row>
    <row r="685" spans="1:8" ht="15" customHeight="1" x14ac:dyDescent="0.25">
      <c r="A685" s="5">
        <v>679</v>
      </c>
      <c r="B685" s="10" t="s">
        <v>1405</v>
      </c>
      <c r="C685" s="10" t="s">
        <v>1406</v>
      </c>
      <c r="D685" s="7">
        <v>3685</v>
      </c>
      <c r="E685" s="5">
        <v>26</v>
      </c>
      <c r="F685" s="5">
        <v>20</v>
      </c>
      <c r="G685" s="12">
        <f>SUM($D$7:D685)</f>
        <v>8016112.8000000063</v>
      </c>
      <c r="H685" s="11">
        <f t="shared" si="10"/>
        <v>0.75150931547038413</v>
      </c>
    </row>
    <row r="686" spans="1:8" ht="15" customHeight="1" x14ac:dyDescent="0.25">
      <c r="A686" s="5">
        <v>680</v>
      </c>
      <c r="B686" s="10" t="s">
        <v>1407</v>
      </c>
      <c r="C686" s="10" t="s">
        <v>1408</v>
      </c>
      <c r="D686" s="7">
        <v>3678.11</v>
      </c>
      <c r="E686" s="5">
        <v>925</v>
      </c>
      <c r="F686" s="5">
        <v>223</v>
      </c>
      <c r="G686" s="12">
        <f>SUM($D$7:D686)</f>
        <v>8019790.9100000067</v>
      </c>
      <c r="H686" s="11">
        <f t="shared" si="10"/>
        <v>0.75185413770496201</v>
      </c>
    </row>
    <row r="687" spans="1:8" ht="15" customHeight="1" x14ac:dyDescent="0.25">
      <c r="A687" s="5">
        <v>681</v>
      </c>
      <c r="B687" s="10" t="s">
        <v>1409</v>
      </c>
      <c r="C687" s="10" t="s">
        <v>1410</v>
      </c>
      <c r="D687" s="7">
        <v>3676.18</v>
      </c>
      <c r="E687" s="5">
        <v>882</v>
      </c>
      <c r="F687" s="5">
        <v>179</v>
      </c>
      <c r="G687" s="12">
        <f>SUM($D$7:D687)</f>
        <v>8023467.0900000064</v>
      </c>
      <c r="H687" s="11">
        <f t="shared" si="10"/>
        <v>0.75219877900234322</v>
      </c>
    </row>
    <row r="688" spans="1:8" ht="15" customHeight="1" x14ac:dyDescent="0.25">
      <c r="A688" s="5">
        <v>682</v>
      </c>
      <c r="B688" s="10" t="s">
        <v>1411</v>
      </c>
      <c r="C688" s="10" t="s">
        <v>1412</v>
      </c>
      <c r="D688" s="7">
        <v>3674.7</v>
      </c>
      <c r="E688" s="5">
        <v>597</v>
      </c>
      <c r="F688" s="5">
        <v>195</v>
      </c>
      <c r="G688" s="12">
        <f>SUM($D$7:D688)</f>
        <v>8027141.7900000066</v>
      </c>
      <c r="H688" s="11">
        <f t="shared" si="10"/>
        <v>0.75254328154995698</v>
      </c>
    </row>
    <row r="689" spans="1:8" ht="15" customHeight="1" x14ac:dyDescent="0.25">
      <c r="A689" s="5">
        <v>683</v>
      </c>
      <c r="B689" s="10" t="s">
        <v>1413</v>
      </c>
      <c r="C689" s="10" t="s">
        <v>1414</v>
      </c>
      <c r="D689" s="7">
        <v>3666.29</v>
      </c>
      <c r="E689" s="5">
        <v>1701</v>
      </c>
      <c r="F689" s="5">
        <v>317</v>
      </c>
      <c r="G689" s="12">
        <f>SUM($D$7:D689)</f>
        <v>8030808.0800000066</v>
      </c>
      <c r="H689" s="11">
        <f t="shared" si="10"/>
        <v>0.75288699566139206</v>
      </c>
    </row>
    <row r="690" spans="1:8" ht="15" customHeight="1" x14ac:dyDescent="0.25">
      <c r="A690" s="5">
        <v>684</v>
      </c>
      <c r="B690" s="10" t="s">
        <v>1415</v>
      </c>
      <c r="C690" s="10" t="s">
        <v>1416</v>
      </c>
      <c r="D690" s="7">
        <v>3649.07</v>
      </c>
      <c r="E690" s="5">
        <v>2288</v>
      </c>
      <c r="F690" s="5">
        <v>293</v>
      </c>
      <c r="G690" s="12">
        <f>SUM($D$7:D690)</f>
        <v>8034457.1500000069</v>
      </c>
      <c r="H690" s="11">
        <f t="shared" si="10"/>
        <v>0.75322909540053296</v>
      </c>
    </row>
    <row r="691" spans="1:8" ht="15" customHeight="1" x14ac:dyDescent="0.25">
      <c r="A691" s="5">
        <v>685</v>
      </c>
      <c r="B691" s="10" t="s">
        <v>1417</v>
      </c>
      <c r="C691" s="10" t="s">
        <v>1418</v>
      </c>
      <c r="D691" s="7">
        <v>3635.23</v>
      </c>
      <c r="E691" s="5">
        <v>381</v>
      </c>
      <c r="F691" s="5">
        <v>78</v>
      </c>
      <c r="G691" s="12">
        <f>SUM($D$7:D691)</f>
        <v>8038092.3800000073</v>
      </c>
      <c r="H691" s="11">
        <f t="shared" si="10"/>
        <v>0.75356989764184845</v>
      </c>
    </row>
    <row r="692" spans="1:8" ht="15" customHeight="1" x14ac:dyDescent="0.25">
      <c r="A692" s="5">
        <v>686</v>
      </c>
      <c r="B692" s="10" t="s">
        <v>1419</v>
      </c>
      <c r="C692" s="10" t="s">
        <v>1420</v>
      </c>
      <c r="D692" s="7">
        <v>3633.17</v>
      </c>
      <c r="E692" s="5">
        <v>517</v>
      </c>
      <c r="F692" s="5">
        <v>153</v>
      </c>
      <c r="G692" s="12">
        <f>SUM($D$7:D692)</f>
        <v>8041725.5500000073</v>
      </c>
      <c r="H692" s="11">
        <f t="shared" si="10"/>
        <v>0.75391050675848759</v>
      </c>
    </row>
    <row r="693" spans="1:8" ht="15" customHeight="1" x14ac:dyDescent="0.25">
      <c r="A693" s="5">
        <v>687</v>
      </c>
      <c r="B693" s="10" t="s">
        <v>1421</v>
      </c>
      <c r="C693" s="10" t="s">
        <v>1422</v>
      </c>
      <c r="D693" s="7">
        <v>3631.05</v>
      </c>
      <c r="E693" s="5">
        <v>4420</v>
      </c>
      <c r="F693" s="5">
        <v>354</v>
      </c>
      <c r="G693" s="12">
        <f>SUM($D$7:D693)</f>
        <v>8045356.6000000071</v>
      </c>
      <c r="H693" s="11">
        <f t="shared" si="10"/>
        <v>0.75425091712545977</v>
      </c>
    </row>
    <row r="694" spans="1:8" ht="15" customHeight="1" x14ac:dyDescent="0.25">
      <c r="A694" s="5">
        <v>688</v>
      </c>
      <c r="B694" s="10" t="s">
        <v>1423</v>
      </c>
      <c r="C694" s="10" t="s">
        <v>1424</v>
      </c>
      <c r="D694" s="7">
        <v>3626.45</v>
      </c>
      <c r="E694" s="5">
        <v>2093</v>
      </c>
      <c r="F694" s="5">
        <v>94</v>
      </c>
      <c r="G694" s="12">
        <f>SUM($D$7:D694)</f>
        <v>8048983.0500000073</v>
      </c>
      <c r="H694" s="11">
        <f t="shared" si="10"/>
        <v>0.75459089624315479</v>
      </c>
    </row>
    <row r="695" spans="1:8" ht="15" customHeight="1" x14ac:dyDescent="0.25">
      <c r="A695" s="5">
        <v>689</v>
      </c>
      <c r="B695" s="10" t="s">
        <v>1425</v>
      </c>
      <c r="C695" s="10" t="s">
        <v>1426</v>
      </c>
      <c r="D695" s="7">
        <v>3624.6</v>
      </c>
      <c r="E695" s="5">
        <v>308</v>
      </c>
      <c r="F695" s="5">
        <v>88</v>
      </c>
      <c r="G695" s="12">
        <f>SUM($D$7:D695)</f>
        <v>8052607.6500000069</v>
      </c>
      <c r="H695" s="11">
        <f t="shared" si="10"/>
        <v>0.75493070192364042</v>
      </c>
    </row>
    <row r="696" spans="1:8" ht="15" customHeight="1" x14ac:dyDescent="0.25">
      <c r="A696" s="5">
        <v>690</v>
      </c>
      <c r="B696" s="10" t="s">
        <v>1427</v>
      </c>
      <c r="C696" s="10" t="s">
        <v>1428</v>
      </c>
      <c r="D696" s="7">
        <v>3617.78</v>
      </c>
      <c r="E696" s="5">
        <v>2902</v>
      </c>
      <c r="F696" s="5">
        <v>192</v>
      </c>
      <c r="G696" s="12">
        <f>SUM($D$7:D696)</f>
        <v>8056225.4300000072</v>
      </c>
      <c r="H696" s="11">
        <f t="shared" si="10"/>
        <v>0.75526986823019771</v>
      </c>
    </row>
    <row r="697" spans="1:8" ht="15" customHeight="1" x14ac:dyDescent="0.25">
      <c r="A697" s="5">
        <v>691</v>
      </c>
      <c r="B697" s="10" t="s">
        <v>1429</v>
      </c>
      <c r="C697" s="10" t="s">
        <v>1430</v>
      </c>
      <c r="D697" s="7">
        <v>3608.58</v>
      </c>
      <c r="E697" s="5">
        <v>2162</v>
      </c>
      <c r="F697" s="5">
        <v>194</v>
      </c>
      <c r="G697" s="12">
        <f>SUM($D$7:D697)</f>
        <v>8059834.0100000072</v>
      </c>
      <c r="H697" s="11">
        <f t="shared" si="10"/>
        <v>0.75560817203820052</v>
      </c>
    </row>
    <row r="698" spans="1:8" ht="15" customHeight="1" x14ac:dyDescent="0.25">
      <c r="A698" s="5">
        <v>692</v>
      </c>
      <c r="B698" s="10" t="s">
        <v>1431</v>
      </c>
      <c r="C698" s="10" t="s">
        <v>1432</v>
      </c>
      <c r="D698" s="7">
        <v>3606.42</v>
      </c>
      <c r="E698" s="5">
        <v>4244</v>
      </c>
      <c r="F698" s="5">
        <v>28</v>
      </c>
      <c r="G698" s="12">
        <f>SUM($D$7:D698)</f>
        <v>8063440.4300000072</v>
      </c>
      <c r="H698" s="11">
        <f t="shared" si="10"/>
        <v>0.75594627334654274</v>
      </c>
    </row>
    <row r="699" spans="1:8" ht="15" customHeight="1" x14ac:dyDescent="0.25">
      <c r="A699" s="5">
        <v>693</v>
      </c>
      <c r="B699" s="10" t="s">
        <v>1433</v>
      </c>
      <c r="C699" s="10" t="s">
        <v>1434</v>
      </c>
      <c r="D699" s="7">
        <v>3585.99</v>
      </c>
      <c r="E699" s="5">
        <v>317</v>
      </c>
      <c r="F699" s="5">
        <v>104</v>
      </c>
      <c r="G699" s="12">
        <f>SUM($D$7:D699)</f>
        <v>8067026.4200000074</v>
      </c>
      <c r="H699" s="11">
        <f t="shared" si="10"/>
        <v>0.75628245934559502</v>
      </c>
    </row>
    <row r="700" spans="1:8" ht="15" customHeight="1" x14ac:dyDescent="0.25">
      <c r="A700" s="5">
        <v>694</v>
      </c>
      <c r="B700" s="10" t="s">
        <v>1435</v>
      </c>
      <c r="C700" s="10" t="s">
        <v>1436</v>
      </c>
      <c r="D700" s="7">
        <v>3585.39</v>
      </c>
      <c r="E700" s="5">
        <v>567</v>
      </c>
      <c r="F700" s="5">
        <v>204</v>
      </c>
      <c r="G700" s="12">
        <f>SUM($D$7:D700)</f>
        <v>8070611.810000007</v>
      </c>
      <c r="H700" s="11">
        <f t="shared" si="10"/>
        <v>0.75661858909474156</v>
      </c>
    </row>
    <row r="701" spans="1:8" ht="15" customHeight="1" x14ac:dyDescent="0.25">
      <c r="A701" s="5">
        <v>695</v>
      </c>
      <c r="B701" s="10" t="s">
        <v>1437</v>
      </c>
      <c r="C701" s="10" t="s">
        <v>1438</v>
      </c>
      <c r="D701" s="7">
        <v>3585.02</v>
      </c>
      <c r="E701" s="5">
        <v>1835</v>
      </c>
      <c r="F701" s="5">
        <v>318</v>
      </c>
      <c r="G701" s="12">
        <f>SUM($D$7:D701)</f>
        <v>8074196.8300000066</v>
      </c>
      <c r="H701" s="11">
        <f t="shared" si="10"/>
        <v>0.75695468415644618</v>
      </c>
    </row>
    <row r="702" spans="1:8" ht="15" customHeight="1" x14ac:dyDescent="0.25">
      <c r="A702" s="5">
        <v>696</v>
      </c>
      <c r="B702" s="10" t="s">
        <v>1439</v>
      </c>
      <c r="C702" s="10" t="s">
        <v>1440</v>
      </c>
      <c r="D702" s="7">
        <v>3584.99</v>
      </c>
      <c r="E702" s="5">
        <v>4086</v>
      </c>
      <c r="F702" s="5">
        <v>358</v>
      </c>
      <c r="G702" s="12">
        <f>SUM($D$7:D702)</f>
        <v>8077781.8200000068</v>
      </c>
      <c r="H702" s="11">
        <f t="shared" si="10"/>
        <v>0.75729077640565556</v>
      </c>
    </row>
    <row r="703" spans="1:8" ht="15" customHeight="1" x14ac:dyDescent="0.25">
      <c r="A703" s="5">
        <v>697</v>
      </c>
      <c r="B703" s="10" t="s">
        <v>285</v>
      </c>
      <c r="C703" s="10" t="s">
        <v>1441</v>
      </c>
      <c r="D703" s="7">
        <v>3584.91</v>
      </c>
      <c r="E703" s="5">
        <v>1013</v>
      </c>
      <c r="F703" s="5">
        <v>52</v>
      </c>
      <c r="G703" s="12">
        <f>SUM($D$7:D703)</f>
        <v>8081366.730000007</v>
      </c>
      <c r="H703" s="11">
        <f t="shared" si="10"/>
        <v>0.75762686115487754</v>
      </c>
    </row>
    <row r="704" spans="1:8" ht="15" customHeight="1" x14ac:dyDescent="0.25">
      <c r="A704" s="5">
        <v>698</v>
      </c>
      <c r="B704" s="10" t="s">
        <v>1442</v>
      </c>
      <c r="C704" s="10" t="s">
        <v>1443</v>
      </c>
      <c r="D704" s="7">
        <v>3582.97</v>
      </c>
      <c r="E704" s="5">
        <v>2501</v>
      </c>
      <c r="F704" s="5">
        <v>193</v>
      </c>
      <c r="G704" s="12">
        <f>SUM($D$7:D704)</f>
        <v>8084949.7000000067</v>
      </c>
      <c r="H704" s="11">
        <f t="shared" si="10"/>
        <v>0.75796276402940432</v>
      </c>
    </row>
    <row r="705" spans="1:8" ht="15" customHeight="1" x14ac:dyDescent="0.25">
      <c r="A705" s="5">
        <v>699</v>
      </c>
      <c r="B705" s="10" t="s">
        <v>1444</v>
      </c>
      <c r="C705" s="10" t="s">
        <v>1445</v>
      </c>
      <c r="D705" s="7">
        <v>3578.83</v>
      </c>
      <c r="E705" s="5">
        <v>1934</v>
      </c>
      <c r="F705" s="5">
        <v>313</v>
      </c>
      <c r="G705" s="12">
        <f>SUM($D$7:D705)</f>
        <v>8088528.5300000068</v>
      </c>
      <c r="H705" s="11">
        <f t="shared" si="10"/>
        <v>0.75829827877958156</v>
      </c>
    </row>
    <row r="706" spans="1:8" ht="15" customHeight="1" x14ac:dyDescent="0.25">
      <c r="A706" s="5">
        <v>700</v>
      </c>
      <c r="B706" s="10" t="s">
        <v>1446</v>
      </c>
      <c r="C706" s="10" t="s">
        <v>1447</v>
      </c>
      <c r="D706" s="7">
        <v>3573.83</v>
      </c>
      <c r="E706" s="5">
        <v>4385</v>
      </c>
      <c r="F706" s="5">
        <v>375</v>
      </c>
      <c r="G706" s="12">
        <f>SUM($D$7:D706)</f>
        <v>8092102.3600000069</v>
      </c>
      <c r="H706" s="11">
        <f t="shared" si="10"/>
        <v>0.75863332478054446</v>
      </c>
    </row>
    <row r="707" spans="1:8" ht="15" customHeight="1" x14ac:dyDescent="0.25">
      <c r="A707" s="5">
        <v>701</v>
      </c>
      <c r="B707" s="10" t="s">
        <v>1448</v>
      </c>
      <c r="C707" s="10" t="s">
        <v>1449</v>
      </c>
      <c r="D707" s="7">
        <v>3570.76</v>
      </c>
      <c r="E707" s="5">
        <v>2076</v>
      </c>
      <c r="F707" s="5">
        <v>287</v>
      </c>
      <c r="G707" s="12">
        <f>SUM($D$7:D707)</f>
        <v>8095673.1200000066</v>
      </c>
      <c r="H707" s="11">
        <f t="shared" si="10"/>
        <v>0.7589680829694897</v>
      </c>
    </row>
    <row r="708" spans="1:8" ht="15" customHeight="1" x14ac:dyDescent="0.25">
      <c r="A708" s="5">
        <v>702</v>
      </c>
      <c r="B708" s="10" t="s">
        <v>1450</v>
      </c>
      <c r="C708" s="10" t="s">
        <v>1451</v>
      </c>
      <c r="D708" s="7">
        <v>3564.49</v>
      </c>
      <c r="E708" s="5">
        <v>871</v>
      </c>
      <c r="F708" s="5">
        <v>203</v>
      </c>
      <c r="G708" s="12">
        <f>SUM($D$7:D708)</f>
        <v>8099237.6100000069</v>
      </c>
      <c r="H708" s="11">
        <f t="shared" si="10"/>
        <v>0.75930225334692025</v>
      </c>
    </row>
    <row r="709" spans="1:8" ht="15" customHeight="1" x14ac:dyDescent="0.25">
      <c r="A709" s="5">
        <v>703</v>
      </c>
      <c r="B709" s="10" t="s">
        <v>1452</v>
      </c>
      <c r="C709" s="10" t="s">
        <v>1453</v>
      </c>
      <c r="D709" s="7">
        <v>3564.48</v>
      </c>
      <c r="E709" s="5">
        <v>2857</v>
      </c>
      <c r="F709" s="5">
        <v>412</v>
      </c>
      <c r="G709" s="12">
        <f>SUM($D$7:D709)</f>
        <v>8102802.0900000073</v>
      </c>
      <c r="H709" s="11">
        <f t="shared" si="10"/>
        <v>0.75963642278685228</v>
      </c>
    </row>
    <row r="710" spans="1:8" ht="15" customHeight="1" x14ac:dyDescent="0.25">
      <c r="A710" s="5">
        <v>704</v>
      </c>
      <c r="B710" s="10" t="s">
        <v>1454</v>
      </c>
      <c r="C710" s="10" t="s">
        <v>1455</v>
      </c>
      <c r="D710" s="7">
        <v>3562.32</v>
      </c>
      <c r="E710" s="5">
        <v>1520</v>
      </c>
      <c r="F710" s="5">
        <v>211</v>
      </c>
      <c r="G710" s="12">
        <f>SUM($D$7:D710)</f>
        <v>8106364.4100000076</v>
      </c>
      <c r="H710" s="11">
        <f t="shared" si="10"/>
        <v>0.75997038972712372</v>
      </c>
    </row>
    <row r="711" spans="1:8" ht="15" customHeight="1" x14ac:dyDescent="0.25">
      <c r="A711" s="5">
        <v>705</v>
      </c>
      <c r="B711" s="10" t="s">
        <v>1456</v>
      </c>
      <c r="C711" s="10" t="s">
        <v>1457</v>
      </c>
      <c r="D711" s="7">
        <v>3561.34</v>
      </c>
      <c r="E711" s="5">
        <v>334</v>
      </c>
      <c r="F711" s="5">
        <v>155</v>
      </c>
      <c r="G711" s="12">
        <f>SUM($D$7:D711)</f>
        <v>8109925.7500000075</v>
      </c>
      <c r="H711" s="11">
        <f t="shared" ref="H711:H774" si="11">G711/SUM($D$7:$D$4167)</f>
        <v>0.76030426479254909</v>
      </c>
    </row>
    <row r="712" spans="1:8" ht="15" customHeight="1" x14ac:dyDescent="0.25">
      <c r="A712" s="5">
        <v>706</v>
      </c>
      <c r="B712" s="10" t="s">
        <v>1458</v>
      </c>
      <c r="C712" s="10" t="s">
        <v>1459</v>
      </c>
      <c r="D712" s="7">
        <v>3559</v>
      </c>
      <c r="E712" s="5">
        <v>1128</v>
      </c>
      <c r="F712" s="5">
        <v>234</v>
      </c>
      <c r="G712" s="12">
        <f>SUM($D$7:D712)</f>
        <v>8113484.7500000075</v>
      </c>
      <c r="H712" s="11">
        <f t="shared" si="11"/>
        <v>0.76063792048334211</v>
      </c>
    </row>
    <row r="713" spans="1:8" ht="15" customHeight="1" x14ac:dyDescent="0.25">
      <c r="A713" s="5">
        <v>707</v>
      </c>
      <c r="B713" s="10" t="s">
        <v>1460</v>
      </c>
      <c r="C713" s="10" t="s">
        <v>1461</v>
      </c>
      <c r="D713" s="7">
        <v>3557.94</v>
      </c>
      <c r="E713" s="5">
        <v>2158</v>
      </c>
      <c r="F713" s="5">
        <v>276</v>
      </c>
      <c r="G713" s="12">
        <f>SUM($D$7:D713)</f>
        <v>8117042.6900000079</v>
      </c>
      <c r="H713" s="11">
        <f t="shared" si="11"/>
        <v>0.76097147679930177</v>
      </c>
    </row>
    <row r="714" spans="1:8" ht="15" customHeight="1" x14ac:dyDescent="0.25">
      <c r="A714" s="5">
        <v>708</v>
      </c>
      <c r="B714" s="10" t="s">
        <v>1462</v>
      </c>
      <c r="C714" s="10" t="s">
        <v>1463</v>
      </c>
      <c r="D714" s="7">
        <v>3545.6</v>
      </c>
      <c r="E714" s="5">
        <v>2219</v>
      </c>
      <c r="F714" s="5">
        <v>360</v>
      </c>
      <c r="G714" s="12">
        <f>SUM($D$7:D714)</f>
        <v>8120588.2900000075</v>
      </c>
      <c r="H714" s="11">
        <f t="shared" si="11"/>
        <v>0.76130387624220031</v>
      </c>
    </row>
    <row r="715" spans="1:8" ht="15" customHeight="1" x14ac:dyDescent="0.25">
      <c r="A715" s="5">
        <v>709</v>
      </c>
      <c r="B715" s="10" t="s">
        <v>1464</v>
      </c>
      <c r="C715" s="10" t="s">
        <v>1465</v>
      </c>
      <c r="D715" s="7">
        <v>3529.12</v>
      </c>
      <c r="E715" s="5">
        <v>1913</v>
      </c>
      <c r="F715" s="5">
        <v>436</v>
      </c>
      <c r="G715" s="12">
        <f>SUM($D$7:D715)</f>
        <v>8124117.4100000076</v>
      </c>
      <c r="H715" s="11">
        <f t="shared" si="11"/>
        <v>0.76163473068768828</v>
      </c>
    </row>
    <row r="716" spans="1:8" ht="15" customHeight="1" x14ac:dyDescent="0.25">
      <c r="A716" s="5">
        <v>710</v>
      </c>
      <c r="B716" s="10" t="s">
        <v>1466</v>
      </c>
      <c r="C716" s="10" t="s">
        <v>1467</v>
      </c>
      <c r="D716" s="7">
        <v>3528.89</v>
      </c>
      <c r="E716" s="5">
        <v>9390</v>
      </c>
      <c r="F716" s="5">
        <v>294</v>
      </c>
      <c r="G716" s="12">
        <f>SUM($D$7:D716)</f>
        <v>8127646.3000000073</v>
      </c>
      <c r="H716" s="11">
        <f t="shared" si="11"/>
        <v>0.76196556357071232</v>
      </c>
    </row>
    <row r="717" spans="1:8" ht="15" customHeight="1" x14ac:dyDescent="0.25">
      <c r="A717" s="5">
        <v>711</v>
      </c>
      <c r="B717" s="10" t="s">
        <v>1468</v>
      </c>
      <c r="C717" s="10" t="s">
        <v>1469</v>
      </c>
      <c r="D717" s="7">
        <v>3519.66</v>
      </c>
      <c r="E717" s="5">
        <v>705</v>
      </c>
      <c r="F717" s="5">
        <v>32</v>
      </c>
      <c r="G717" s="12">
        <f>SUM($D$7:D717)</f>
        <v>8131165.9600000074</v>
      </c>
      <c r="H717" s="11">
        <f t="shared" si="11"/>
        <v>0.76229553114268667</v>
      </c>
    </row>
    <row r="718" spans="1:8" ht="15" customHeight="1" x14ac:dyDescent="0.25">
      <c r="A718" s="5">
        <v>712</v>
      </c>
      <c r="B718" s="10" t="s">
        <v>1470</v>
      </c>
      <c r="C718" s="10" t="s">
        <v>1471</v>
      </c>
      <c r="D718" s="7">
        <v>3517.52</v>
      </c>
      <c r="E718" s="5">
        <v>4016</v>
      </c>
      <c r="F718" s="5">
        <v>327</v>
      </c>
      <c r="G718" s="12">
        <f>SUM($D$7:D718)</f>
        <v>8134683.480000007</v>
      </c>
      <c r="H718" s="11">
        <f t="shared" si="11"/>
        <v>0.76262529808999724</v>
      </c>
    </row>
    <row r="719" spans="1:8" ht="15" customHeight="1" x14ac:dyDescent="0.25">
      <c r="A719" s="5">
        <v>713</v>
      </c>
      <c r="B719" s="10" t="s">
        <v>1472</v>
      </c>
      <c r="C719" s="10" t="s">
        <v>1473</v>
      </c>
      <c r="D719" s="7">
        <v>3507.51</v>
      </c>
      <c r="E719" s="5">
        <v>1249</v>
      </c>
      <c r="F719" s="5">
        <v>141</v>
      </c>
      <c r="G719" s="12">
        <f>SUM($D$7:D719)</f>
        <v>8138190.9900000067</v>
      </c>
      <c r="H719" s="11">
        <f t="shared" si="11"/>
        <v>0.76295412660138062</v>
      </c>
    </row>
    <row r="720" spans="1:8" ht="15" customHeight="1" x14ac:dyDescent="0.25">
      <c r="A720" s="5">
        <v>714</v>
      </c>
      <c r="B720" s="10" t="s">
        <v>1474</v>
      </c>
      <c r="C720" s="10" t="s">
        <v>1475</v>
      </c>
      <c r="D720" s="7">
        <v>3507.17</v>
      </c>
      <c r="E720" s="5">
        <v>1330</v>
      </c>
      <c r="F720" s="5">
        <v>231</v>
      </c>
      <c r="G720" s="12">
        <f>SUM($D$7:D720)</f>
        <v>8141698.1600000067</v>
      </c>
      <c r="H720" s="11">
        <f t="shared" si="11"/>
        <v>0.76328292323781743</v>
      </c>
    </row>
    <row r="721" spans="1:8" ht="15" customHeight="1" x14ac:dyDescent="0.25">
      <c r="A721" s="5">
        <v>715</v>
      </c>
      <c r="B721" s="10" t="s">
        <v>1476</v>
      </c>
      <c r="C721" s="10" t="s">
        <v>1477</v>
      </c>
      <c r="D721" s="7">
        <v>3491.86</v>
      </c>
      <c r="E721" s="5">
        <v>275</v>
      </c>
      <c r="F721" s="5">
        <v>80</v>
      </c>
      <c r="G721" s="12">
        <f>SUM($D$7:D721)</f>
        <v>8145190.020000007</v>
      </c>
      <c r="H721" s="11">
        <f t="shared" si="11"/>
        <v>0.76361028456415991</v>
      </c>
    </row>
    <row r="722" spans="1:8" ht="15" customHeight="1" x14ac:dyDescent="0.25">
      <c r="A722" s="5">
        <v>716</v>
      </c>
      <c r="B722" s="10" t="s">
        <v>1478</v>
      </c>
      <c r="C722" s="10" t="s">
        <v>1479</v>
      </c>
      <c r="D722" s="7">
        <v>3488.44</v>
      </c>
      <c r="E722" s="5">
        <v>3969</v>
      </c>
      <c r="F722" s="5">
        <v>387</v>
      </c>
      <c r="G722" s="12">
        <f>SUM($D$7:D722)</f>
        <v>8148678.4600000074</v>
      </c>
      <c r="H722" s="11">
        <f t="shared" si="11"/>
        <v>0.76393732526603975</v>
      </c>
    </row>
    <row r="723" spans="1:8" ht="15" customHeight="1" x14ac:dyDescent="0.25">
      <c r="A723" s="5">
        <v>717</v>
      </c>
      <c r="B723" s="10" t="s">
        <v>1480</v>
      </c>
      <c r="C723" s="10" t="s">
        <v>1481</v>
      </c>
      <c r="D723" s="7">
        <v>3486.98</v>
      </c>
      <c r="E723" s="5">
        <v>938</v>
      </c>
      <c r="F723" s="5">
        <v>214</v>
      </c>
      <c r="G723" s="12">
        <f>SUM($D$7:D723)</f>
        <v>8152165.4400000079</v>
      </c>
      <c r="H723" s="11">
        <f t="shared" si="11"/>
        <v>0.76426422909314895</v>
      </c>
    </row>
    <row r="724" spans="1:8" ht="15" customHeight="1" x14ac:dyDescent="0.25">
      <c r="A724" s="5">
        <v>718</v>
      </c>
      <c r="B724" s="10" t="s">
        <v>1482</v>
      </c>
      <c r="C724" s="10" t="s">
        <v>1483</v>
      </c>
      <c r="D724" s="7">
        <v>3474.31</v>
      </c>
      <c r="E724" s="5">
        <v>5883</v>
      </c>
      <c r="F724" s="5">
        <v>631</v>
      </c>
      <c r="G724" s="12">
        <f>SUM($D$7:D724)</f>
        <v>8155639.7500000075</v>
      </c>
      <c r="H724" s="11">
        <f t="shared" si="11"/>
        <v>0.76458994510974887</v>
      </c>
    </row>
    <row r="725" spans="1:8" ht="15" customHeight="1" x14ac:dyDescent="0.25">
      <c r="A725" s="5">
        <v>719</v>
      </c>
      <c r="B725" s="10" t="s">
        <v>1484</v>
      </c>
      <c r="C725" s="10" t="s">
        <v>1485</v>
      </c>
      <c r="D725" s="7">
        <v>3470.83</v>
      </c>
      <c r="E725" s="5">
        <v>6751</v>
      </c>
      <c r="F725" s="5">
        <v>241</v>
      </c>
      <c r="G725" s="12">
        <f>SUM($D$7:D725)</f>
        <v>8159110.5800000075</v>
      </c>
      <c r="H725" s="11">
        <f t="shared" si="11"/>
        <v>0.76491533487689556</v>
      </c>
    </row>
    <row r="726" spans="1:8" ht="15" customHeight="1" x14ac:dyDescent="0.25">
      <c r="A726" s="5">
        <v>720</v>
      </c>
      <c r="B726" s="10" t="s">
        <v>1486</v>
      </c>
      <c r="C726" s="10" t="s">
        <v>1487</v>
      </c>
      <c r="D726" s="7">
        <v>3456.75</v>
      </c>
      <c r="E726" s="5">
        <v>2766</v>
      </c>
      <c r="F726" s="5">
        <v>266</v>
      </c>
      <c r="G726" s="12">
        <f>SUM($D$7:D726)</f>
        <v>8162567.3300000075</v>
      </c>
      <c r="H726" s="11">
        <f t="shared" si="11"/>
        <v>0.76523940464625462</v>
      </c>
    </row>
    <row r="727" spans="1:8" ht="15" customHeight="1" x14ac:dyDescent="0.25">
      <c r="A727" s="5">
        <v>721</v>
      </c>
      <c r="B727" s="10" t="s">
        <v>1488</v>
      </c>
      <c r="C727" s="10" t="s">
        <v>1489</v>
      </c>
      <c r="D727" s="7">
        <v>3456.33</v>
      </c>
      <c r="E727" s="5">
        <v>2721</v>
      </c>
      <c r="F727" s="5">
        <v>305</v>
      </c>
      <c r="G727" s="12">
        <f>SUM($D$7:D727)</f>
        <v>8166023.6600000076</v>
      </c>
      <c r="H727" s="11">
        <f t="shared" si="11"/>
        <v>0.7655634350406797</v>
      </c>
    </row>
    <row r="728" spans="1:8" ht="15" customHeight="1" x14ac:dyDescent="0.25">
      <c r="A728" s="5">
        <v>722</v>
      </c>
      <c r="B728" s="10" t="s">
        <v>1490</v>
      </c>
      <c r="C728" s="10" t="s">
        <v>1491</v>
      </c>
      <c r="D728" s="7">
        <v>3456.15</v>
      </c>
      <c r="E728" s="5">
        <v>609</v>
      </c>
      <c r="F728" s="5">
        <v>133</v>
      </c>
      <c r="G728" s="12">
        <f>SUM($D$7:D728)</f>
        <v>8169479.810000008</v>
      </c>
      <c r="H728" s="11">
        <f t="shared" si="11"/>
        <v>0.76588744856013313</v>
      </c>
    </row>
    <row r="729" spans="1:8" ht="15" customHeight="1" x14ac:dyDescent="0.25">
      <c r="A729" s="5">
        <v>723</v>
      </c>
      <c r="B729" s="10" t="s">
        <v>1492</v>
      </c>
      <c r="C729" s="10" t="s">
        <v>1493</v>
      </c>
      <c r="D729" s="7">
        <v>3450.21</v>
      </c>
      <c r="E729" s="5">
        <v>1277</v>
      </c>
      <c r="F729" s="5">
        <v>206</v>
      </c>
      <c r="G729" s="12">
        <f>SUM($D$7:D729)</f>
        <v>8172930.0200000079</v>
      </c>
      <c r="H729" s="11">
        <f t="shared" si="11"/>
        <v>0.76621090520551971</v>
      </c>
    </row>
    <row r="730" spans="1:8" ht="15" customHeight="1" x14ac:dyDescent="0.25">
      <c r="A730" s="5">
        <v>724</v>
      </c>
      <c r="B730" s="10" t="s">
        <v>1494</v>
      </c>
      <c r="C730" s="10" t="s">
        <v>1495</v>
      </c>
      <c r="D730" s="7">
        <v>3450.15</v>
      </c>
      <c r="E730" s="5">
        <v>1497</v>
      </c>
      <c r="F730" s="5">
        <v>132</v>
      </c>
      <c r="G730" s="12">
        <f>SUM($D$7:D730)</f>
        <v>8176380.1700000083</v>
      </c>
      <c r="H730" s="11">
        <f t="shared" si="11"/>
        <v>0.76653435622591592</v>
      </c>
    </row>
    <row r="731" spans="1:8" ht="15" customHeight="1" x14ac:dyDescent="0.25">
      <c r="A731" s="5">
        <v>725</v>
      </c>
      <c r="B731" s="10" t="s">
        <v>1496</v>
      </c>
      <c r="C731" s="10" t="s">
        <v>1497</v>
      </c>
      <c r="D731" s="7">
        <v>3449.6</v>
      </c>
      <c r="E731" s="5">
        <v>2065</v>
      </c>
      <c r="F731" s="5">
        <v>185</v>
      </c>
      <c r="G731" s="12">
        <f>SUM($D$7:D731)</f>
        <v>8179829.7700000079</v>
      </c>
      <c r="H731" s="11">
        <f t="shared" si="11"/>
        <v>0.76685775568389836</v>
      </c>
    </row>
    <row r="732" spans="1:8" ht="15" customHeight="1" x14ac:dyDescent="0.25">
      <c r="A732" s="5">
        <v>726</v>
      </c>
      <c r="B732" s="10" t="s">
        <v>1498</v>
      </c>
      <c r="C732" s="10" t="s">
        <v>1499</v>
      </c>
      <c r="D732" s="7">
        <v>3448.05</v>
      </c>
      <c r="E732" s="5">
        <v>1631</v>
      </c>
      <c r="F732" s="5">
        <v>36</v>
      </c>
      <c r="G732" s="12">
        <f>SUM($D$7:D732)</f>
        <v>8183277.8200000077</v>
      </c>
      <c r="H732" s="11">
        <f t="shared" si="11"/>
        <v>0.76718100982962434</v>
      </c>
    </row>
    <row r="733" spans="1:8" ht="15" customHeight="1" x14ac:dyDescent="0.25">
      <c r="A733" s="5">
        <v>727</v>
      </c>
      <c r="B733" s="10" t="s">
        <v>1500</v>
      </c>
      <c r="C733" s="10" t="s">
        <v>1501</v>
      </c>
      <c r="D733" s="7">
        <v>3447.55</v>
      </c>
      <c r="E733" s="5">
        <v>3889</v>
      </c>
      <c r="F733" s="5">
        <v>317</v>
      </c>
      <c r="G733" s="12">
        <f>SUM($D$7:D733)</f>
        <v>8186725.3700000076</v>
      </c>
      <c r="H733" s="11">
        <f t="shared" si="11"/>
        <v>0.76750421710042893</v>
      </c>
    </row>
    <row r="734" spans="1:8" ht="15" customHeight="1" x14ac:dyDescent="0.25">
      <c r="A734" s="5">
        <v>728</v>
      </c>
      <c r="B734" s="10" t="s">
        <v>1502</v>
      </c>
      <c r="C734" s="10" t="s">
        <v>1503</v>
      </c>
      <c r="D734" s="7">
        <v>3446.95</v>
      </c>
      <c r="E734" s="5">
        <v>651</v>
      </c>
      <c r="F734" s="5">
        <v>134</v>
      </c>
      <c r="G734" s="12">
        <f>SUM($D$7:D734)</f>
        <v>8190172.3200000077</v>
      </c>
      <c r="H734" s="11">
        <f t="shared" si="11"/>
        <v>0.7678273681213279</v>
      </c>
    </row>
    <row r="735" spans="1:8" ht="15" customHeight="1" x14ac:dyDescent="0.25">
      <c r="A735" s="5">
        <v>729</v>
      </c>
      <c r="B735" s="10" t="s">
        <v>1504</v>
      </c>
      <c r="C735" s="10" t="s">
        <v>1505</v>
      </c>
      <c r="D735" s="7">
        <v>3444.91</v>
      </c>
      <c r="E735" s="5">
        <v>1542</v>
      </c>
      <c r="F735" s="5">
        <v>196</v>
      </c>
      <c r="G735" s="12">
        <f>SUM($D$7:D735)</f>
        <v>8193617.2300000079</v>
      </c>
      <c r="H735" s="11">
        <f t="shared" si="11"/>
        <v>0.76815032789254734</v>
      </c>
    </row>
    <row r="736" spans="1:8" ht="15" customHeight="1" x14ac:dyDescent="0.25">
      <c r="A736" s="5">
        <v>730</v>
      </c>
      <c r="B736" s="10" t="s">
        <v>1506</v>
      </c>
      <c r="C736" s="10" t="s">
        <v>1507</v>
      </c>
      <c r="D736" s="7">
        <v>3437.85</v>
      </c>
      <c r="E736" s="5">
        <v>1672</v>
      </c>
      <c r="F736" s="5">
        <v>205</v>
      </c>
      <c r="G736" s="12">
        <f>SUM($D$7:D736)</f>
        <v>8197055.0800000075</v>
      </c>
      <c r="H736" s="11">
        <f t="shared" si="11"/>
        <v>0.76847262578987596</v>
      </c>
    </row>
    <row r="737" spans="1:8" ht="15" customHeight="1" x14ac:dyDescent="0.25">
      <c r="A737" s="5">
        <v>731</v>
      </c>
      <c r="B737" s="10" t="s">
        <v>1508</v>
      </c>
      <c r="C737" s="10" t="s">
        <v>1509</v>
      </c>
      <c r="D737" s="7">
        <v>3431.89</v>
      </c>
      <c r="E737" s="5">
        <v>3743</v>
      </c>
      <c r="F737" s="5">
        <v>322</v>
      </c>
      <c r="G737" s="12">
        <f>SUM($D$7:D737)</f>
        <v>8200486.9700000072</v>
      </c>
      <c r="H737" s="11">
        <f t="shared" si="11"/>
        <v>0.76879436493814113</v>
      </c>
    </row>
    <row r="738" spans="1:8" ht="15" customHeight="1" x14ac:dyDescent="0.25">
      <c r="A738" s="5">
        <v>732</v>
      </c>
      <c r="B738" s="10" t="s">
        <v>1510</v>
      </c>
      <c r="C738" s="10" t="s">
        <v>1511</v>
      </c>
      <c r="D738" s="7">
        <v>3430</v>
      </c>
      <c r="E738" s="5">
        <v>8600</v>
      </c>
      <c r="F738" s="5">
        <v>230</v>
      </c>
      <c r="G738" s="12">
        <f>SUM($D$7:D738)</f>
        <v>8203916.9700000072</v>
      </c>
      <c r="H738" s="11">
        <f t="shared" si="11"/>
        <v>0.76911592689920327</v>
      </c>
    </row>
    <row r="739" spans="1:8" ht="15" customHeight="1" x14ac:dyDescent="0.25">
      <c r="A739" s="5">
        <v>733</v>
      </c>
      <c r="B739" s="10" t="s">
        <v>1512</v>
      </c>
      <c r="C739" s="10" t="s">
        <v>1513</v>
      </c>
      <c r="D739" s="7">
        <v>3427.94</v>
      </c>
      <c r="E739" s="5">
        <v>820</v>
      </c>
      <c r="F739" s="5">
        <v>152</v>
      </c>
      <c r="G739" s="12">
        <f>SUM($D$7:D739)</f>
        <v>8207344.9100000076</v>
      </c>
      <c r="H739" s="11">
        <f t="shared" si="11"/>
        <v>0.76943729573558917</v>
      </c>
    </row>
    <row r="740" spans="1:8" ht="15" customHeight="1" x14ac:dyDescent="0.25">
      <c r="A740" s="5">
        <v>734</v>
      </c>
      <c r="B740" s="10" t="s">
        <v>1514</v>
      </c>
      <c r="C740" s="10" t="s">
        <v>1515</v>
      </c>
      <c r="D740" s="7">
        <v>3427.48</v>
      </c>
      <c r="E740" s="5">
        <v>858</v>
      </c>
      <c r="F740" s="5">
        <v>209</v>
      </c>
      <c r="G740" s="12">
        <f>SUM($D$7:D740)</f>
        <v>8210772.390000008</v>
      </c>
      <c r="H740" s="11">
        <f t="shared" si="11"/>
        <v>0.76975862144704732</v>
      </c>
    </row>
    <row r="741" spans="1:8" ht="15" customHeight="1" x14ac:dyDescent="0.25">
      <c r="A741" s="5">
        <v>735</v>
      </c>
      <c r="B741" s="10" t="s">
        <v>1516</v>
      </c>
      <c r="C741" s="10" t="s">
        <v>1517</v>
      </c>
      <c r="D741" s="7">
        <v>3427.35</v>
      </c>
      <c r="E741" s="5">
        <v>669</v>
      </c>
      <c r="F741" s="5">
        <v>182</v>
      </c>
      <c r="G741" s="12">
        <f>SUM($D$7:D741)</f>
        <v>8214199.7400000077</v>
      </c>
      <c r="H741" s="11">
        <f t="shared" si="11"/>
        <v>0.77007993497102578</v>
      </c>
    </row>
    <row r="742" spans="1:8" ht="15" customHeight="1" x14ac:dyDescent="0.25">
      <c r="A742" s="5">
        <v>736</v>
      </c>
      <c r="B742" s="10" t="s">
        <v>1518</v>
      </c>
      <c r="C742" s="10" t="s">
        <v>1519</v>
      </c>
      <c r="D742" s="7">
        <v>3418.51</v>
      </c>
      <c r="E742" s="5">
        <v>1137</v>
      </c>
      <c r="F742" s="5">
        <v>142</v>
      </c>
      <c r="G742" s="12">
        <f>SUM($D$7:D742)</f>
        <v>8217618.2500000075</v>
      </c>
      <c r="H742" s="11">
        <f t="shared" si="11"/>
        <v>0.77040041974639328</v>
      </c>
    </row>
    <row r="743" spans="1:8" ht="15" customHeight="1" x14ac:dyDescent="0.25">
      <c r="A743" s="5">
        <v>737</v>
      </c>
      <c r="B743" s="10" t="s">
        <v>1520</v>
      </c>
      <c r="C743" s="10" t="s">
        <v>1521</v>
      </c>
      <c r="D743" s="7">
        <v>3417.28</v>
      </c>
      <c r="E743" s="5">
        <v>896</v>
      </c>
      <c r="F743" s="5">
        <v>230</v>
      </c>
      <c r="G743" s="12">
        <f>SUM($D$7:D743)</f>
        <v>8221035.5300000077</v>
      </c>
      <c r="H743" s="11">
        <f t="shared" si="11"/>
        <v>0.77072078920945408</v>
      </c>
    </row>
    <row r="744" spans="1:8" ht="15" customHeight="1" x14ac:dyDescent="0.25">
      <c r="A744" s="5">
        <v>738</v>
      </c>
      <c r="B744" s="10" t="s">
        <v>1522</v>
      </c>
      <c r="C744" s="10" t="s">
        <v>1523</v>
      </c>
      <c r="D744" s="7">
        <v>3399.95</v>
      </c>
      <c r="E744" s="5">
        <v>241</v>
      </c>
      <c r="F744" s="5">
        <v>74</v>
      </c>
      <c r="G744" s="12">
        <f>SUM($D$7:D744)</f>
        <v>8224435.4800000079</v>
      </c>
      <c r="H744" s="11">
        <f t="shared" si="11"/>
        <v>0.77103953398773784</v>
      </c>
    </row>
    <row r="745" spans="1:8" ht="15" customHeight="1" x14ac:dyDescent="0.25">
      <c r="A745" s="5">
        <v>739</v>
      </c>
      <c r="B745" s="10" t="s">
        <v>1524</v>
      </c>
      <c r="C745" s="10" t="s">
        <v>1525</v>
      </c>
      <c r="D745" s="7">
        <v>3399.49</v>
      </c>
      <c r="E745" s="5">
        <v>853</v>
      </c>
      <c r="F745" s="5">
        <v>178</v>
      </c>
      <c r="G745" s="12">
        <f>SUM($D$7:D745)</f>
        <v>8227834.9700000081</v>
      </c>
      <c r="H745" s="11">
        <f t="shared" si="11"/>
        <v>0.77135823564109396</v>
      </c>
    </row>
    <row r="746" spans="1:8" ht="15" customHeight="1" x14ac:dyDescent="0.25">
      <c r="A746" s="5">
        <v>740</v>
      </c>
      <c r="B746" s="10" t="s">
        <v>1526</v>
      </c>
      <c r="C746" s="10" t="s">
        <v>1527</v>
      </c>
      <c r="D746" s="7">
        <v>3398.95</v>
      </c>
      <c r="E746" s="5">
        <v>1744</v>
      </c>
      <c r="F746" s="5">
        <v>286</v>
      </c>
      <c r="G746" s="12">
        <f>SUM($D$7:D746)</f>
        <v>8231233.9200000083</v>
      </c>
      <c r="H746" s="11">
        <f t="shared" si="11"/>
        <v>0.77167688666953482</v>
      </c>
    </row>
    <row r="747" spans="1:8" ht="15" customHeight="1" x14ac:dyDescent="0.25">
      <c r="A747" s="5">
        <v>741</v>
      </c>
      <c r="B747" s="10" t="s">
        <v>1528</v>
      </c>
      <c r="C747" s="10" t="s">
        <v>1529</v>
      </c>
      <c r="D747" s="7">
        <v>3397.65</v>
      </c>
      <c r="E747" s="5">
        <v>8185</v>
      </c>
      <c r="F747" s="5">
        <v>527</v>
      </c>
      <c r="G747" s="12">
        <f>SUM($D$7:D747)</f>
        <v>8234631.5700000087</v>
      </c>
      <c r="H747" s="11">
        <f t="shared" si="11"/>
        <v>0.77199541582317999</v>
      </c>
    </row>
    <row r="748" spans="1:8" ht="15" customHeight="1" x14ac:dyDescent="0.25">
      <c r="A748" s="5">
        <v>742</v>
      </c>
      <c r="B748" s="10" t="s">
        <v>1530</v>
      </c>
      <c r="C748" s="10" t="s">
        <v>1531</v>
      </c>
      <c r="D748" s="7">
        <v>3390.88</v>
      </c>
      <c r="E748" s="5">
        <v>1005</v>
      </c>
      <c r="F748" s="5">
        <v>313</v>
      </c>
      <c r="G748" s="12">
        <f>SUM($D$7:D748)</f>
        <v>8238022.4500000086</v>
      </c>
      <c r="H748" s="11">
        <f t="shared" si="11"/>
        <v>0.77231331029038885</v>
      </c>
    </row>
    <row r="749" spans="1:8" ht="15" customHeight="1" x14ac:dyDescent="0.25">
      <c r="A749" s="5">
        <v>743</v>
      </c>
      <c r="B749" s="10" t="s">
        <v>1532</v>
      </c>
      <c r="C749" s="10" t="s">
        <v>1533</v>
      </c>
      <c r="D749" s="7">
        <v>3380.45</v>
      </c>
      <c r="E749" s="5">
        <v>1877</v>
      </c>
      <c r="F749" s="5">
        <v>250</v>
      </c>
      <c r="G749" s="12">
        <f>SUM($D$7:D749)</f>
        <v>8241402.9000000088</v>
      </c>
      <c r="H749" s="11">
        <f t="shared" si="11"/>
        <v>0.77263022694673655</v>
      </c>
    </row>
    <row r="750" spans="1:8" ht="15" customHeight="1" x14ac:dyDescent="0.25">
      <c r="A750" s="5">
        <v>744</v>
      </c>
      <c r="B750" s="10" t="s">
        <v>1534</v>
      </c>
      <c r="C750" s="10" t="s">
        <v>1535</v>
      </c>
      <c r="D750" s="7">
        <v>3377.74</v>
      </c>
      <c r="E750" s="5">
        <v>4186</v>
      </c>
      <c r="F750" s="5">
        <v>125</v>
      </c>
      <c r="G750" s="12">
        <f>SUM($D$7:D750)</f>
        <v>8244780.640000009</v>
      </c>
      <c r="H750" s="11">
        <f t="shared" si="11"/>
        <v>0.7729468895410101</v>
      </c>
    </row>
    <row r="751" spans="1:8" ht="15" customHeight="1" x14ac:dyDescent="0.25">
      <c r="A751" s="5">
        <v>745</v>
      </c>
      <c r="B751" s="10" t="s">
        <v>1536</v>
      </c>
      <c r="C751" s="10" t="s">
        <v>1537</v>
      </c>
      <c r="D751" s="7">
        <v>3375.7</v>
      </c>
      <c r="E751" s="5">
        <v>1628</v>
      </c>
      <c r="F751" s="5">
        <v>152</v>
      </c>
      <c r="G751" s="12">
        <f>SUM($D$7:D751)</f>
        <v>8248156.3400000092</v>
      </c>
      <c r="H751" s="11">
        <f t="shared" si="11"/>
        <v>0.7732633608856041</v>
      </c>
    </row>
    <row r="752" spans="1:8" ht="15" customHeight="1" x14ac:dyDescent="0.25">
      <c r="A752" s="5">
        <v>746</v>
      </c>
      <c r="B752" s="10" t="s">
        <v>548</v>
      </c>
      <c r="C752" s="10" t="s">
        <v>1538</v>
      </c>
      <c r="D752" s="7">
        <v>3371.58</v>
      </c>
      <c r="E752" s="5">
        <v>284</v>
      </c>
      <c r="F752" s="5">
        <v>158</v>
      </c>
      <c r="G752" s="12">
        <f>SUM($D$7:D752)</f>
        <v>8251527.9200000092</v>
      </c>
      <c r="H752" s="11">
        <f t="shared" si="11"/>
        <v>0.77357944598084549</v>
      </c>
    </row>
    <row r="753" spans="1:8" ht="15" customHeight="1" x14ac:dyDescent="0.25">
      <c r="A753" s="5">
        <v>747</v>
      </c>
      <c r="B753" s="10" t="s">
        <v>1539</v>
      </c>
      <c r="C753" s="10" t="s">
        <v>1540</v>
      </c>
      <c r="D753" s="7">
        <v>3363.34</v>
      </c>
      <c r="E753" s="5">
        <v>1943</v>
      </c>
      <c r="F753" s="5">
        <v>425</v>
      </c>
      <c r="G753" s="12">
        <f>SUM($D$7:D753)</f>
        <v>8254891.2600000091</v>
      </c>
      <c r="H753" s="11">
        <f t="shared" si="11"/>
        <v>0.77389475857738155</v>
      </c>
    </row>
    <row r="754" spans="1:8" ht="15" customHeight="1" x14ac:dyDescent="0.25">
      <c r="A754" s="5">
        <v>748</v>
      </c>
      <c r="B754" s="10" t="s">
        <v>1541</v>
      </c>
      <c r="C754" s="10" t="s">
        <v>1542</v>
      </c>
      <c r="D754" s="7">
        <v>3361.77</v>
      </c>
      <c r="E754" s="5">
        <v>1650</v>
      </c>
      <c r="F754" s="5">
        <v>161</v>
      </c>
      <c r="G754" s="12">
        <f>SUM($D$7:D754)</f>
        <v>8258253.0300000086</v>
      </c>
      <c r="H754" s="11">
        <f t="shared" si="11"/>
        <v>0.77420992398666433</v>
      </c>
    </row>
    <row r="755" spans="1:8" ht="15" customHeight="1" x14ac:dyDescent="0.25">
      <c r="A755" s="5">
        <v>749</v>
      </c>
      <c r="B755" s="10" t="s">
        <v>1543</v>
      </c>
      <c r="C755" s="10" t="s">
        <v>1544</v>
      </c>
      <c r="D755" s="7">
        <v>3358.18</v>
      </c>
      <c r="E755" s="5">
        <v>2831</v>
      </c>
      <c r="F755" s="5">
        <v>281</v>
      </c>
      <c r="G755" s="12">
        <f>SUM($D$7:D755)</f>
        <v>8261611.2100000083</v>
      </c>
      <c r="H755" s="11">
        <f t="shared" si="11"/>
        <v>0.77452475283401112</v>
      </c>
    </row>
    <row r="756" spans="1:8" ht="15" customHeight="1" x14ac:dyDescent="0.25">
      <c r="A756" s="5">
        <v>750</v>
      </c>
      <c r="B756" s="10" t="s">
        <v>1545</v>
      </c>
      <c r="C756" s="10" t="s">
        <v>1546</v>
      </c>
      <c r="D756" s="7">
        <v>3354.22</v>
      </c>
      <c r="E756" s="5">
        <v>590</v>
      </c>
      <c r="F756" s="5">
        <v>52</v>
      </c>
      <c r="G756" s="12">
        <f>SUM($D$7:D756)</f>
        <v>8264965.4300000081</v>
      </c>
      <c r="H756" s="11">
        <f t="shared" si="11"/>
        <v>0.77483921043198012</v>
      </c>
    </row>
    <row r="757" spans="1:8" ht="15" customHeight="1" x14ac:dyDescent="0.25">
      <c r="A757" s="5">
        <v>751</v>
      </c>
      <c r="B757" s="10" t="s">
        <v>1547</v>
      </c>
      <c r="C757" s="10" t="s">
        <v>1548</v>
      </c>
      <c r="D757" s="7">
        <v>3350.62</v>
      </c>
      <c r="E757" s="5">
        <v>1720</v>
      </c>
      <c r="F757" s="5">
        <v>277</v>
      </c>
      <c r="G757" s="12">
        <f>SUM($D$7:D757)</f>
        <v>8268316.0500000082</v>
      </c>
      <c r="H757" s="11">
        <f t="shared" si="11"/>
        <v>0.77515333053051494</v>
      </c>
    </row>
    <row r="758" spans="1:8" ht="15" customHeight="1" x14ac:dyDescent="0.25">
      <c r="A758" s="5">
        <v>752</v>
      </c>
      <c r="B758" s="10" t="s">
        <v>1549</v>
      </c>
      <c r="C758" s="10" t="s">
        <v>1550</v>
      </c>
      <c r="D758" s="7">
        <v>3348.39</v>
      </c>
      <c r="E758" s="5">
        <v>1911</v>
      </c>
      <c r="F758" s="5">
        <v>323</v>
      </c>
      <c r="G758" s="12">
        <f>SUM($D$7:D758)</f>
        <v>8271664.4400000079</v>
      </c>
      <c r="H758" s="11">
        <f t="shared" si="11"/>
        <v>0.77546724156689995</v>
      </c>
    </row>
    <row r="759" spans="1:8" ht="15" customHeight="1" x14ac:dyDescent="0.25">
      <c r="A759" s="5">
        <v>753</v>
      </c>
      <c r="B759" s="10" t="s">
        <v>1551</v>
      </c>
      <c r="C759" s="10" t="s">
        <v>1552</v>
      </c>
      <c r="D759" s="7">
        <v>3328.2</v>
      </c>
      <c r="E759" s="5">
        <v>415</v>
      </c>
      <c r="F759" s="5">
        <v>146</v>
      </c>
      <c r="G759" s="12">
        <f>SUM($D$7:D759)</f>
        <v>8274992.640000008</v>
      </c>
      <c r="H759" s="11">
        <f t="shared" si="11"/>
        <v>0.77577925979395745</v>
      </c>
    </row>
    <row r="760" spans="1:8" ht="15" customHeight="1" x14ac:dyDescent="0.25">
      <c r="A760" s="5">
        <v>754</v>
      </c>
      <c r="B760" s="10" t="s">
        <v>1327</v>
      </c>
      <c r="C760" s="10" t="s">
        <v>1553</v>
      </c>
      <c r="D760" s="7">
        <v>3317.47</v>
      </c>
      <c r="E760" s="5">
        <v>461</v>
      </c>
      <c r="F760" s="5">
        <v>119</v>
      </c>
      <c r="G760" s="12">
        <f>SUM($D$7:D760)</f>
        <v>8278310.1100000078</v>
      </c>
      <c r="H760" s="11">
        <f t="shared" si="11"/>
        <v>0.77609027208520076</v>
      </c>
    </row>
    <row r="761" spans="1:8" ht="15" customHeight="1" x14ac:dyDescent="0.25">
      <c r="A761" s="5">
        <v>755</v>
      </c>
      <c r="B761" s="10" t="s">
        <v>1554</v>
      </c>
      <c r="C761" s="10" t="s">
        <v>1555</v>
      </c>
      <c r="D761" s="7">
        <v>3314.94</v>
      </c>
      <c r="E761" s="5">
        <v>264</v>
      </c>
      <c r="F761" s="5">
        <v>95</v>
      </c>
      <c r="G761" s="12">
        <f>SUM($D$7:D761)</f>
        <v>8281625.0500000082</v>
      </c>
      <c r="H761" s="11">
        <f t="shared" si="11"/>
        <v>0.77640104718934178</v>
      </c>
    </row>
    <row r="762" spans="1:8" ht="15" customHeight="1" x14ac:dyDescent="0.25">
      <c r="A762" s="5">
        <v>756</v>
      </c>
      <c r="B762" s="10" t="s">
        <v>1556</v>
      </c>
      <c r="C762" s="10" t="s">
        <v>1557</v>
      </c>
      <c r="D762" s="7">
        <v>3305.83</v>
      </c>
      <c r="E762" s="5">
        <v>761</v>
      </c>
      <c r="F762" s="5">
        <v>210</v>
      </c>
      <c r="G762" s="12">
        <f>SUM($D$7:D762)</f>
        <v>8284930.8800000083</v>
      </c>
      <c r="H762" s="11">
        <f t="shared" si="11"/>
        <v>0.77671096823241415</v>
      </c>
    </row>
    <row r="763" spans="1:8" ht="15" customHeight="1" x14ac:dyDescent="0.25">
      <c r="A763" s="5">
        <v>757</v>
      </c>
      <c r="B763" s="10" t="s">
        <v>1558</v>
      </c>
      <c r="C763" s="10" t="s">
        <v>1559</v>
      </c>
      <c r="D763" s="7">
        <v>3304.23</v>
      </c>
      <c r="E763" s="5">
        <v>2644</v>
      </c>
      <c r="F763" s="5">
        <v>237</v>
      </c>
      <c r="G763" s="12">
        <f>SUM($D$7:D763)</f>
        <v>8288235.1100000087</v>
      </c>
      <c r="H763" s="11">
        <f t="shared" si="11"/>
        <v>0.77702073927573789</v>
      </c>
    </row>
    <row r="764" spans="1:8" ht="15" customHeight="1" x14ac:dyDescent="0.25">
      <c r="A764" s="5">
        <v>758</v>
      </c>
      <c r="B764" s="10" t="s">
        <v>1560</v>
      </c>
      <c r="C764" s="10" t="s">
        <v>1561</v>
      </c>
      <c r="D764" s="7">
        <v>3294.91</v>
      </c>
      <c r="E764" s="5">
        <v>3904</v>
      </c>
      <c r="F764" s="5">
        <v>342</v>
      </c>
      <c r="G764" s="12">
        <f>SUM($D$7:D764)</f>
        <v>8291530.0200000089</v>
      </c>
      <c r="H764" s="11">
        <f t="shared" si="11"/>
        <v>0.77732963657052601</v>
      </c>
    </row>
    <row r="765" spans="1:8" ht="15" customHeight="1" x14ac:dyDescent="0.25">
      <c r="A765" s="5">
        <v>759</v>
      </c>
      <c r="B765" s="10" t="s">
        <v>1562</v>
      </c>
      <c r="C765" s="10" t="s">
        <v>1563</v>
      </c>
      <c r="D765" s="7">
        <v>3289.75</v>
      </c>
      <c r="E765" s="5">
        <v>2559</v>
      </c>
      <c r="F765" s="5">
        <v>211</v>
      </c>
      <c r="G765" s="12">
        <f>SUM($D$7:D765)</f>
        <v>8294819.7700000089</v>
      </c>
      <c r="H765" s="11">
        <f t="shared" si="11"/>
        <v>0.77763805011612497</v>
      </c>
    </row>
    <row r="766" spans="1:8" ht="15" customHeight="1" x14ac:dyDescent="0.25">
      <c r="A766" s="5">
        <v>760</v>
      </c>
      <c r="B766" s="10" t="s">
        <v>1564</v>
      </c>
      <c r="C766" s="10" t="s">
        <v>1565</v>
      </c>
      <c r="D766" s="7">
        <v>3282.3</v>
      </c>
      <c r="E766" s="5">
        <v>2470</v>
      </c>
      <c r="F766" s="5">
        <v>222</v>
      </c>
      <c r="G766" s="12">
        <f>SUM($D$7:D766)</f>
        <v>8298102.0700000087</v>
      </c>
      <c r="H766" s="11">
        <f t="shared" si="11"/>
        <v>0.77794576522539438</v>
      </c>
    </row>
    <row r="767" spans="1:8" ht="15" customHeight="1" x14ac:dyDescent="0.25">
      <c r="A767" s="5">
        <v>761</v>
      </c>
      <c r="B767" s="10" t="s">
        <v>1566</v>
      </c>
      <c r="C767" s="10" t="s">
        <v>1567</v>
      </c>
      <c r="D767" s="7">
        <v>3280.11</v>
      </c>
      <c r="E767" s="5">
        <v>1705</v>
      </c>
      <c r="F767" s="5">
        <v>159</v>
      </c>
      <c r="G767" s="12">
        <f>SUM($D$7:D767)</f>
        <v>8301382.180000009</v>
      </c>
      <c r="H767" s="11">
        <f t="shared" si="11"/>
        <v>0.77825327502250796</v>
      </c>
    </row>
    <row r="768" spans="1:8" ht="15" customHeight="1" x14ac:dyDescent="0.25">
      <c r="A768" s="5">
        <v>762</v>
      </c>
      <c r="B768" s="10" t="s">
        <v>1568</v>
      </c>
      <c r="C768" s="10" t="s">
        <v>1569</v>
      </c>
      <c r="D768" s="7">
        <v>3279.21</v>
      </c>
      <c r="E768" s="5">
        <v>6151</v>
      </c>
      <c r="F768" s="5">
        <v>382</v>
      </c>
      <c r="G768" s="12">
        <f>SUM($D$7:D768)</f>
        <v>8304661.390000009</v>
      </c>
      <c r="H768" s="11">
        <f t="shared" si="11"/>
        <v>0.778560700444763</v>
      </c>
    </row>
    <row r="769" spans="1:8" ht="15" customHeight="1" x14ac:dyDescent="0.25">
      <c r="A769" s="5">
        <v>763</v>
      </c>
      <c r="B769" s="10" t="s">
        <v>1570</v>
      </c>
      <c r="C769" s="10" t="s">
        <v>1571</v>
      </c>
      <c r="D769" s="7">
        <v>3277.31</v>
      </c>
      <c r="E769" s="5">
        <v>1173</v>
      </c>
      <c r="F769" s="5">
        <v>138</v>
      </c>
      <c r="G769" s="12">
        <f>SUM($D$7:D769)</f>
        <v>8307938.7000000086</v>
      </c>
      <c r="H769" s="11">
        <f t="shared" si="11"/>
        <v>0.77886794774231649</v>
      </c>
    </row>
    <row r="770" spans="1:8" ht="15" customHeight="1" x14ac:dyDescent="0.25">
      <c r="A770" s="5">
        <v>764</v>
      </c>
      <c r="B770" s="10" t="s">
        <v>1572</v>
      </c>
      <c r="C770" s="10" t="s">
        <v>1573</v>
      </c>
      <c r="D770" s="7">
        <v>3266.09</v>
      </c>
      <c r="E770" s="5">
        <v>622</v>
      </c>
      <c r="F770" s="5">
        <v>195</v>
      </c>
      <c r="G770" s="12">
        <f>SUM($D$7:D770)</f>
        <v>8311204.7900000084</v>
      </c>
      <c r="H770" s="11">
        <f t="shared" si="11"/>
        <v>0.77917414316663292</v>
      </c>
    </row>
    <row r="771" spans="1:8" ht="15" customHeight="1" x14ac:dyDescent="0.25">
      <c r="A771" s="5">
        <v>765</v>
      </c>
      <c r="B771" s="10" t="s">
        <v>1574</v>
      </c>
      <c r="C771" s="10" t="s">
        <v>1575</v>
      </c>
      <c r="D771" s="7">
        <v>3262.57</v>
      </c>
      <c r="E771" s="5">
        <v>365</v>
      </c>
      <c r="F771" s="5">
        <v>164</v>
      </c>
      <c r="G771" s="12">
        <f>SUM($D$7:D771)</f>
        <v>8314467.3600000087</v>
      </c>
      <c r="H771" s="11">
        <f t="shared" si="11"/>
        <v>0.77948000859150246</v>
      </c>
    </row>
    <row r="772" spans="1:8" ht="15" customHeight="1" x14ac:dyDescent="0.25">
      <c r="A772" s="5">
        <v>766</v>
      </c>
      <c r="B772" s="10" t="s">
        <v>1576</v>
      </c>
      <c r="C772" s="10" t="s">
        <v>1577</v>
      </c>
      <c r="D772" s="7">
        <v>3262.25</v>
      </c>
      <c r="E772" s="5">
        <v>2479</v>
      </c>
      <c r="F772" s="5">
        <v>302</v>
      </c>
      <c r="G772" s="12">
        <f>SUM($D$7:D772)</f>
        <v>8317729.6100000087</v>
      </c>
      <c r="H772" s="11">
        <f t="shared" si="11"/>
        <v>0.77978584401642237</v>
      </c>
    </row>
    <row r="773" spans="1:8" ht="15" customHeight="1" x14ac:dyDescent="0.25">
      <c r="A773" s="5">
        <v>767</v>
      </c>
      <c r="B773" s="10" t="s">
        <v>1578</v>
      </c>
      <c r="C773" s="10" t="s">
        <v>1579</v>
      </c>
      <c r="D773" s="7">
        <v>3245.68</v>
      </c>
      <c r="E773" s="5">
        <v>1266</v>
      </c>
      <c r="F773" s="5">
        <v>192</v>
      </c>
      <c r="G773" s="12">
        <f>SUM($D$7:D773)</f>
        <v>8320975.2900000084</v>
      </c>
      <c r="H773" s="11">
        <f t="shared" si="11"/>
        <v>0.78009012600644567</v>
      </c>
    </row>
    <row r="774" spans="1:8" ht="15" customHeight="1" x14ac:dyDescent="0.25">
      <c r="A774" s="5">
        <v>768</v>
      </c>
      <c r="B774" s="10" t="s">
        <v>1580</v>
      </c>
      <c r="C774" s="10" t="s">
        <v>1581</v>
      </c>
      <c r="D774" s="7">
        <v>3244.94</v>
      </c>
      <c r="E774" s="5">
        <v>1451</v>
      </c>
      <c r="F774" s="5">
        <v>328</v>
      </c>
      <c r="G774" s="12">
        <f>SUM($D$7:D774)</f>
        <v>8324220.2300000088</v>
      </c>
      <c r="H774" s="11">
        <f t="shared" si="11"/>
        <v>0.78039433862158536</v>
      </c>
    </row>
    <row r="775" spans="1:8" ht="15" customHeight="1" x14ac:dyDescent="0.25">
      <c r="A775" s="5">
        <v>769</v>
      </c>
      <c r="B775" s="10" t="s">
        <v>1582</v>
      </c>
      <c r="C775" s="10" t="s">
        <v>1583</v>
      </c>
      <c r="D775" s="7">
        <v>3230.41</v>
      </c>
      <c r="E775" s="5">
        <v>807</v>
      </c>
      <c r="F775" s="5">
        <v>229</v>
      </c>
      <c r="G775" s="12">
        <f>SUM($D$7:D775)</f>
        <v>8327450.640000009</v>
      </c>
      <c r="H775" s="11">
        <f t="shared" ref="H775:H838" si="12">G775/SUM($D$7:$D$4167)</f>
        <v>0.78069718905150809</v>
      </c>
    </row>
    <row r="776" spans="1:8" ht="15" customHeight="1" x14ac:dyDescent="0.25">
      <c r="A776" s="5">
        <v>770</v>
      </c>
      <c r="B776" s="10" t="s">
        <v>1584</v>
      </c>
      <c r="C776" s="10" t="s">
        <v>1585</v>
      </c>
      <c r="D776" s="7">
        <v>3228.42</v>
      </c>
      <c r="E776" s="5">
        <v>8001</v>
      </c>
      <c r="F776" s="5">
        <v>235</v>
      </c>
      <c r="G776" s="12">
        <f>SUM($D$7:D776)</f>
        <v>8330679.0600000089</v>
      </c>
      <c r="H776" s="11">
        <f t="shared" si="12"/>
        <v>0.78099985291924345</v>
      </c>
    </row>
    <row r="777" spans="1:8" ht="15" customHeight="1" x14ac:dyDescent="0.25">
      <c r="A777" s="5">
        <v>771</v>
      </c>
      <c r="B777" s="10" t="s">
        <v>1586</v>
      </c>
      <c r="C777" s="10" t="s">
        <v>1587</v>
      </c>
      <c r="D777" s="7">
        <v>3223.49</v>
      </c>
      <c r="E777" s="5">
        <v>365</v>
      </c>
      <c r="F777" s="5">
        <v>162</v>
      </c>
      <c r="G777" s="12">
        <f>SUM($D$7:D777)</f>
        <v>8333902.5500000091</v>
      </c>
      <c r="H777" s="11">
        <f t="shared" si="12"/>
        <v>0.78130205460025337</v>
      </c>
    </row>
    <row r="778" spans="1:8" ht="15" customHeight="1" x14ac:dyDescent="0.25">
      <c r="A778" s="5">
        <v>772</v>
      </c>
      <c r="B778" s="10" t="s">
        <v>1588</v>
      </c>
      <c r="C778" s="10" t="s">
        <v>1589</v>
      </c>
      <c r="D778" s="7">
        <v>3216.12</v>
      </c>
      <c r="E778" s="5">
        <v>4506</v>
      </c>
      <c r="F778" s="5">
        <v>355</v>
      </c>
      <c r="G778" s="12">
        <f>SUM($D$7:D778)</f>
        <v>8337118.6700000092</v>
      </c>
      <c r="H778" s="11">
        <f t="shared" si="12"/>
        <v>0.78160356534492137</v>
      </c>
    </row>
    <row r="779" spans="1:8" ht="15" customHeight="1" x14ac:dyDescent="0.25">
      <c r="A779" s="5">
        <v>773</v>
      </c>
      <c r="B779" s="10" t="s">
        <v>1590</v>
      </c>
      <c r="C779" s="10" t="s">
        <v>1591</v>
      </c>
      <c r="D779" s="7">
        <v>3210.52</v>
      </c>
      <c r="E779" s="5">
        <v>1016</v>
      </c>
      <c r="F779" s="5">
        <v>214</v>
      </c>
      <c r="G779" s="12">
        <f>SUM($D$7:D779)</f>
        <v>8340329.1900000088</v>
      </c>
      <c r="H779" s="11">
        <f t="shared" si="12"/>
        <v>0.7819045510904693</v>
      </c>
    </row>
    <row r="780" spans="1:8" ht="15" customHeight="1" x14ac:dyDescent="0.25">
      <c r="A780" s="5">
        <v>774</v>
      </c>
      <c r="B780" s="10" t="s">
        <v>1592</v>
      </c>
      <c r="C780" s="10" t="s">
        <v>1593</v>
      </c>
      <c r="D780" s="7">
        <v>3207.69</v>
      </c>
      <c r="E780" s="5">
        <v>2870</v>
      </c>
      <c r="F780" s="5">
        <v>177</v>
      </c>
      <c r="G780" s="12">
        <f>SUM($D$7:D780)</f>
        <v>8343536.8800000092</v>
      </c>
      <c r="H780" s="11">
        <f t="shared" si="12"/>
        <v>0.7822052715239618</v>
      </c>
    </row>
    <row r="781" spans="1:8" ht="15" customHeight="1" x14ac:dyDescent="0.25">
      <c r="A781" s="5">
        <v>775</v>
      </c>
      <c r="B781" s="10" t="s">
        <v>1594</v>
      </c>
      <c r="C781" s="10" t="s">
        <v>1595</v>
      </c>
      <c r="D781" s="7">
        <v>3193.83</v>
      </c>
      <c r="E781" s="5">
        <v>3959</v>
      </c>
      <c r="F781" s="5">
        <v>219</v>
      </c>
      <c r="G781" s="12">
        <f>SUM($D$7:D781)</f>
        <v>8346730.7100000093</v>
      </c>
      <c r="H781" s="11">
        <f t="shared" si="12"/>
        <v>0.78250469258463218</v>
      </c>
    </row>
    <row r="782" spans="1:8" ht="15" customHeight="1" x14ac:dyDescent="0.25">
      <c r="A782" s="5">
        <v>776</v>
      </c>
      <c r="B782" s="10" t="s">
        <v>1596</v>
      </c>
      <c r="C782" s="10" t="s">
        <v>1597</v>
      </c>
      <c r="D782" s="7">
        <v>3176.41</v>
      </c>
      <c r="E782" s="5">
        <v>373</v>
      </c>
      <c r="F782" s="5">
        <v>162</v>
      </c>
      <c r="G782" s="12">
        <f>SUM($D$7:D782)</f>
        <v>8349907.1200000094</v>
      </c>
      <c r="H782" s="11">
        <f t="shared" si="12"/>
        <v>0.78280248052303958</v>
      </c>
    </row>
    <row r="783" spans="1:8" ht="15" customHeight="1" x14ac:dyDescent="0.25">
      <c r="A783" s="5">
        <v>777</v>
      </c>
      <c r="B783" s="10" t="s">
        <v>1598</v>
      </c>
      <c r="C783" s="10" t="s">
        <v>1599</v>
      </c>
      <c r="D783" s="7">
        <v>3174.84</v>
      </c>
      <c r="E783" s="5">
        <v>566</v>
      </c>
      <c r="F783" s="5">
        <v>162</v>
      </c>
      <c r="G783" s="12">
        <f>SUM($D$7:D783)</f>
        <v>8353081.9600000093</v>
      </c>
      <c r="H783" s="11">
        <f t="shared" si="12"/>
        <v>0.78310012127419371</v>
      </c>
    </row>
    <row r="784" spans="1:8" ht="15" customHeight="1" x14ac:dyDescent="0.25">
      <c r="A784" s="5">
        <v>778</v>
      </c>
      <c r="B784" s="10" t="s">
        <v>1600</v>
      </c>
      <c r="C784" s="10" t="s">
        <v>1601</v>
      </c>
      <c r="D784" s="7">
        <v>3173.89</v>
      </c>
      <c r="E784" s="5">
        <v>2173</v>
      </c>
      <c r="F784" s="5">
        <v>190</v>
      </c>
      <c r="G784" s="12">
        <f>SUM($D$7:D784)</f>
        <v>8356255.8500000089</v>
      </c>
      <c r="H784" s="11">
        <f t="shared" si="12"/>
        <v>0.783397672962997</v>
      </c>
    </row>
    <row r="785" spans="1:8" ht="15" customHeight="1" x14ac:dyDescent="0.25">
      <c r="A785" s="5">
        <v>779</v>
      </c>
      <c r="B785" s="10" t="s">
        <v>1602</v>
      </c>
      <c r="C785" s="10" t="s">
        <v>1603</v>
      </c>
      <c r="D785" s="7">
        <v>3155.18</v>
      </c>
      <c r="E785" s="5">
        <v>1473</v>
      </c>
      <c r="F785" s="5">
        <v>294</v>
      </c>
      <c r="G785" s="12">
        <f>SUM($D$7:D785)</f>
        <v>8359411.0300000086</v>
      </c>
      <c r="H785" s="11">
        <f t="shared" si="12"/>
        <v>0.78369347059224015</v>
      </c>
    </row>
    <row r="786" spans="1:8" ht="15" customHeight="1" x14ac:dyDescent="0.25">
      <c r="A786" s="5">
        <v>780</v>
      </c>
      <c r="B786" s="10" t="s">
        <v>1604</v>
      </c>
      <c r="C786" s="10" t="s">
        <v>1605</v>
      </c>
      <c r="D786" s="7">
        <v>3153.09</v>
      </c>
      <c r="E786" s="5">
        <v>2060</v>
      </c>
      <c r="F786" s="5">
        <v>198</v>
      </c>
      <c r="G786" s="12">
        <f>SUM($D$7:D786)</f>
        <v>8362564.1200000085</v>
      </c>
      <c r="H786" s="11">
        <f t="shared" si="12"/>
        <v>0.78398907228431169</v>
      </c>
    </row>
    <row r="787" spans="1:8" ht="15" customHeight="1" x14ac:dyDescent="0.25">
      <c r="A787" s="5">
        <v>781</v>
      </c>
      <c r="B787" s="10" t="s">
        <v>1606</v>
      </c>
      <c r="C787" s="10" t="s">
        <v>1607</v>
      </c>
      <c r="D787" s="7">
        <v>3145.05</v>
      </c>
      <c r="E787" s="5">
        <v>721</v>
      </c>
      <c r="F787" s="5">
        <v>157</v>
      </c>
      <c r="G787" s="12">
        <f>SUM($D$7:D787)</f>
        <v>8365709.1700000083</v>
      </c>
      <c r="H787" s="11">
        <f t="shared" si="12"/>
        <v>0.78428392022764648</v>
      </c>
    </row>
    <row r="788" spans="1:8" ht="15" customHeight="1" x14ac:dyDescent="0.25">
      <c r="A788" s="5">
        <v>782</v>
      </c>
      <c r="B788" s="10" t="s">
        <v>1608</v>
      </c>
      <c r="C788" s="10" t="s">
        <v>1609</v>
      </c>
      <c r="D788" s="7">
        <v>3139.3</v>
      </c>
      <c r="E788" s="5">
        <v>267</v>
      </c>
      <c r="F788" s="5">
        <v>98</v>
      </c>
      <c r="G788" s="12">
        <f>SUM($D$7:D788)</f>
        <v>8368848.4700000081</v>
      </c>
      <c r="H788" s="11">
        <f t="shared" si="12"/>
        <v>0.78457822910938479</v>
      </c>
    </row>
    <row r="789" spans="1:8" ht="15" customHeight="1" x14ac:dyDescent="0.25">
      <c r="A789" s="5">
        <v>783</v>
      </c>
      <c r="B789" s="10" t="s">
        <v>1610</v>
      </c>
      <c r="C789" s="10" t="s">
        <v>1611</v>
      </c>
      <c r="D789" s="7">
        <v>3138</v>
      </c>
      <c r="E789" s="5">
        <v>1815</v>
      </c>
      <c r="F789" s="5">
        <v>224</v>
      </c>
      <c r="G789" s="12">
        <f>SUM($D$7:D789)</f>
        <v>8371986.4700000081</v>
      </c>
      <c r="H789" s="11">
        <f t="shared" si="12"/>
        <v>0.78487241611632741</v>
      </c>
    </row>
    <row r="790" spans="1:8" ht="15" customHeight="1" x14ac:dyDescent="0.25">
      <c r="A790" s="5">
        <v>784</v>
      </c>
      <c r="B790" s="10" t="s">
        <v>1612</v>
      </c>
      <c r="C790" s="10" t="s">
        <v>1613</v>
      </c>
      <c r="D790" s="7">
        <v>3131.02</v>
      </c>
      <c r="E790" s="5">
        <v>804</v>
      </c>
      <c r="F790" s="5">
        <v>142</v>
      </c>
      <c r="G790" s="12">
        <f>SUM($D$7:D790)</f>
        <v>8375117.4900000077</v>
      </c>
      <c r="H790" s="11">
        <f t="shared" si="12"/>
        <v>0.78516594874936663</v>
      </c>
    </row>
    <row r="791" spans="1:8" ht="15" customHeight="1" x14ac:dyDescent="0.25">
      <c r="A791" s="5">
        <v>785</v>
      </c>
      <c r="B791" s="10" t="s">
        <v>1614</v>
      </c>
      <c r="C791" s="10" t="s">
        <v>1615</v>
      </c>
      <c r="D791" s="7">
        <v>3127.38</v>
      </c>
      <c r="E791" s="5">
        <v>1281</v>
      </c>
      <c r="F791" s="5">
        <v>213</v>
      </c>
      <c r="G791" s="12">
        <f>SUM($D$7:D791)</f>
        <v>8378244.8700000076</v>
      </c>
      <c r="H791" s="11">
        <f t="shared" si="12"/>
        <v>0.78545914013297791</v>
      </c>
    </row>
    <row r="792" spans="1:8" ht="15" customHeight="1" x14ac:dyDescent="0.25">
      <c r="A792" s="5">
        <v>786</v>
      </c>
      <c r="B792" s="10" t="s">
        <v>1616</v>
      </c>
      <c r="C792" s="10" t="s">
        <v>1617</v>
      </c>
      <c r="D792" s="7">
        <v>3117.34</v>
      </c>
      <c r="E792" s="5">
        <v>2632</v>
      </c>
      <c r="F792" s="5">
        <v>184</v>
      </c>
      <c r="G792" s="12">
        <f>SUM($D$7:D792)</f>
        <v>8381362.2100000074</v>
      </c>
      <c r="H792" s="11">
        <f t="shared" si="12"/>
        <v>0.78575139026816665</v>
      </c>
    </row>
    <row r="793" spans="1:8" ht="15" customHeight="1" x14ac:dyDescent="0.25">
      <c r="A793" s="5">
        <v>787</v>
      </c>
      <c r="B793" s="10" t="s">
        <v>1618</v>
      </c>
      <c r="C793" s="10" t="s">
        <v>1619</v>
      </c>
      <c r="D793" s="7">
        <v>3112.81</v>
      </c>
      <c r="E793" s="5">
        <v>3573</v>
      </c>
      <c r="F793" s="5">
        <v>325</v>
      </c>
      <c r="G793" s="12">
        <f>SUM($D$7:D793)</f>
        <v>8384475.020000007</v>
      </c>
      <c r="H793" s="11">
        <f t="shared" si="12"/>
        <v>0.7860432157165671</v>
      </c>
    </row>
    <row r="794" spans="1:8" ht="15" customHeight="1" x14ac:dyDescent="0.25">
      <c r="A794" s="5">
        <v>788</v>
      </c>
      <c r="B794" s="10" t="s">
        <v>1620</v>
      </c>
      <c r="C794" s="10" t="s">
        <v>1621</v>
      </c>
      <c r="D794" s="7">
        <v>3090.96</v>
      </c>
      <c r="E794" s="5">
        <v>1458</v>
      </c>
      <c r="F794" s="5">
        <v>304</v>
      </c>
      <c r="G794" s="12">
        <f>SUM($D$7:D794)</f>
        <v>8387565.980000007</v>
      </c>
      <c r="H794" s="11">
        <f t="shared" si="12"/>
        <v>0.78633299273090085</v>
      </c>
    </row>
    <row r="795" spans="1:8" ht="15" customHeight="1" x14ac:dyDescent="0.25">
      <c r="A795" s="5">
        <v>789</v>
      </c>
      <c r="B795" s="10" t="s">
        <v>1622</v>
      </c>
      <c r="C795" s="10" t="s">
        <v>1623</v>
      </c>
      <c r="D795" s="7">
        <v>3082.71</v>
      </c>
      <c r="E795" s="5">
        <v>857</v>
      </c>
      <c r="F795" s="5">
        <v>94</v>
      </c>
      <c r="G795" s="12">
        <f>SUM($D$7:D795)</f>
        <v>8390648.6900000069</v>
      </c>
      <c r="H795" s="11">
        <f t="shared" si="12"/>
        <v>0.78662199630903085</v>
      </c>
    </row>
    <row r="796" spans="1:8" ht="15" customHeight="1" x14ac:dyDescent="0.25">
      <c r="A796" s="5">
        <v>790</v>
      </c>
      <c r="B796" s="10" t="s">
        <v>1624</v>
      </c>
      <c r="C796" s="10" t="s">
        <v>1625</v>
      </c>
      <c r="D796" s="7">
        <v>3079.88</v>
      </c>
      <c r="E796" s="5">
        <v>1130</v>
      </c>
      <c r="F796" s="5">
        <v>241</v>
      </c>
      <c r="G796" s="12">
        <f>SUM($D$7:D796)</f>
        <v>8393728.5700000077</v>
      </c>
      <c r="H796" s="11">
        <f t="shared" si="12"/>
        <v>0.78691073457510563</v>
      </c>
    </row>
    <row r="797" spans="1:8" ht="15" customHeight="1" x14ac:dyDescent="0.25">
      <c r="A797" s="5">
        <v>791</v>
      </c>
      <c r="B797" s="10" t="s">
        <v>1536</v>
      </c>
      <c r="C797" s="10" t="s">
        <v>1626</v>
      </c>
      <c r="D797" s="7">
        <v>3075.37</v>
      </c>
      <c r="E797" s="5">
        <v>1845</v>
      </c>
      <c r="F797" s="5">
        <v>181</v>
      </c>
      <c r="G797" s="12">
        <f>SUM($D$7:D797)</f>
        <v>8396803.9400000069</v>
      </c>
      <c r="H797" s="11">
        <f t="shared" si="12"/>
        <v>0.78719905002938884</v>
      </c>
    </row>
    <row r="798" spans="1:8" ht="15" customHeight="1" x14ac:dyDescent="0.25">
      <c r="A798" s="5">
        <v>792</v>
      </c>
      <c r="B798" s="10" t="s">
        <v>792</v>
      </c>
      <c r="C798" s="10" t="s">
        <v>1627</v>
      </c>
      <c r="D798" s="7">
        <v>3069.46</v>
      </c>
      <c r="E798" s="5">
        <v>845</v>
      </c>
      <c r="F798" s="5">
        <v>74</v>
      </c>
      <c r="G798" s="12">
        <f>SUM($D$7:D798)</f>
        <v>8399873.4000000078</v>
      </c>
      <c r="H798" s="11">
        <f t="shared" si="12"/>
        <v>0.78748681142210086</v>
      </c>
    </row>
    <row r="799" spans="1:8" ht="15" customHeight="1" x14ac:dyDescent="0.25">
      <c r="A799" s="5">
        <v>793</v>
      </c>
      <c r="B799" s="10" t="s">
        <v>1628</v>
      </c>
      <c r="C799" s="10" t="s">
        <v>1629</v>
      </c>
      <c r="D799" s="7">
        <v>3063.52</v>
      </c>
      <c r="E799" s="5">
        <v>2702</v>
      </c>
      <c r="F799" s="5">
        <v>186</v>
      </c>
      <c r="G799" s="12">
        <f>SUM($D$7:D799)</f>
        <v>8402936.9200000074</v>
      </c>
      <c r="H799" s="11">
        <f t="shared" si="12"/>
        <v>0.78777401594074603</v>
      </c>
    </row>
    <row r="800" spans="1:8" ht="15" customHeight="1" x14ac:dyDescent="0.25">
      <c r="A800" s="5">
        <v>794</v>
      </c>
      <c r="B800" s="10" t="s">
        <v>1630</v>
      </c>
      <c r="C800" s="10" t="s">
        <v>1631</v>
      </c>
      <c r="D800" s="7">
        <v>3056.34</v>
      </c>
      <c r="E800" s="5">
        <v>1778</v>
      </c>
      <c r="F800" s="5">
        <v>233</v>
      </c>
      <c r="G800" s="12">
        <f>SUM($D$7:D800)</f>
        <v>8405993.2600000072</v>
      </c>
      <c r="H800" s="11">
        <f t="shared" si="12"/>
        <v>0.78806054733551933</v>
      </c>
    </row>
    <row r="801" spans="1:8" ht="15" customHeight="1" x14ac:dyDescent="0.25">
      <c r="A801" s="5">
        <v>795</v>
      </c>
      <c r="B801" s="10" t="s">
        <v>1632</v>
      </c>
      <c r="C801" s="10" t="s">
        <v>1633</v>
      </c>
      <c r="D801" s="7">
        <v>3045.68</v>
      </c>
      <c r="E801" s="5">
        <v>952</v>
      </c>
      <c r="F801" s="5">
        <v>165</v>
      </c>
      <c r="G801" s="12">
        <f>SUM($D$7:D801)</f>
        <v>8409038.9400000069</v>
      </c>
      <c r="H801" s="11">
        <f t="shared" si="12"/>
        <v>0.78834607935696766</v>
      </c>
    </row>
    <row r="802" spans="1:8" ht="15" customHeight="1" x14ac:dyDescent="0.25">
      <c r="A802" s="5">
        <v>796</v>
      </c>
      <c r="B802" s="10" t="s">
        <v>1634</v>
      </c>
      <c r="C802" s="10" t="s">
        <v>1635</v>
      </c>
      <c r="D802" s="7">
        <v>3044.76</v>
      </c>
      <c r="E802" s="5">
        <v>1253</v>
      </c>
      <c r="F802" s="5">
        <v>125</v>
      </c>
      <c r="G802" s="12">
        <f>SUM($D$7:D802)</f>
        <v>8412083.7000000067</v>
      </c>
      <c r="H802" s="11">
        <f t="shared" si="12"/>
        <v>0.7886315251285605</v>
      </c>
    </row>
    <row r="803" spans="1:8" ht="15" customHeight="1" x14ac:dyDescent="0.25">
      <c r="A803" s="5">
        <v>797</v>
      </c>
      <c r="B803" s="10" t="s">
        <v>1636</v>
      </c>
      <c r="C803" s="10" t="s">
        <v>1637</v>
      </c>
      <c r="D803" s="7">
        <v>3037.11</v>
      </c>
      <c r="E803" s="5">
        <v>1476</v>
      </c>
      <c r="F803" s="5">
        <v>214</v>
      </c>
      <c r="G803" s="12">
        <f>SUM($D$7:D803)</f>
        <v>8415120.8100000061</v>
      </c>
      <c r="H803" s="11">
        <f t="shared" si="12"/>
        <v>0.78891625371385532</v>
      </c>
    </row>
    <row r="804" spans="1:8" ht="15" customHeight="1" x14ac:dyDescent="0.25">
      <c r="A804" s="5">
        <v>798</v>
      </c>
      <c r="B804" s="10" t="s">
        <v>1638</v>
      </c>
      <c r="C804" s="10" t="s">
        <v>1639</v>
      </c>
      <c r="D804" s="7">
        <v>3032.99</v>
      </c>
      <c r="E804" s="5">
        <v>1774</v>
      </c>
      <c r="F804" s="5">
        <v>227</v>
      </c>
      <c r="G804" s="12">
        <f>SUM($D$7:D804)</f>
        <v>8418153.8000000063</v>
      </c>
      <c r="H804" s="11">
        <f t="shared" si="12"/>
        <v>0.78920059604979764</v>
      </c>
    </row>
    <row r="805" spans="1:8" ht="15" customHeight="1" x14ac:dyDescent="0.25">
      <c r="A805" s="5">
        <v>799</v>
      </c>
      <c r="B805" s="10" t="s">
        <v>1640</v>
      </c>
      <c r="C805" s="10" t="s">
        <v>1641</v>
      </c>
      <c r="D805" s="7">
        <v>3029.1</v>
      </c>
      <c r="E805" s="5">
        <v>2478</v>
      </c>
      <c r="F805" s="5">
        <v>199</v>
      </c>
      <c r="G805" s="12">
        <f>SUM($D$7:D805)</f>
        <v>8421182.900000006</v>
      </c>
      <c r="H805" s="11">
        <f t="shared" si="12"/>
        <v>0.78948457369885106</v>
      </c>
    </row>
    <row r="806" spans="1:8" ht="15" customHeight="1" x14ac:dyDescent="0.25">
      <c r="A806" s="5">
        <v>800</v>
      </c>
      <c r="B806" s="10" t="s">
        <v>1642</v>
      </c>
      <c r="C806" s="10" t="s">
        <v>1643</v>
      </c>
      <c r="D806" s="7">
        <v>3027.38</v>
      </c>
      <c r="E806" s="5">
        <v>305</v>
      </c>
      <c r="F806" s="5">
        <v>122</v>
      </c>
      <c r="G806" s="12">
        <f>SUM($D$7:D806)</f>
        <v>8424210.2800000068</v>
      </c>
      <c r="H806" s="11">
        <f t="shared" si="12"/>
        <v>0.7897683900981749</v>
      </c>
    </row>
    <row r="807" spans="1:8" ht="15" customHeight="1" x14ac:dyDescent="0.25">
      <c r="A807" s="5">
        <v>801</v>
      </c>
      <c r="B807" s="10" t="s">
        <v>1644</v>
      </c>
      <c r="C807" s="10" t="s">
        <v>1645</v>
      </c>
      <c r="D807" s="7">
        <v>3024.76</v>
      </c>
      <c r="E807" s="5">
        <v>748</v>
      </c>
      <c r="F807" s="5">
        <v>123</v>
      </c>
      <c r="G807" s="12">
        <f>SUM($D$7:D807)</f>
        <v>8427235.0400000066</v>
      </c>
      <c r="H807" s="11">
        <f t="shared" si="12"/>
        <v>0.79005196087291019</v>
      </c>
    </row>
    <row r="808" spans="1:8" ht="15" customHeight="1" x14ac:dyDescent="0.25">
      <c r="A808" s="5">
        <v>802</v>
      </c>
      <c r="B808" s="10" t="s">
        <v>1646</v>
      </c>
      <c r="C808" s="10" t="s">
        <v>1647</v>
      </c>
      <c r="D808" s="7">
        <v>3022.79</v>
      </c>
      <c r="E808" s="5">
        <v>5945</v>
      </c>
      <c r="F808" s="5">
        <v>252</v>
      </c>
      <c r="G808" s="12">
        <f>SUM($D$7:D808)</f>
        <v>8430257.8300000057</v>
      </c>
      <c r="H808" s="11">
        <f t="shared" si="12"/>
        <v>0.79033534696045504</v>
      </c>
    </row>
    <row r="809" spans="1:8" ht="15" customHeight="1" x14ac:dyDescent="0.25">
      <c r="A809" s="5">
        <v>803</v>
      </c>
      <c r="B809" s="10" t="s">
        <v>1648</v>
      </c>
      <c r="C809" s="10" t="s">
        <v>1649</v>
      </c>
      <c r="D809" s="7">
        <v>3021.12</v>
      </c>
      <c r="E809" s="5">
        <v>658</v>
      </c>
      <c r="F809" s="5">
        <v>135</v>
      </c>
      <c r="G809" s="12">
        <f>SUM($D$7:D809)</f>
        <v>8433278.9500000048</v>
      </c>
      <c r="H809" s="11">
        <f t="shared" si="12"/>
        <v>0.79061857648576228</v>
      </c>
    </row>
    <row r="810" spans="1:8" ht="15" customHeight="1" x14ac:dyDescent="0.25">
      <c r="A810" s="5">
        <v>804</v>
      </c>
      <c r="B810" s="10" t="s">
        <v>1650</v>
      </c>
      <c r="C810" s="10" t="s">
        <v>1651</v>
      </c>
      <c r="D810" s="7">
        <v>3019.12</v>
      </c>
      <c r="E810" s="5">
        <v>3003</v>
      </c>
      <c r="F810" s="5">
        <v>172</v>
      </c>
      <c r="G810" s="12">
        <f>SUM($D$7:D810)</f>
        <v>8436298.070000004</v>
      </c>
      <c r="H810" s="11">
        <f t="shared" si="12"/>
        <v>0.79090161851138374</v>
      </c>
    </row>
    <row r="811" spans="1:8" ht="15" customHeight="1" x14ac:dyDescent="0.25">
      <c r="A811" s="5">
        <v>805</v>
      </c>
      <c r="B811" s="10" t="s">
        <v>1652</v>
      </c>
      <c r="C811" s="10" t="s">
        <v>1653</v>
      </c>
      <c r="D811" s="7">
        <v>3018.15</v>
      </c>
      <c r="E811" s="5">
        <v>1657</v>
      </c>
      <c r="F811" s="5">
        <v>225</v>
      </c>
      <c r="G811" s="12">
        <f>SUM($D$7:D811)</f>
        <v>8439316.2200000044</v>
      </c>
      <c r="H811" s="11">
        <f t="shared" si="12"/>
        <v>0.79118456959965777</v>
      </c>
    </row>
    <row r="812" spans="1:8" ht="15" customHeight="1" x14ac:dyDescent="0.25">
      <c r="A812" s="5">
        <v>806</v>
      </c>
      <c r="B812" s="10" t="s">
        <v>1654</v>
      </c>
      <c r="C812" s="10" t="s">
        <v>1655</v>
      </c>
      <c r="D812" s="7">
        <v>3008.99</v>
      </c>
      <c r="E812" s="5">
        <v>743</v>
      </c>
      <c r="F812" s="5">
        <v>161</v>
      </c>
      <c r="G812" s="12">
        <f>SUM($D$7:D812)</f>
        <v>8442325.2100000046</v>
      </c>
      <c r="H812" s="11">
        <f t="shared" si="12"/>
        <v>0.79146666193937099</v>
      </c>
    </row>
    <row r="813" spans="1:8" ht="15" customHeight="1" x14ac:dyDescent="0.25">
      <c r="A813" s="5">
        <v>807</v>
      </c>
      <c r="B813" s="10" t="s">
        <v>1385</v>
      </c>
      <c r="C813" s="10" t="s">
        <v>1656</v>
      </c>
      <c r="D813" s="7">
        <v>3004.46</v>
      </c>
      <c r="E813" s="5">
        <v>1094</v>
      </c>
      <c r="F813" s="5">
        <v>122</v>
      </c>
      <c r="G813" s="12">
        <f>SUM($D$7:D813)</f>
        <v>8445329.6700000055</v>
      </c>
      <c r="H813" s="11">
        <f t="shared" si="12"/>
        <v>0.79174832959229613</v>
      </c>
    </row>
    <row r="814" spans="1:8" ht="15" customHeight="1" x14ac:dyDescent="0.25">
      <c r="A814" s="5">
        <v>808</v>
      </c>
      <c r="B814" s="10" t="s">
        <v>1657</v>
      </c>
      <c r="C814" s="10" t="s">
        <v>1658</v>
      </c>
      <c r="D814" s="7">
        <v>3000.02</v>
      </c>
      <c r="E814" s="5">
        <v>2223</v>
      </c>
      <c r="F814" s="5">
        <v>276</v>
      </c>
      <c r="G814" s="12">
        <f>SUM($D$7:D814)</f>
        <v>8448329.6900000051</v>
      </c>
      <c r="H814" s="11">
        <f t="shared" si="12"/>
        <v>0.79202958099591869</v>
      </c>
    </row>
    <row r="815" spans="1:8" ht="15" customHeight="1" x14ac:dyDescent="0.25">
      <c r="A815" s="5">
        <v>809</v>
      </c>
      <c r="B815" s="10" t="s">
        <v>1659</v>
      </c>
      <c r="C815" s="10" t="s">
        <v>1660</v>
      </c>
      <c r="D815" s="7">
        <v>2990.92</v>
      </c>
      <c r="E815" s="5">
        <v>7226</v>
      </c>
      <c r="F815" s="5">
        <v>248</v>
      </c>
      <c r="G815" s="12">
        <f>SUM($D$7:D815)</f>
        <v>8451320.610000005</v>
      </c>
      <c r="H815" s="11">
        <f t="shared" si="12"/>
        <v>0.79230997927597124</v>
      </c>
    </row>
    <row r="816" spans="1:8" ht="15" customHeight="1" x14ac:dyDescent="0.25">
      <c r="A816" s="5">
        <v>810</v>
      </c>
      <c r="B816" s="10" t="s">
        <v>1661</v>
      </c>
      <c r="C816" s="10" t="s">
        <v>1662</v>
      </c>
      <c r="D816" s="7">
        <v>2987.82</v>
      </c>
      <c r="E816" s="5">
        <v>1240</v>
      </c>
      <c r="F816" s="5">
        <v>101</v>
      </c>
      <c r="G816" s="12">
        <f>SUM($D$7:D816)</f>
        <v>8454308.4300000053</v>
      </c>
      <c r="H816" s="11">
        <f t="shared" si="12"/>
        <v>0.79259008693151078</v>
      </c>
    </row>
    <row r="817" spans="1:8" ht="15" customHeight="1" x14ac:dyDescent="0.25">
      <c r="A817" s="5">
        <v>811</v>
      </c>
      <c r="B817" s="10" t="s">
        <v>1663</v>
      </c>
      <c r="C817" s="10" t="s">
        <v>1664</v>
      </c>
      <c r="D817" s="7">
        <v>2982.03</v>
      </c>
      <c r="E817" s="5">
        <v>793</v>
      </c>
      <c r="F817" s="5">
        <v>241</v>
      </c>
      <c r="G817" s="12">
        <f>SUM($D$7:D817)</f>
        <v>8457290.4600000046</v>
      </c>
      <c r="H817" s="11">
        <f t="shared" si="12"/>
        <v>0.79286965177546009</v>
      </c>
    </row>
    <row r="818" spans="1:8" ht="15" customHeight="1" x14ac:dyDescent="0.25">
      <c r="A818" s="5">
        <v>812</v>
      </c>
      <c r="B818" s="10" t="s">
        <v>1665</v>
      </c>
      <c r="C818" s="10" t="s">
        <v>1666</v>
      </c>
      <c r="D818" s="7">
        <v>2975.14</v>
      </c>
      <c r="E818" s="5">
        <v>1840</v>
      </c>
      <c r="F818" s="5">
        <v>183</v>
      </c>
      <c r="G818" s="12">
        <f>SUM($D$7:D818)</f>
        <v>8460265.6000000052</v>
      </c>
      <c r="H818" s="11">
        <f t="shared" si="12"/>
        <v>0.79314857068299205</v>
      </c>
    </row>
    <row r="819" spans="1:8" ht="15" customHeight="1" x14ac:dyDescent="0.25">
      <c r="A819" s="5">
        <v>813</v>
      </c>
      <c r="B819" s="10" t="s">
        <v>1667</v>
      </c>
      <c r="C819" s="10" t="s">
        <v>1668</v>
      </c>
      <c r="D819" s="7">
        <v>2967.31</v>
      </c>
      <c r="E819" s="5">
        <v>411</v>
      </c>
      <c r="F819" s="5">
        <v>169</v>
      </c>
      <c r="G819" s="12">
        <f>SUM($D$7:D819)</f>
        <v>8463232.9100000057</v>
      </c>
      <c r="H819" s="11">
        <f t="shared" si="12"/>
        <v>0.79342675552925424</v>
      </c>
    </row>
    <row r="820" spans="1:8" ht="15" customHeight="1" x14ac:dyDescent="0.25">
      <c r="A820" s="5">
        <v>814</v>
      </c>
      <c r="B820" s="10" t="s">
        <v>1669</v>
      </c>
      <c r="C820" s="10" t="s">
        <v>1670</v>
      </c>
      <c r="D820" s="7">
        <v>2959.42</v>
      </c>
      <c r="E820" s="5">
        <v>1740</v>
      </c>
      <c r="F820" s="5">
        <v>251</v>
      </c>
      <c r="G820" s="12">
        <f>SUM($D$7:D820)</f>
        <v>8466192.3300000057</v>
      </c>
      <c r="H820" s="11">
        <f t="shared" si="12"/>
        <v>0.79370420068925618</v>
      </c>
    </row>
    <row r="821" spans="1:8" ht="15" customHeight="1" x14ac:dyDescent="0.25">
      <c r="A821" s="5">
        <v>815</v>
      </c>
      <c r="B821" s="10" t="s">
        <v>1671</v>
      </c>
      <c r="C821" s="10" t="s">
        <v>1672</v>
      </c>
      <c r="D821" s="7">
        <v>2950.67</v>
      </c>
      <c r="E821" s="5">
        <v>7200</v>
      </c>
      <c r="F821" s="5">
        <v>369</v>
      </c>
      <c r="G821" s="12">
        <f>SUM($D$7:D821)</f>
        <v>8469143.0000000056</v>
      </c>
      <c r="H821" s="11">
        <f t="shared" si="12"/>
        <v>0.79398082553813287</v>
      </c>
    </row>
    <row r="822" spans="1:8" ht="15" customHeight="1" x14ac:dyDescent="0.25">
      <c r="A822" s="5">
        <v>816</v>
      </c>
      <c r="B822" s="10" t="s">
        <v>1673</v>
      </c>
      <c r="C822" s="10" t="s">
        <v>1674</v>
      </c>
      <c r="D822" s="7">
        <v>2948.41</v>
      </c>
      <c r="E822" s="5">
        <v>1381</v>
      </c>
      <c r="F822" s="5">
        <v>192</v>
      </c>
      <c r="G822" s="12">
        <f>SUM($D$7:D822)</f>
        <v>8472091.4100000057</v>
      </c>
      <c r="H822" s="11">
        <f t="shared" si="12"/>
        <v>0.79425723851236474</v>
      </c>
    </row>
    <row r="823" spans="1:8" ht="15" customHeight="1" x14ac:dyDescent="0.25">
      <c r="A823" s="5">
        <v>817</v>
      </c>
      <c r="B823" s="10" t="s">
        <v>1675</v>
      </c>
      <c r="C823" s="10" t="s">
        <v>1676</v>
      </c>
      <c r="D823" s="7">
        <v>2946.88</v>
      </c>
      <c r="E823" s="5">
        <v>617</v>
      </c>
      <c r="F823" s="5">
        <v>157</v>
      </c>
      <c r="G823" s="12">
        <f>SUM($D$7:D823)</f>
        <v>8475038.2900000066</v>
      </c>
      <c r="H823" s="11">
        <f t="shared" si="12"/>
        <v>0.79453350804933709</v>
      </c>
    </row>
    <row r="824" spans="1:8" ht="15" customHeight="1" x14ac:dyDescent="0.25">
      <c r="A824" s="5">
        <v>818</v>
      </c>
      <c r="B824" s="10" t="s">
        <v>1677</v>
      </c>
      <c r="C824" s="10" t="s">
        <v>1678</v>
      </c>
      <c r="D824" s="7">
        <v>2942.18</v>
      </c>
      <c r="E824" s="5">
        <v>638</v>
      </c>
      <c r="F824" s="5">
        <v>164</v>
      </c>
      <c r="G824" s="12">
        <f>SUM($D$7:D824)</f>
        <v>8477980.4700000063</v>
      </c>
      <c r="H824" s="11">
        <f t="shared" si="12"/>
        <v>0.79480933696204781</v>
      </c>
    </row>
    <row r="825" spans="1:8" ht="15" customHeight="1" x14ac:dyDescent="0.25">
      <c r="A825" s="5">
        <v>819</v>
      </c>
      <c r="B825" s="10" t="s">
        <v>1679</v>
      </c>
      <c r="C825" s="10" t="s">
        <v>1680</v>
      </c>
      <c r="D825" s="7">
        <v>2934.81</v>
      </c>
      <c r="E825" s="5">
        <v>577</v>
      </c>
      <c r="F825" s="5">
        <v>111</v>
      </c>
      <c r="G825" s="12">
        <f>SUM($D$7:D825)</f>
        <v>8480915.2800000068</v>
      </c>
      <c r="H825" s="11">
        <f t="shared" si="12"/>
        <v>0.79508447493841661</v>
      </c>
    </row>
    <row r="826" spans="1:8" ht="15" customHeight="1" x14ac:dyDescent="0.25">
      <c r="A826" s="5">
        <v>820</v>
      </c>
      <c r="B826" s="10" t="s">
        <v>1681</v>
      </c>
      <c r="C826" s="10" t="s">
        <v>1682</v>
      </c>
      <c r="D826" s="7">
        <v>2934.53</v>
      </c>
      <c r="E826" s="5">
        <v>350</v>
      </c>
      <c r="F826" s="5">
        <v>57</v>
      </c>
      <c r="G826" s="12">
        <f>SUM($D$7:D826)</f>
        <v>8483849.8100000061</v>
      </c>
      <c r="H826" s="11">
        <f t="shared" si="12"/>
        <v>0.79535958666482931</v>
      </c>
    </row>
    <row r="827" spans="1:8" ht="15" customHeight="1" x14ac:dyDescent="0.25">
      <c r="A827" s="5">
        <v>821</v>
      </c>
      <c r="B827" s="10" t="s">
        <v>1683</v>
      </c>
      <c r="C827" s="10" t="s">
        <v>1684</v>
      </c>
      <c r="D827" s="7">
        <v>2933.07</v>
      </c>
      <c r="E827" s="5">
        <v>2331</v>
      </c>
      <c r="F827" s="5">
        <v>160</v>
      </c>
      <c r="G827" s="12">
        <f>SUM($D$7:D827)</f>
        <v>8486782.8800000064</v>
      </c>
      <c r="H827" s="11">
        <f t="shared" si="12"/>
        <v>0.79563456151647149</v>
      </c>
    </row>
    <row r="828" spans="1:8" ht="15" customHeight="1" x14ac:dyDescent="0.25">
      <c r="A828" s="5">
        <v>822</v>
      </c>
      <c r="B828" s="10" t="s">
        <v>1685</v>
      </c>
      <c r="C828" s="10" t="s">
        <v>1686</v>
      </c>
      <c r="D828" s="7">
        <v>2923.13</v>
      </c>
      <c r="E828" s="5">
        <v>13882</v>
      </c>
      <c r="F828" s="5">
        <v>147</v>
      </c>
      <c r="G828" s="12">
        <f>SUM($D$7:D828)</f>
        <v>8489706.0100000072</v>
      </c>
      <c r="H828" s="11">
        <f t="shared" si="12"/>
        <v>0.79590860449467549</v>
      </c>
    </row>
    <row r="829" spans="1:8" ht="15" customHeight="1" x14ac:dyDescent="0.25">
      <c r="A829" s="5">
        <v>823</v>
      </c>
      <c r="B829" s="10" t="s">
        <v>1687</v>
      </c>
      <c r="C829" s="10" t="s">
        <v>1688</v>
      </c>
      <c r="D829" s="7">
        <v>2911.27</v>
      </c>
      <c r="E829" s="5">
        <v>451</v>
      </c>
      <c r="F829" s="5">
        <v>126</v>
      </c>
      <c r="G829" s="12">
        <f>SUM($D$7:D829)</f>
        <v>8492617.2800000068</v>
      </c>
      <c r="H829" s="11">
        <f t="shared" si="12"/>
        <v>0.79618153559974292</v>
      </c>
    </row>
    <row r="830" spans="1:8" ht="15" customHeight="1" x14ac:dyDescent="0.25">
      <c r="A830" s="5">
        <v>824</v>
      </c>
      <c r="B830" s="10" t="s">
        <v>1689</v>
      </c>
      <c r="C830" s="10" t="s">
        <v>1690</v>
      </c>
      <c r="D830" s="7">
        <v>2906.52</v>
      </c>
      <c r="E830" s="5">
        <v>3336</v>
      </c>
      <c r="F830" s="5">
        <v>214</v>
      </c>
      <c r="G830" s="12">
        <f>SUM($D$7:D830)</f>
        <v>8495523.8000000063</v>
      </c>
      <c r="H830" s="11">
        <f t="shared" si="12"/>
        <v>0.79645402139305677</v>
      </c>
    </row>
    <row r="831" spans="1:8" ht="15" customHeight="1" x14ac:dyDescent="0.25">
      <c r="A831" s="5">
        <v>825</v>
      </c>
      <c r="B831" s="10" t="s">
        <v>1691</v>
      </c>
      <c r="C831" s="10" t="s">
        <v>1692</v>
      </c>
      <c r="D831" s="7">
        <v>2901.75</v>
      </c>
      <c r="E831" s="5">
        <v>2278</v>
      </c>
      <c r="F831" s="5">
        <v>140</v>
      </c>
      <c r="G831" s="12">
        <f>SUM($D$7:D831)</f>
        <v>8498425.5500000063</v>
      </c>
      <c r="H831" s="11">
        <f t="shared" si="12"/>
        <v>0.79672605999961998</v>
      </c>
    </row>
    <row r="832" spans="1:8" ht="15" customHeight="1" x14ac:dyDescent="0.25">
      <c r="A832" s="5">
        <v>826</v>
      </c>
      <c r="B832" s="10" t="s">
        <v>1693</v>
      </c>
      <c r="C832" s="10" t="s">
        <v>1694</v>
      </c>
      <c r="D832" s="7">
        <v>2899.1</v>
      </c>
      <c r="E832" s="5">
        <v>2437</v>
      </c>
      <c r="F832" s="5">
        <v>214</v>
      </c>
      <c r="G832" s="12">
        <f>SUM($D$7:D832)</f>
        <v>8501324.650000006</v>
      </c>
      <c r="H832" s="11">
        <f t="shared" si="12"/>
        <v>0.79699785016909963</v>
      </c>
    </row>
    <row r="833" spans="1:8" ht="15" customHeight="1" x14ac:dyDescent="0.25">
      <c r="A833" s="5">
        <v>827</v>
      </c>
      <c r="B833" s="10" t="s">
        <v>1695</v>
      </c>
      <c r="C833" s="10" t="s">
        <v>1696</v>
      </c>
      <c r="D833" s="7">
        <v>2898.12</v>
      </c>
      <c r="E833" s="5">
        <v>963</v>
      </c>
      <c r="F833" s="5">
        <v>38</v>
      </c>
      <c r="G833" s="12">
        <f>SUM($D$7:D833)</f>
        <v>8504222.7700000051</v>
      </c>
      <c r="H833" s="11">
        <f t="shared" si="12"/>
        <v>0.79726954846373321</v>
      </c>
    </row>
    <row r="834" spans="1:8" ht="15" customHeight="1" x14ac:dyDescent="0.25">
      <c r="A834" s="5">
        <v>828</v>
      </c>
      <c r="B834" s="10" t="s">
        <v>1697</v>
      </c>
      <c r="C834" s="10" t="s">
        <v>1698</v>
      </c>
      <c r="D834" s="7">
        <v>2891.25</v>
      </c>
      <c r="E834" s="5">
        <v>2455</v>
      </c>
      <c r="F834" s="5">
        <v>174</v>
      </c>
      <c r="G834" s="12">
        <f>SUM($D$7:D834)</f>
        <v>8507114.0200000051</v>
      </c>
      <c r="H834" s="11">
        <f t="shared" si="12"/>
        <v>0.79754060269694638</v>
      </c>
    </row>
    <row r="835" spans="1:8" ht="15" customHeight="1" x14ac:dyDescent="0.25">
      <c r="A835" s="5">
        <v>829</v>
      </c>
      <c r="B835" s="10" t="s">
        <v>1699</v>
      </c>
      <c r="C835" s="10" t="s">
        <v>1700</v>
      </c>
      <c r="D835" s="7">
        <v>2886.95</v>
      </c>
      <c r="E835" s="5">
        <v>5230</v>
      </c>
      <c r="F835" s="5">
        <v>393</v>
      </c>
      <c r="G835" s="12">
        <f>SUM($D$7:D835)</f>
        <v>8510000.9700000044</v>
      </c>
      <c r="H835" s="11">
        <f t="shared" si="12"/>
        <v>0.79781125380583506</v>
      </c>
    </row>
    <row r="836" spans="1:8" ht="15" customHeight="1" x14ac:dyDescent="0.25">
      <c r="A836" s="5">
        <v>830</v>
      </c>
      <c r="B836" s="10" t="s">
        <v>1275</v>
      </c>
      <c r="C836" s="10" t="s">
        <v>1701</v>
      </c>
      <c r="D836" s="7">
        <v>2881.18</v>
      </c>
      <c r="E836" s="5">
        <v>430</v>
      </c>
      <c r="F836" s="5">
        <v>91</v>
      </c>
      <c r="G836" s="12">
        <f>SUM($D$7:D836)</f>
        <v>8512882.1500000041</v>
      </c>
      <c r="H836" s="11">
        <f t="shared" si="12"/>
        <v>0.79808136397813034</v>
      </c>
    </row>
    <row r="837" spans="1:8" ht="15" customHeight="1" x14ac:dyDescent="0.25">
      <c r="A837" s="5">
        <v>831</v>
      </c>
      <c r="B837" s="10" t="s">
        <v>1702</v>
      </c>
      <c r="C837" s="10" t="s">
        <v>1703</v>
      </c>
      <c r="D837" s="7">
        <v>2880.45</v>
      </c>
      <c r="E837" s="5">
        <v>1679</v>
      </c>
      <c r="F837" s="5">
        <v>366</v>
      </c>
      <c r="G837" s="12">
        <f>SUM($D$7:D837)</f>
        <v>8515762.6000000034</v>
      </c>
      <c r="H837" s="11">
        <f t="shared" si="12"/>
        <v>0.79835140571304031</v>
      </c>
    </row>
    <row r="838" spans="1:8" ht="15" customHeight="1" x14ac:dyDescent="0.25">
      <c r="A838" s="5">
        <v>832</v>
      </c>
      <c r="B838" s="10" t="s">
        <v>1704</v>
      </c>
      <c r="C838" s="10" t="s">
        <v>1705</v>
      </c>
      <c r="D838" s="7">
        <v>2873.08</v>
      </c>
      <c r="E838" s="5">
        <v>238</v>
      </c>
      <c r="F838" s="5">
        <v>114</v>
      </c>
      <c r="G838" s="12">
        <f>SUM($D$7:D838)</f>
        <v>8518635.6800000034</v>
      </c>
      <c r="H838" s="11">
        <f t="shared" si="12"/>
        <v>0.79862075651160835</v>
      </c>
    </row>
    <row r="839" spans="1:8" ht="15" customHeight="1" x14ac:dyDescent="0.25">
      <c r="A839" s="5">
        <v>833</v>
      </c>
      <c r="B839" s="10" t="s">
        <v>1706</v>
      </c>
      <c r="C839" s="10" t="s">
        <v>1707</v>
      </c>
      <c r="D839" s="7">
        <v>2860.98</v>
      </c>
      <c r="E839" s="5">
        <v>750</v>
      </c>
      <c r="F839" s="5">
        <v>83</v>
      </c>
      <c r="G839" s="12">
        <f>SUM($D$7:D839)</f>
        <v>8521496.6600000039</v>
      </c>
      <c r="H839" s="11">
        <f t="shared" ref="H839:H902" si="13">G839/SUM($D$7:$D$4167)</f>
        <v>0.79888897293707772</v>
      </c>
    </row>
    <row r="840" spans="1:8" ht="15" customHeight="1" x14ac:dyDescent="0.25">
      <c r="A840" s="5">
        <v>834</v>
      </c>
      <c r="B840" s="10" t="s">
        <v>1708</v>
      </c>
      <c r="C840" s="10" t="s">
        <v>1709</v>
      </c>
      <c r="D840" s="7">
        <v>2858.96</v>
      </c>
      <c r="E840" s="5">
        <v>743</v>
      </c>
      <c r="F840" s="5">
        <v>208</v>
      </c>
      <c r="G840" s="12">
        <f>SUM($D$7:D840)</f>
        <v>8524355.6200000048</v>
      </c>
      <c r="H840" s="11">
        <f t="shared" si="13"/>
        <v>0.79915699998786449</v>
      </c>
    </row>
    <row r="841" spans="1:8" ht="15" customHeight="1" x14ac:dyDescent="0.25">
      <c r="A841" s="5">
        <v>835</v>
      </c>
      <c r="B841" s="10" t="s">
        <v>1710</v>
      </c>
      <c r="C841" s="10" t="s">
        <v>1711</v>
      </c>
      <c r="D841" s="7">
        <v>2857.64</v>
      </c>
      <c r="E841" s="5">
        <v>1934</v>
      </c>
      <c r="F841" s="5">
        <v>208</v>
      </c>
      <c r="G841" s="12">
        <f>SUM($D$7:D841)</f>
        <v>8527213.2600000054</v>
      </c>
      <c r="H841" s="11">
        <f t="shared" si="13"/>
        <v>0.79942490328885851</v>
      </c>
    </row>
    <row r="842" spans="1:8" ht="15" customHeight="1" x14ac:dyDescent="0.25">
      <c r="A842" s="5">
        <v>836</v>
      </c>
      <c r="B842" s="10" t="s">
        <v>1712</v>
      </c>
      <c r="C842" s="10" t="s">
        <v>1713</v>
      </c>
      <c r="D842" s="7">
        <v>2851.36</v>
      </c>
      <c r="E842" s="5">
        <v>163</v>
      </c>
      <c r="F842" s="5">
        <v>91</v>
      </c>
      <c r="G842" s="12">
        <f>SUM($D$7:D842)</f>
        <v>8530064.6200000048</v>
      </c>
      <c r="H842" s="11">
        <f t="shared" si="13"/>
        <v>0.79969221784083933</v>
      </c>
    </row>
    <row r="843" spans="1:8" ht="15" customHeight="1" x14ac:dyDescent="0.25">
      <c r="A843" s="5">
        <v>837</v>
      </c>
      <c r="B843" s="10" t="s">
        <v>1714</v>
      </c>
      <c r="C843" s="10" t="s">
        <v>1715</v>
      </c>
      <c r="D843" s="7">
        <v>2850.89</v>
      </c>
      <c r="E843" s="5">
        <v>2288</v>
      </c>
      <c r="F843" s="5">
        <v>185</v>
      </c>
      <c r="G843" s="12">
        <f>SUM($D$7:D843)</f>
        <v>8532915.5100000054</v>
      </c>
      <c r="H843" s="11">
        <f t="shared" si="13"/>
        <v>0.79995948833039399</v>
      </c>
    </row>
    <row r="844" spans="1:8" ht="15" customHeight="1" x14ac:dyDescent="0.25">
      <c r="A844" s="5">
        <v>838</v>
      </c>
      <c r="B844" s="10" t="s">
        <v>1716</v>
      </c>
      <c r="C844" s="10" t="s">
        <v>1717</v>
      </c>
      <c r="D844" s="7">
        <v>2849.35</v>
      </c>
      <c r="E844" s="5">
        <v>1109</v>
      </c>
      <c r="F844" s="5">
        <v>189</v>
      </c>
      <c r="G844" s="12">
        <f>SUM($D$7:D844)</f>
        <v>8535764.860000005</v>
      </c>
      <c r="H844" s="11">
        <f t="shared" si="13"/>
        <v>0.80022661444519061</v>
      </c>
    </row>
    <row r="845" spans="1:8" ht="15" customHeight="1" x14ac:dyDescent="0.25">
      <c r="A845" s="5">
        <v>839</v>
      </c>
      <c r="B845" s="10" t="s">
        <v>1718</v>
      </c>
      <c r="C845" s="10" t="s">
        <v>1719</v>
      </c>
      <c r="D845" s="7">
        <v>2844.16</v>
      </c>
      <c r="E845" s="5">
        <v>881</v>
      </c>
      <c r="F845" s="5">
        <v>125</v>
      </c>
      <c r="G845" s="12">
        <f>SUM($D$7:D845)</f>
        <v>8538609.0200000051</v>
      </c>
      <c r="H845" s="11">
        <f t="shared" si="13"/>
        <v>0.80049325399830273</v>
      </c>
    </row>
    <row r="846" spans="1:8" ht="15" customHeight="1" x14ac:dyDescent="0.25">
      <c r="A846" s="5">
        <v>840</v>
      </c>
      <c r="B846" s="10" t="s">
        <v>1720</v>
      </c>
      <c r="C846" s="10" t="s">
        <v>1721</v>
      </c>
      <c r="D846" s="7">
        <v>2831.17</v>
      </c>
      <c r="E846" s="5">
        <v>854</v>
      </c>
      <c r="F846" s="5">
        <v>162</v>
      </c>
      <c r="G846" s="12">
        <f>SUM($D$7:D846)</f>
        <v>8541440.1900000051</v>
      </c>
      <c r="H846" s="11">
        <f t="shared" si="13"/>
        <v>0.80075867574095594</v>
      </c>
    </row>
    <row r="847" spans="1:8" ht="15" customHeight="1" x14ac:dyDescent="0.25">
      <c r="A847" s="5">
        <v>841</v>
      </c>
      <c r="B847" s="10" t="s">
        <v>1722</v>
      </c>
      <c r="C847" s="10" t="s">
        <v>1723</v>
      </c>
      <c r="D847" s="7">
        <v>2823.86</v>
      </c>
      <c r="E847" s="5">
        <v>1316</v>
      </c>
      <c r="F847" s="5">
        <v>285</v>
      </c>
      <c r="G847" s="12">
        <f>SUM($D$7:D847)</f>
        <v>8544264.0500000045</v>
      </c>
      <c r="H847" s="11">
        <f t="shared" si="13"/>
        <v>0.80102341217225759</v>
      </c>
    </row>
    <row r="848" spans="1:8" ht="15" customHeight="1" x14ac:dyDescent="0.25">
      <c r="A848" s="5">
        <v>842</v>
      </c>
      <c r="B848" s="10" t="s">
        <v>1724</v>
      </c>
      <c r="C848" s="10" t="s">
        <v>1725</v>
      </c>
      <c r="D848" s="7">
        <v>2823.83</v>
      </c>
      <c r="E848" s="5">
        <v>2519</v>
      </c>
      <c r="F848" s="5">
        <v>140</v>
      </c>
      <c r="G848" s="12">
        <f>SUM($D$7:D848)</f>
        <v>8547087.8800000045</v>
      </c>
      <c r="H848" s="11">
        <f t="shared" si="13"/>
        <v>0.801288145791064</v>
      </c>
    </row>
    <row r="849" spans="1:8" ht="15" customHeight="1" x14ac:dyDescent="0.25">
      <c r="A849" s="5">
        <v>843</v>
      </c>
      <c r="B849" s="10" t="s">
        <v>1726</v>
      </c>
      <c r="C849" s="10" t="s">
        <v>1727</v>
      </c>
      <c r="D849" s="7">
        <v>2822.32</v>
      </c>
      <c r="E849" s="5">
        <v>1480</v>
      </c>
      <c r="F849" s="5">
        <v>118</v>
      </c>
      <c r="G849" s="12">
        <f>SUM($D$7:D849)</f>
        <v>8549910.2000000048</v>
      </c>
      <c r="H849" s="11">
        <f t="shared" si="13"/>
        <v>0.80155273784760783</v>
      </c>
    </row>
    <row r="850" spans="1:8" ht="15" customHeight="1" x14ac:dyDescent="0.25">
      <c r="A850" s="5">
        <v>844</v>
      </c>
      <c r="B850" s="10" t="s">
        <v>1728</v>
      </c>
      <c r="C850" s="10" t="s">
        <v>1729</v>
      </c>
      <c r="D850" s="7">
        <v>2819.84</v>
      </c>
      <c r="E850" s="5">
        <v>6952</v>
      </c>
      <c r="F850" s="5">
        <v>217</v>
      </c>
      <c r="G850" s="12">
        <f>SUM($D$7:D850)</f>
        <v>8552730.0400000047</v>
      </c>
      <c r="H850" s="11">
        <f t="shared" si="13"/>
        <v>0.8018170974045411</v>
      </c>
    </row>
    <row r="851" spans="1:8" ht="15" customHeight="1" x14ac:dyDescent="0.25">
      <c r="A851" s="5">
        <v>845</v>
      </c>
      <c r="B851" s="10" t="s">
        <v>1730</v>
      </c>
      <c r="C851" s="10" t="s">
        <v>1731</v>
      </c>
      <c r="D851" s="7">
        <v>2803.13</v>
      </c>
      <c r="E851" s="5">
        <v>1395</v>
      </c>
      <c r="F851" s="5">
        <v>159</v>
      </c>
      <c r="G851" s="12">
        <f>SUM($D$7:D851)</f>
        <v>8555533.1700000055</v>
      </c>
      <c r="H851" s="11">
        <f t="shared" si="13"/>
        <v>0.80207989040160022</v>
      </c>
    </row>
    <row r="852" spans="1:8" ht="15" customHeight="1" x14ac:dyDescent="0.25">
      <c r="A852" s="5">
        <v>846</v>
      </c>
      <c r="B852" s="10" t="s">
        <v>1732</v>
      </c>
      <c r="C852" s="10" t="s">
        <v>1733</v>
      </c>
      <c r="D852" s="7">
        <v>2786.03</v>
      </c>
      <c r="E852" s="5">
        <v>171</v>
      </c>
      <c r="F852" s="5">
        <v>112</v>
      </c>
      <c r="G852" s="12">
        <f>SUM($D$7:D852)</f>
        <v>8558319.2000000048</v>
      </c>
      <c r="H852" s="11">
        <f t="shared" si="13"/>
        <v>0.80234108027634587</v>
      </c>
    </row>
    <row r="853" spans="1:8" ht="15" customHeight="1" x14ac:dyDescent="0.25">
      <c r="A853" s="5">
        <v>847</v>
      </c>
      <c r="B853" s="10" t="s">
        <v>1734</v>
      </c>
      <c r="C853" s="10" t="s">
        <v>1735</v>
      </c>
      <c r="D853" s="7">
        <v>2784.9</v>
      </c>
      <c r="E853" s="5">
        <v>326</v>
      </c>
      <c r="F853" s="5">
        <v>182</v>
      </c>
      <c r="G853" s="12">
        <f>SUM($D$7:D853)</f>
        <v>8561104.1000000052</v>
      </c>
      <c r="H853" s="11">
        <f t="shared" si="13"/>
        <v>0.80260216421376918</v>
      </c>
    </row>
    <row r="854" spans="1:8" ht="15" customHeight="1" x14ac:dyDescent="0.25">
      <c r="A854" s="5">
        <v>848</v>
      </c>
      <c r="B854" s="10" t="s">
        <v>1736</v>
      </c>
      <c r="C854" s="10" t="s">
        <v>1737</v>
      </c>
      <c r="D854" s="7">
        <v>2767.01</v>
      </c>
      <c r="E854" s="5">
        <v>835</v>
      </c>
      <c r="F854" s="5">
        <v>164</v>
      </c>
      <c r="G854" s="12">
        <f>SUM($D$7:D854)</f>
        <v>8563871.110000005</v>
      </c>
      <c r="H854" s="11">
        <f t="shared" si="13"/>
        <v>0.80286157096650346</v>
      </c>
    </row>
    <row r="855" spans="1:8" ht="15" customHeight="1" x14ac:dyDescent="0.25">
      <c r="A855" s="5">
        <v>849</v>
      </c>
      <c r="B855" s="10" t="s">
        <v>1738</v>
      </c>
      <c r="C855" s="10" t="s">
        <v>1739</v>
      </c>
      <c r="D855" s="7">
        <v>2763.42</v>
      </c>
      <c r="E855" s="5">
        <v>450</v>
      </c>
      <c r="F855" s="5">
        <v>182</v>
      </c>
      <c r="G855" s="12">
        <f>SUM($D$7:D855)</f>
        <v>8566634.5300000049</v>
      </c>
      <c r="H855" s="11">
        <f t="shared" si="13"/>
        <v>0.80312064115730186</v>
      </c>
    </row>
    <row r="856" spans="1:8" ht="15" customHeight="1" x14ac:dyDescent="0.25">
      <c r="A856" s="5">
        <v>850</v>
      </c>
      <c r="B856" s="10" t="s">
        <v>1740</v>
      </c>
      <c r="C856" s="10" t="s">
        <v>1741</v>
      </c>
      <c r="D856" s="7">
        <v>2761.9</v>
      </c>
      <c r="E856" s="5">
        <v>1702</v>
      </c>
      <c r="F856" s="5">
        <v>202</v>
      </c>
      <c r="G856" s="12">
        <f>SUM($D$7:D856)</f>
        <v>8569396.4300000053</v>
      </c>
      <c r="H856" s="11">
        <f t="shared" si="13"/>
        <v>0.80337956884833905</v>
      </c>
    </row>
    <row r="857" spans="1:8" ht="15" customHeight="1" x14ac:dyDescent="0.25">
      <c r="A857" s="5">
        <v>851</v>
      </c>
      <c r="B857" s="10" t="s">
        <v>1742</v>
      </c>
      <c r="C857" s="10" t="s">
        <v>1743</v>
      </c>
      <c r="D857" s="7">
        <v>2761.56</v>
      </c>
      <c r="E857" s="5">
        <v>3267</v>
      </c>
      <c r="F857" s="5">
        <v>306</v>
      </c>
      <c r="G857" s="12">
        <f>SUM($D$7:D857)</f>
        <v>8572157.9900000058</v>
      </c>
      <c r="H857" s="11">
        <f t="shared" si="13"/>
        <v>0.80363846466442967</v>
      </c>
    </row>
    <row r="858" spans="1:8" ht="15" customHeight="1" x14ac:dyDescent="0.25">
      <c r="A858" s="5">
        <v>852</v>
      </c>
      <c r="B858" s="10" t="s">
        <v>1744</v>
      </c>
      <c r="C858" s="10" t="s">
        <v>1745</v>
      </c>
      <c r="D858" s="7">
        <v>2759.26</v>
      </c>
      <c r="E858" s="5">
        <v>2853</v>
      </c>
      <c r="F858" s="5">
        <v>472</v>
      </c>
      <c r="G858" s="12">
        <f>SUM($D$7:D858)</f>
        <v>8574917.2500000056</v>
      </c>
      <c r="H858" s="11">
        <f t="shared" si="13"/>
        <v>0.80389714485588171</v>
      </c>
    </row>
    <row r="859" spans="1:8" ht="15" customHeight="1" x14ac:dyDescent="0.25">
      <c r="A859" s="5">
        <v>853</v>
      </c>
      <c r="B859" s="10" t="s">
        <v>1746</v>
      </c>
      <c r="C859" s="10" t="s">
        <v>1747</v>
      </c>
      <c r="D859" s="7">
        <v>2757.57</v>
      </c>
      <c r="E859" s="5">
        <v>2064</v>
      </c>
      <c r="F859" s="5">
        <v>319</v>
      </c>
      <c r="G859" s="12">
        <f>SUM($D$7:D859)</f>
        <v>8577674.8200000059</v>
      </c>
      <c r="H859" s="11">
        <f t="shared" si="13"/>
        <v>0.8041556666100993</v>
      </c>
    </row>
    <row r="860" spans="1:8" ht="15" customHeight="1" x14ac:dyDescent="0.25">
      <c r="A860" s="5">
        <v>854</v>
      </c>
      <c r="B860" s="10" t="s">
        <v>1748</v>
      </c>
      <c r="C860" s="10" t="s">
        <v>1749</v>
      </c>
      <c r="D860" s="7">
        <v>2757.06</v>
      </c>
      <c r="E860" s="5">
        <v>356</v>
      </c>
      <c r="F860" s="5">
        <v>74</v>
      </c>
      <c r="G860" s="12">
        <f>SUM($D$7:D860)</f>
        <v>8580431.8800000064</v>
      </c>
      <c r="H860" s="11">
        <f t="shared" si="13"/>
        <v>0.80441414055189697</v>
      </c>
    </row>
    <row r="861" spans="1:8" ht="15" customHeight="1" x14ac:dyDescent="0.25">
      <c r="A861" s="5">
        <v>855</v>
      </c>
      <c r="B861" s="10" t="s">
        <v>1750</v>
      </c>
      <c r="C861" s="10" t="s">
        <v>1751</v>
      </c>
      <c r="D861" s="7">
        <v>2755.1</v>
      </c>
      <c r="E861" s="5">
        <v>1870</v>
      </c>
      <c r="F861" s="5">
        <v>261</v>
      </c>
      <c r="G861" s="12">
        <f>SUM($D$7:D861)</f>
        <v>8583186.980000006</v>
      </c>
      <c r="H861" s="11">
        <f t="shared" si="13"/>
        <v>0.80467243074400263</v>
      </c>
    </row>
    <row r="862" spans="1:8" ht="15" customHeight="1" x14ac:dyDescent="0.25">
      <c r="A862" s="5">
        <v>856</v>
      </c>
      <c r="B862" s="10" t="s">
        <v>1752</v>
      </c>
      <c r="C862" s="10" t="s">
        <v>1753</v>
      </c>
      <c r="D862" s="7">
        <v>2754.4</v>
      </c>
      <c r="E862" s="5">
        <v>2087</v>
      </c>
      <c r="F862" s="5">
        <v>191</v>
      </c>
      <c r="G862" s="12">
        <f>SUM($D$7:D862)</f>
        <v>8585941.3800000064</v>
      </c>
      <c r="H862" s="11">
        <f t="shared" si="13"/>
        <v>0.80493065531121821</v>
      </c>
    </row>
    <row r="863" spans="1:8" ht="15" customHeight="1" x14ac:dyDescent="0.25">
      <c r="A863" s="5">
        <v>857</v>
      </c>
      <c r="B863" s="10" t="s">
        <v>1754</v>
      </c>
      <c r="C863" s="10" t="s">
        <v>1755</v>
      </c>
      <c r="D863" s="7">
        <v>2749.85</v>
      </c>
      <c r="E863" s="5">
        <v>308</v>
      </c>
      <c r="F863" s="5">
        <v>121</v>
      </c>
      <c r="G863" s="12">
        <f>SUM($D$7:D863)</f>
        <v>8588691.230000006</v>
      </c>
      <c r="H863" s="11">
        <f t="shared" si="13"/>
        <v>0.80518845331664879</v>
      </c>
    </row>
    <row r="864" spans="1:8" ht="15" customHeight="1" x14ac:dyDescent="0.25">
      <c r="A864" s="5">
        <v>858</v>
      </c>
      <c r="B864" s="10" t="s">
        <v>1756</v>
      </c>
      <c r="C864" s="10" t="s">
        <v>1757</v>
      </c>
      <c r="D864" s="7">
        <v>2745</v>
      </c>
      <c r="E864" s="5">
        <v>24</v>
      </c>
      <c r="F864" s="5">
        <v>13</v>
      </c>
      <c r="G864" s="12">
        <f>SUM($D$7:D864)</f>
        <v>8591436.230000006</v>
      </c>
      <c r="H864" s="11">
        <f t="shared" si="13"/>
        <v>0.80544579663534133</v>
      </c>
    </row>
    <row r="865" spans="1:8" ht="15" customHeight="1" x14ac:dyDescent="0.25">
      <c r="A865" s="5">
        <v>859</v>
      </c>
      <c r="B865" s="10" t="s">
        <v>1758</v>
      </c>
      <c r="C865" s="10" t="s">
        <v>1759</v>
      </c>
      <c r="D865" s="7">
        <v>2744.54</v>
      </c>
      <c r="E865" s="5">
        <v>1607</v>
      </c>
      <c r="F865" s="5">
        <v>204</v>
      </c>
      <c r="G865" s="12">
        <f>SUM($D$7:D865)</f>
        <v>8594180.7700000051</v>
      </c>
      <c r="H865" s="11">
        <f t="shared" si="13"/>
        <v>0.80570309682910612</v>
      </c>
    </row>
    <row r="866" spans="1:8" ht="15" customHeight="1" x14ac:dyDescent="0.25">
      <c r="A866" s="5">
        <v>860</v>
      </c>
      <c r="B866" s="10" t="s">
        <v>1760</v>
      </c>
      <c r="C866" s="10" t="s">
        <v>1761</v>
      </c>
      <c r="D866" s="7">
        <v>2743.13</v>
      </c>
      <c r="E866" s="5">
        <v>2169</v>
      </c>
      <c r="F866" s="5">
        <v>257</v>
      </c>
      <c r="G866" s="12">
        <f>SUM($D$7:D866)</f>
        <v>8596923.900000006</v>
      </c>
      <c r="H866" s="11">
        <f t="shared" si="13"/>
        <v>0.80596026483559258</v>
      </c>
    </row>
    <row r="867" spans="1:8" ht="15" customHeight="1" x14ac:dyDescent="0.25">
      <c r="A867" s="5">
        <v>861</v>
      </c>
      <c r="B867" s="10" t="s">
        <v>1762</v>
      </c>
      <c r="C867" s="10" t="s">
        <v>1763</v>
      </c>
      <c r="D867" s="7">
        <v>2742.33</v>
      </c>
      <c r="E867" s="5">
        <v>301</v>
      </c>
      <c r="F867" s="5">
        <v>155</v>
      </c>
      <c r="G867" s="12">
        <f>SUM($D$7:D867)</f>
        <v>8599666.230000006</v>
      </c>
      <c r="H867" s="11">
        <f t="shared" si="13"/>
        <v>0.80621735784220472</v>
      </c>
    </row>
    <row r="868" spans="1:8" ht="15" customHeight="1" x14ac:dyDescent="0.25">
      <c r="A868" s="5">
        <v>862</v>
      </c>
      <c r="B868" s="10" t="s">
        <v>1764</v>
      </c>
      <c r="C868" s="10" t="s">
        <v>1765</v>
      </c>
      <c r="D868" s="7">
        <v>2737.63</v>
      </c>
      <c r="E868" s="5">
        <v>8803</v>
      </c>
      <c r="F868" s="5">
        <v>427</v>
      </c>
      <c r="G868" s="12">
        <f>SUM($D$7:D868)</f>
        <v>8602403.8600000069</v>
      </c>
      <c r="H868" s="11">
        <f t="shared" si="13"/>
        <v>0.80647401022455545</v>
      </c>
    </row>
    <row r="869" spans="1:8" ht="15" customHeight="1" x14ac:dyDescent="0.25">
      <c r="A869" s="5">
        <v>863</v>
      </c>
      <c r="B869" s="10" t="s">
        <v>1766</v>
      </c>
      <c r="C869" s="10" t="s">
        <v>1767</v>
      </c>
      <c r="D869" s="7">
        <v>2729.33</v>
      </c>
      <c r="E869" s="5">
        <v>267</v>
      </c>
      <c r="F869" s="5">
        <v>133</v>
      </c>
      <c r="G869" s="12">
        <f>SUM($D$7:D869)</f>
        <v>8605133.1900000069</v>
      </c>
      <c r="H869" s="11">
        <f t="shared" si="13"/>
        <v>0.80672988448321015</v>
      </c>
    </row>
    <row r="870" spans="1:8" ht="15" customHeight="1" x14ac:dyDescent="0.25">
      <c r="A870" s="5">
        <v>864</v>
      </c>
      <c r="B870" s="10" t="s">
        <v>1768</v>
      </c>
      <c r="C870" s="10" t="s">
        <v>1769</v>
      </c>
      <c r="D870" s="7">
        <v>2725.05</v>
      </c>
      <c r="E870" s="5">
        <v>1315</v>
      </c>
      <c r="F870" s="5">
        <v>194</v>
      </c>
      <c r="G870" s="12">
        <f>SUM($D$7:D870)</f>
        <v>8607858.2400000077</v>
      </c>
      <c r="H870" s="11">
        <f t="shared" si="13"/>
        <v>0.80698535749253753</v>
      </c>
    </row>
    <row r="871" spans="1:8" ht="15" customHeight="1" x14ac:dyDescent="0.25">
      <c r="A871" s="5">
        <v>865</v>
      </c>
      <c r="B871" s="10" t="s">
        <v>1770</v>
      </c>
      <c r="C871" s="10" t="s">
        <v>1771</v>
      </c>
      <c r="D871" s="7">
        <v>2721.7</v>
      </c>
      <c r="E871" s="5">
        <v>2110</v>
      </c>
      <c r="F871" s="5">
        <v>233</v>
      </c>
      <c r="G871" s="12">
        <f>SUM($D$7:D871)</f>
        <v>8610579.9400000069</v>
      </c>
      <c r="H871" s="11">
        <f t="shared" si="13"/>
        <v>0.80724051643989103</v>
      </c>
    </row>
    <row r="872" spans="1:8" ht="15" customHeight="1" x14ac:dyDescent="0.25">
      <c r="A872" s="5">
        <v>866</v>
      </c>
      <c r="B872" s="10" t="s">
        <v>1772</v>
      </c>
      <c r="C872" s="10" t="s">
        <v>1773</v>
      </c>
      <c r="D872" s="7">
        <v>2718.65</v>
      </c>
      <c r="E872" s="5">
        <v>578</v>
      </c>
      <c r="F872" s="5">
        <v>92</v>
      </c>
      <c r="G872" s="12">
        <f>SUM($D$7:D872)</f>
        <v>8613298.5900000073</v>
      </c>
      <c r="H872" s="11">
        <f t="shared" si="13"/>
        <v>0.80749538945022392</v>
      </c>
    </row>
    <row r="873" spans="1:8" ht="15" customHeight="1" x14ac:dyDescent="0.25">
      <c r="A873" s="5">
        <v>867</v>
      </c>
      <c r="B873" s="10" t="s">
        <v>1774</v>
      </c>
      <c r="C873" s="10" t="s">
        <v>1775</v>
      </c>
      <c r="D873" s="7">
        <v>2713.55</v>
      </c>
      <c r="E873" s="5">
        <v>2934</v>
      </c>
      <c r="F873" s="5">
        <v>268</v>
      </c>
      <c r="G873" s="12">
        <f>SUM($D$7:D873)</f>
        <v>8616012.140000008</v>
      </c>
      <c r="H873" s="11">
        <f t="shared" si="13"/>
        <v>0.80774978433635813</v>
      </c>
    </row>
    <row r="874" spans="1:8" ht="15" customHeight="1" x14ac:dyDescent="0.25">
      <c r="A874" s="5">
        <v>868</v>
      </c>
      <c r="B874" s="10" t="s">
        <v>1776</v>
      </c>
      <c r="C874" s="10" t="s">
        <v>1777</v>
      </c>
      <c r="D874" s="7">
        <v>2709.3</v>
      </c>
      <c r="E874" s="5">
        <v>406</v>
      </c>
      <c r="F874" s="5">
        <v>178</v>
      </c>
      <c r="G874" s="12">
        <f>SUM($D$7:D874)</f>
        <v>8618721.4400000088</v>
      </c>
      <c r="H874" s="11">
        <f t="shared" si="13"/>
        <v>0.80800378078566015</v>
      </c>
    </row>
    <row r="875" spans="1:8" ht="15" customHeight="1" x14ac:dyDescent="0.25">
      <c r="A875" s="5">
        <v>869</v>
      </c>
      <c r="B875" s="10" t="s">
        <v>1778</v>
      </c>
      <c r="C875" s="10" t="s">
        <v>1779</v>
      </c>
      <c r="D875" s="7">
        <v>2709.04</v>
      </c>
      <c r="E875" s="5">
        <v>3018</v>
      </c>
      <c r="F875" s="5">
        <v>307</v>
      </c>
      <c r="G875" s="12">
        <f>SUM($D$7:D875)</f>
        <v>8621430.4800000079</v>
      </c>
      <c r="H875" s="11">
        <f t="shared" si="13"/>
        <v>0.8082577528600029</v>
      </c>
    </row>
    <row r="876" spans="1:8" ht="15" customHeight="1" x14ac:dyDescent="0.25">
      <c r="A876" s="5">
        <v>870</v>
      </c>
      <c r="B876" s="10" t="s">
        <v>1780</v>
      </c>
      <c r="C876" s="10" t="s">
        <v>1781</v>
      </c>
      <c r="D876" s="7">
        <v>2704.71</v>
      </c>
      <c r="E876" s="5">
        <v>430</v>
      </c>
      <c r="F876" s="5">
        <v>148</v>
      </c>
      <c r="G876" s="12">
        <f>SUM($D$7:D876)</f>
        <v>8624135.1900000088</v>
      </c>
      <c r="H876" s="11">
        <f t="shared" si="13"/>
        <v>0.80851131899752615</v>
      </c>
    </row>
    <row r="877" spans="1:8" ht="15" customHeight="1" x14ac:dyDescent="0.25">
      <c r="A877" s="5">
        <v>871</v>
      </c>
      <c r="B877" s="10" t="s">
        <v>1782</v>
      </c>
      <c r="C877" s="10" t="s">
        <v>1783</v>
      </c>
      <c r="D877" s="7">
        <v>2695.8</v>
      </c>
      <c r="E877" s="5">
        <v>1389</v>
      </c>
      <c r="F877" s="5">
        <v>259</v>
      </c>
      <c r="G877" s="12">
        <f>SUM($D$7:D877)</f>
        <v>8626830.9900000095</v>
      </c>
      <c r="H877" s="11">
        <f t="shared" si="13"/>
        <v>0.80876404982394934</v>
      </c>
    </row>
    <row r="878" spans="1:8" ht="15" customHeight="1" x14ac:dyDescent="0.25">
      <c r="A878" s="5">
        <v>872</v>
      </c>
      <c r="B878" s="10" t="s">
        <v>1784</v>
      </c>
      <c r="C878" s="10" t="s">
        <v>1785</v>
      </c>
      <c r="D878" s="7">
        <v>2694.56</v>
      </c>
      <c r="E878" s="5">
        <v>1966</v>
      </c>
      <c r="F878" s="5">
        <v>299</v>
      </c>
      <c r="G878" s="12">
        <f>SUM($D$7:D878)</f>
        <v>8629525.5500000101</v>
      </c>
      <c r="H878" s="11">
        <f t="shared" si="13"/>
        <v>0.8090166644005673</v>
      </c>
    </row>
    <row r="879" spans="1:8" ht="15" customHeight="1" x14ac:dyDescent="0.25">
      <c r="A879" s="5">
        <v>873</v>
      </c>
      <c r="B879" s="10" t="s">
        <v>1786</v>
      </c>
      <c r="C879" s="10" t="s">
        <v>1787</v>
      </c>
      <c r="D879" s="7">
        <v>2692.44</v>
      </c>
      <c r="E879" s="5">
        <v>1396</v>
      </c>
      <c r="F879" s="5">
        <v>105</v>
      </c>
      <c r="G879" s="12">
        <f>SUM($D$7:D879)</f>
        <v>8632217.9900000095</v>
      </c>
      <c r="H879" s="11">
        <f t="shared" si="13"/>
        <v>0.80926908022751831</v>
      </c>
    </row>
    <row r="880" spans="1:8" ht="15" customHeight="1" x14ac:dyDescent="0.25">
      <c r="A880" s="5">
        <v>874</v>
      </c>
      <c r="B880" s="10" t="s">
        <v>1788</v>
      </c>
      <c r="C880" s="10" t="s">
        <v>1789</v>
      </c>
      <c r="D880" s="7">
        <v>2686.72</v>
      </c>
      <c r="E880" s="5">
        <v>372</v>
      </c>
      <c r="F880" s="5">
        <v>120</v>
      </c>
      <c r="G880" s="12">
        <f>SUM($D$7:D880)</f>
        <v>8634904.7100000102</v>
      </c>
      <c r="H880" s="11">
        <f t="shared" si="13"/>
        <v>0.8095209598053682</v>
      </c>
    </row>
    <row r="881" spans="1:8" ht="15" customHeight="1" x14ac:dyDescent="0.25">
      <c r="A881" s="5">
        <v>875</v>
      </c>
      <c r="B881" s="10" t="s">
        <v>1790</v>
      </c>
      <c r="C881" s="10" t="s">
        <v>1791</v>
      </c>
      <c r="D881" s="7">
        <v>2684.65</v>
      </c>
      <c r="E881" s="5">
        <v>1363</v>
      </c>
      <c r="F881" s="5">
        <v>49</v>
      </c>
      <c r="G881" s="12">
        <f>SUM($D$7:D881)</f>
        <v>8637589.3600000106</v>
      </c>
      <c r="H881" s="11">
        <f t="shared" si="13"/>
        <v>0.80977264532104332</v>
      </c>
    </row>
    <row r="882" spans="1:8" ht="15" customHeight="1" x14ac:dyDescent="0.25">
      <c r="A882" s="5">
        <v>876</v>
      </c>
      <c r="B882" s="10" t="s">
        <v>1792</v>
      </c>
      <c r="C882" s="10" t="s">
        <v>1793</v>
      </c>
      <c r="D882" s="7">
        <v>2683.84</v>
      </c>
      <c r="E882" s="5">
        <v>6552</v>
      </c>
      <c r="F882" s="5">
        <v>208</v>
      </c>
      <c r="G882" s="12">
        <f>SUM($D$7:D882)</f>
        <v>8640273.2000000104</v>
      </c>
      <c r="H882" s="11">
        <f t="shared" si="13"/>
        <v>0.81002425489934571</v>
      </c>
    </row>
    <row r="883" spans="1:8" ht="15" customHeight="1" x14ac:dyDescent="0.25">
      <c r="A883" s="5">
        <v>877</v>
      </c>
      <c r="B883" s="10" t="s">
        <v>1794</v>
      </c>
      <c r="C883" s="10" t="s">
        <v>1795</v>
      </c>
      <c r="D883" s="7">
        <v>2678.96</v>
      </c>
      <c r="E883" s="5">
        <v>364</v>
      </c>
      <c r="F883" s="5">
        <v>102</v>
      </c>
      <c r="G883" s="12">
        <f>SUM($D$7:D883)</f>
        <v>8642952.1600000113</v>
      </c>
      <c r="H883" s="11">
        <f t="shared" si="13"/>
        <v>0.81027540697841494</v>
      </c>
    </row>
    <row r="884" spans="1:8" ht="15" customHeight="1" x14ac:dyDescent="0.25">
      <c r="A884" s="5">
        <v>878</v>
      </c>
      <c r="B884" s="10" t="s">
        <v>1796</v>
      </c>
      <c r="C884" s="10" t="s">
        <v>1797</v>
      </c>
      <c r="D884" s="7">
        <v>2676.75</v>
      </c>
      <c r="E884" s="5">
        <v>169</v>
      </c>
      <c r="F884" s="5">
        <v>101</v>
      </c>
      <c r="G884" s="12">
        <f>SUM($D$7:D884)</f>
        <v>8645628.9100000113</v>
      </c>
      <c r="H884" s="11">
        <f t="shared" si="13"/>
        <v>0.81052635187033129</v>
      </c>
    </row>
    <row r="885" spans="1:8" ht="15" customHeight="1" x14ac:dyDescent="0.25">
      <c r="A885" s="5">
        <v>879</v>
      </c>
      <c r="B885" s="10" t="s">
        <v>1798</v>
      </c>
      <c r="C885" s="10" t="s">
        <v>1799</v>
      </c>
      <c r="D885" s="7">
        <v>2667.5</v>
      </c>
      <c r="E885" s="5">
        <v>1394</v>
      </c>
      <c r="F885" s="5">
        <v>227</v>
      </c>
      <c r="G885" s="12">
        <f>SUM($D$7:D885)</f>
        <v>8648296.4100000113</v>
      </c>
      <c r="H885" s="11">
        <f t="shared" si="13"/>
        <v>0.810776429576201</v>
      </c>
    </row>
    <row r="886" spans="1:8" ht="15" customHeight="1" x14ac:dyDescent="0.25">
      <c r="A886" s="5">
        <v>880</v>
      </c>
      <c r="B886" s="10" t="s">
        <v>1800</v>
      </c>
      <c r="C886" s="10" t="s">
        <v>1801</v>
      </c>
      <c r="D886" s="7">
        <v>2664.63</v>
      </c>
      <c r="E886" s="5">
        <v>2277</v>
      </c>
      <c r="F886" s="5">
        <v>110</v>
      </c>
      <c r="G886" s="12">
        <f>SUM($D$7:D886)</f>
        <v>8650961.0400000121</v>
      </c>
      <c r="H886" s="11">
        <f t="shared" si="13"/>
        <v>0.81102623822002184</v>
      </c>
    </row>
    <row r="887" spans="1:8" ht="15" customHeight="1" x14ac:dyDescent="0.25">
      <c r="A887" s="5">
        <v>881</v>
      </c>
      <c r="B887" s="10" t="s">
        <v>1802</v>
      </c>
      <c r="C887" s="10" t="s">
        <v>1803</v>
      </c>
      <c r="D887" s="7">
        <v>2663.62</v>
      </c>
      <c r="E887" s="5">
        <v>926</v>
      </c>
      <c r="F887" s="5">
        <v>104</v>
      </c>
      <c r="G887" s="12">
        <f>SUM($D$7:D887)</f>
        <v>8653624.6600000113</v>
      </c>
      <c r="H887" s="11">
        <f t="shared" si="13"/>
        <v>0.81127595217650117</v>
      </c>
    </row>
    <row r="888" spans="1:8" ht="15" customHeight="1" x14ac:dyDescent="0.25">
      <c r="A888" s="5">
        <v>882</v>
      </c>
      <c r="B888" s="10" t="s">
        <v>1804</v>
      </c>
      <c r="C888" s="10" t="s">
        <v>1805</v>
      </c>
      <c r="D888" s="7">
        <v>2663.54</v>
      </c>
      <c r="E888" s="5">
        <v>1604</v>
      </c>
      <c r="F888" s="5">
        <v>238</v>
      </c>
      <c r="G888" s="12">
        <f>SUM($D$7:D888)</f>
        <v>8656288.2000000104</v>
      </c>
      <c r="H888" s="11">
        <f t="shared" si="13"/>
        <v>0.81152565863299297</v>
      </c>
    </row>
    <row r="889" spans="1:8" ht="15" customHeight="1" x14ac:dyDescent="0.25">
      <c r="A889" s="5">
        <v>883</v>
      </c>
      <c r="B889" s="10" t="s">
        <v>1806</v>
      </c>
      <c r="C889" s="10" t="s">
        <v>1807</v>
      </c>
      <c r="D889" s="7">
        <v>2655.13</v>
      </c>
      <c r="E889" s="5">
        <v>801</v>
      </c>
      <c r="F889" s="5">
        <v>227</v>
      </c>
      <c r="G889" s="12">
        <f>SUM($D$7:D889)</f>
        <v>8658943.3300000113</v>
      </c>
      <c r="H889" s="11">
        <f t="shared" si="13"/>
        <v>0.81177457665330655</v>
      </c>
    </row>
    <row r="890" spans="1:8" ht="15" customHeight="1" x14ac:dyDescent="0.25">
      <c r="A890" s="5">
        <v>884</v>
      </c>
      <c r="B890" s="10" t="s">
        <v>1808</v>
      </c>
      <c r="C890" s="10" t="s">
        <v>1809</v>
      </c>
      <c r="D890" s="7">
        <v>2650.08</v>
      </c>
      <c r="E890" s="5">
        <v>1296</v>
      </c>
      <c r="F890" s="5">
        <v>136</v>
      </c>
      <c r="G890" s="12">
        <f>SUM($D$7:D890)</f>
        <v>8661593.4100000113</v>
      </c>
      <c r="H890" s="11">
        <f t="shared" si="13"/>
        <v>0.81202302123691339</v>
      </c>
    </row>
    <row r="891" spans="1:8" ht="15" customHeight="1" x14ac:dyDescent="0.25">
      <c r="A891" s="5">
        <v>885</v>
      </c>
      <c r="B891" s="10" t="s">
        <v>1810</v>
      </c>
      <c r="C891" s="10" t="s">
        <v>1811</v>
      </c>
      <c r="D891" s="7">
        <v>2649.35</v>
      </c>
      <c r="E891" s="5">
        <v>1061</v>
      </c>
      <c r="F891" s="5">
        <v>102</v>
      </c>
      <c r="G891" s="12">
        <f>SUM($D$7:D891)</f>
        <v>8664242.760000011</v>
      </c>
      <c r="H891" s="11">
        <f t="shared" si="13"/>
        <v>0.81227139738313492</v>
      </c>
    </row>
    <row r="892" spans="1:8" ht="15" customHeight="1" x14ac:dyDescent="0.25">
      <c r="A892" s="5">
        <v>886</v>
      </c>
      <c r="B892" s="10" t="s">
        <v>1812</v>
      </c>
      <c r="C892" s="10" t="s">
        <v>1813</v>
      </c>
      <c r="D892" s="7">
        <v>2643.33</v>
      </c>
      <c r="E892" s="5">
        <v>2809</v>
      </c>
      <c r="F892" s="5">
        <v>206</v>
      </c>
      <c r="G892" s="12">
        <f>SUM($D$7:D892)</f>
        <v>8666886.090000011</v>
      </c>
      <c r="H892" s="11">
        <f t="shared" si="13"/>
        <v>0.8125192091553024</v>
      </c>
    </row>
    <row r="893" spans="1:8" ht="15" customHeight="1" x14ac:dyDescent="0.25">
      <c r="A893" s="5">
        <v>887</v>
      </c>
      <c r="B893" s="10" t="s">
        <v>1814</v>
      </c>
      <c r="C893" s="10" t="s">
        <v>1815</v>
      </c>
      <c r="D893" s="7">
        <v>2641.93</v>
      </c>
      <c r="E893" s="5">
        <v>1978</v>
      </c>
      <c r="F893" s="5">
        <v>239</v>
      </c>
      <c r="G893" s="12">
        <f>SUM($D$7:D893)</f>
        <v>8669528.0200000107</v>
      </c>
      <c r="H893" s="11">
        <f t="shared" si="13"/>
        <v>0.81276688967768984</v>
      </c>
    </row>
    <row r="894" spans="1:8" ht="15" customHeight="1" x14ac:dyDescent="0.25">
      <c r="A894" s="5">
        <v>888</v>
      </c>
      <c r="B894" s="10" t="s">
        <v>1816</v>
      </c>
      <c r="C894" s="10" t="s">
        <v>1817</v>
      </c>
      <c r="D894" s="7">
        <v>2640.86</v>
      </c>
      <c r="E894" s="5">
        <v>2999</v>
      </c>
      <c r="F894" s="5">
        <v>244</v>
      </c>
      <c r="G894" s="12">
        <f>SUM($D$7:D894)</f>
        <v>8672168.8800000101</v>
      </c>
      <c r="H894" s="11">
        <f t="shared" si="13"/>
        <v>0.81301446988774528</v>
      </c>
    </row>
    <row r="895" spans="1:8" ht="15" customHeight="1" x14ac:dyDescent="0.25">
      <c r="A895" s="5">
        <v>889</v>
      </c>
      <c r="B895" s="10" t="s">
        <v>504</v>
      </c>
      <c r="C895" s="10" t="s">
        <v>1818</v>
      </c>
      <c r="D895" s="7">
        <v>2639.42</v>
      </c>
      <c r="E895" s="5">
        <v>1225</v>
      </c>
      <c r="F895" s="5">
        <v>49</v>
      </c>
      <c r="G895" s="12">
        <f>SUM($D$7:D895)</f>
        <v>8674808.3000000101</v>
      </c>
      <c r="H895" s="11">
        <f t="shared" si="13"/>
        <v>0.81326191509802714</v>
      </c>
    </row>
    <row r="896" spans="1:8" ht="15" customHeight="1" x14ac:dyDescent="0.25">
      <c r="A896" s="5">
        <v>890</v>
      </c>
      <c r="B896" s="10" t="s">
        <v>1819</v>
      </c>
      <c r="C896" s="10" t="s">
        <v>1820</v>
      </c>
      <c r="D896" s="7">
        <v>2621.4299999999998</v>
      </c>
      <c r="E896" s="5">
        <v>297</v>
      </c>
      <c r="F896" s="5">
        <v>130</v>
      </c>
      <c r="G896" s="12">
        <f>SUM($D$7:D896)</f>
        <v>8677429.7300000098</v>
      </c>
      <c r="H896" s="11">
        <f t="shared" si="13"/>
        <v>0.81350767374863564</v>
      </c>
    </row>
    <row r="897" spans="1:8" ht="15" customHeight="1" x14ac:dyDescent="0.25">
      <c r="A897" s="5">
        <v>891</v>
      </c>
      <c r="B897" s="10" t="s">
        <v>1821</v>
      </c>
      <c r="C897" s="10" t="s">
        <v>1822</v>
      </c>
      <c r="D897" s="7">
        <v>2618.25</v>
      </c>
      <c r="E897" s="5">
        <v>1171</v>
      </c>
      <c r="F897" s="5">
        <v>199</v>
      </c>
      <c r="G897" s="12">
        <f>SUM($D$7:D897)</f>
        <v>8680047.9800000098</v>
      </c>
      <c r="H897" s="11">
        <f t="shared" si="13"/>
        <v>0.81375313427474372</v>
      </c>
    </row>
    <row r="898" spans="1:8" ht="15" customHeight="1" x14ac:dyDescent="0.25">
      <c r="A898" s="5">
        <v>892</v>
      </c>
      <c r="B898" s="10" t="s">
        <v>1823</v>
      </c>
      <c r="C898" s="10" t="s">
        <v>1824</v>
      </c>
      <c r="D898" s="7">
        <v>2610.61</v>
      </c>
      <c r="E898" s="5">
        <v>1211</v>
      </c>
      <c r="F898" s="5">
        <v>232</v>
      </c>
      <c r="G898" s="12">
        <f>SUM($D$7:D898)</f>
        <v>8682658.5900000092</v>
      </c>
      <c r="H898" s="11">
        <f t="shared" si="13"/>
        <v>0.8139978785520523</v>
      </c>
    </row>
    <row r="899" spans="1:8" ht="15" customHeight="1" x14ac:dyDescent="0.25">
      <c r="A899" s="5">
        <v>893</v>
      </c>
      <c r="B899" s="10" t="s">
        <v>1825</v>
      </c>
      <c r="C899" s="10" t="s">
        <v>1826</v>
      </c>
      <c r="D899" s="7">
        <v>2610.29</v>
      </c>
      <c r="E899" s="5">
        <v>131</v>
      </c>
      <c r="F899" s="5">
        <v>6</v>
      </c>
      <c r="G899" s="12">
        <f>SUM($D$7:D899)</f>
        <v>8685268.8800000083</v>
      </c>
      <c r="H899" s="11">
        <f t="shared" si="13"/>
        <v>0.81424259282941114</v>
      </c>
    </row>
    <row r="900" spans="1:8" ht="15" customHeight="1" x14ac:dyDescent="0.25">
      <c r="A900" s="5">
        <v>894</v>
      </c>
      <c r="B900" s="10" t="s">
        <v>1827</v>
      </c>
      <c r="C900" s="10" t="s">
        <v>1828</v>
      </c>
      <c r="D900" s="7">
        <v>2608.08</v>
      </c>
      <c r="E900" s="5">
        <v>1198</v>
      </c>
      <c r="F900" s="5">
        <v>52</v>
      </c>
      <c r="G900" s="12">
        <f>SUM($D$7:D900)</f>
        <v>8687876.9600000083</v>
      </c>
      <c r="H900" s="11">
        <f t="shared" si="13"/>
        <v>0.81448709991961721</v>
      </c>
    </row>
    <row r="901" spans="1:8" ht="15" customHeight="1" x14ac:dyDescent="0.25">
      <c r="A901" s="5">
        <v>895</v>
      </c>
      <c r="B901" s="10" t="s">
        <v>1829</v>
      </c>
      <c r="C901" s="10" t="s">
        <v>1830</v>
      </c>
      <c r="D901" s="7">
        <v>2605.5</v>
      </c>
      <c r="E901" s="5">
        <v>1710</v>
      </c>
      <c r="F901" s="5">
        <v>274</v>
      </c>
      <c r="G901" s="12">
        <f>SUM($D$7:D901)</f>
        <v>8690482.4600000083</v>
      </c>
      <c r="H901" s="11">
        <f t="shared" si="13"/>
        <v>0.8147313651352287</v>
      </c>
    </row>
    <row r="902" spans="1:8" ht="15" customHeight="1" x14ac:dyDescent="0.25">
      <c r="A902" s="5">
        <v>896</v>
      </c>
      <c r="B902" s="10" t="s">
        <v>1831</v>
      </c>
      <c r="C902" s="10" t="s">
        <v>1832</v>
      </c>
      <c r="D902" s="7">
        <v>2603.5300000000002</v>
      </c>
      <c r="E902" s="5">
        <v>76</v>
      </c>
      <c r="F902" s="5">
        <v>5</v>
      </c>
      <c r="G902" s="12">
        <f>SUM($D$7:D902)</f>
        <v>8693085.9900000077</v>
      </c>
      <c r="H902" s="11">
        <f t="shared" si="13"/>
        <v>0.81497544566364966</v>
      </c>
    </row>
    <row r="903" spans="1:8" ht="15" customHeight="1" x14ac:dyDescent="0.25">
      <c r="A903" s="5">
        <v>897</v>
      </c>
      <c r="B903" s="10" t="s">
        <v>1833</v>
      </c>
      <c r="C903" s="10" t="s">
        <v>1834</v>
      </c>
      <c r="D903" s="7">
        <v>2600.13</v>
      </c>
      <c r="E903" s="5">
        <v>879</v>
      </c>
      <c r="F903" s="5">
        <v>171</v>
      </c>
      <c r="G903" s="12">
        <f>SUM($D$7:D903)</f>
        <v>8695686.1200000085</v>
      </c>
      <c r="H903" s="11">
        <f t="shared" ref="H903:H966" si="14">G903/SUM($D$7:$D$4167)</f>
        <v>0.81521920744260501</v>
      </c>
    </row>
    <row r="904" spans="1:8" ht="15" customHeight="1" x14ac:dyDescent="0.25">
      <c r="A904" s="5">
        <v>898</v>
      </c>
      <c r="B904" s="10" t="s">
        <v>1835</v>
      </c>
      <c r="C904" s="10" t="s">
        <v>1836</v>
      </c>
      <c r="D904" s="7">
        <v>2598.23</v>
      </c>
      <c r="E904" s="5">
        <v>729</v>
      </c>
      <c r="F904" s="5">
        <v>268</v>
      </c>
      <c r="G904" s="12">
        <f>SUM($D$7:D904)</f>
        <v>8698284.3500000089</v>
      </c>
      <c r="H904" s="11">
        <f t="shared" si="14"/>
        <v>0.81546279109685882</v>
      </c>
    </row>
    <row r="905" spans="1:8" ht="15" customHeight="1" x14ac:dyDescent="0.25">
      <c r="A905" s="5">
        <v>899</v>
      </c>
      <c r="B905" s="10" t="s">
        <v>1837</v>
      </c>
      <c r="C905" s="10" t="s">
        <v>1838</v>
      </c>
      <c r="D905" s="7">
        <v>2593.5300000000002</v>
      </c>
      <c r="E905" s="5">
        <v>1904</v>
      </c>
      <c r="F905" s="5">
        <v>195</v>
      </c>
      <c r="G905" s="12">
        <f>SUM($D$7:D905)</f>
        <v>8700877.8800000083</v>
      </c>
      <c r="H905" s="11">
        <f t="shared" si="14"/>
        <v>0.81570593412685111</v>
      </c>
    </row>
    <row r="906" spans="1:8" ht="15" customHeight="1" x14ac:dyDescent="0.25">
      <c r="A906" s="5">
        <v>900</v>
      </c>
      <c r="B906" s="10" t="s">
        <v>1839</v>
      </c>
      <c r="C906" s="10" t="s">
        <v>1840</v>
      </c>
      <c r="D906" s="7">
        <v>2593</v>
      </c>
      <c r="E906" s="5">
        <v>6350</v>
      </c>
      <c r="F906" s="5">
        <v>213</v>
      </c>
      <c r="G906" s="12">
        <f>SUM($D$7:D906)</f>
        <v>8703470.8800000083</v>
      </c>
      <c r="H906" s="11">
        <f t="shared" si="14"/>
        <v>0.81594902746942666</v>
      </c>
    </row>
    <row r="907" spans="1:8" ht="15" customHeight="1" x14ac:dyDescent="0.25">
      <c r="A907" s="5">
        <v>901</v>
      </c>
      <c r="B907" s="10" t="s">
        <v>1841</v>
      </c>
      <c r="C907" s="10" t="s">
        <v>1842</v>
      </c>
      <c r="D907" s="7">
        <v>2588.6999999999998</v>
      </c>
      <c r="E907" s="5">
        <v>434</v>
      </c>
      <c r="F907" s="5">
        <v>158</v>
      </c>
      <c r="G907" s="12">
        <f>SUM($D$7:D907)</f>
        <v>8706059.5800000075</v>
      </c>
      <c r="H907" s="11">
        <f t="shared" si="14"/>
        <v>0.81619171768767773</v>
      </c>
    </row>
    <row r="908" spans="1:8" ht="15" customHeight="1" x14ac:dyDescent="0.25">
      <c r="A908" s="5">
        <v>902</v>
      </c>
      <c r="B908" s="10" t="s">
        <v>1843</v>
      </c>
      <c r="C908" s="10" t="s">
        <v>1844</v>
      </c>
      <c r="D908" s="7">
        <v>2588.65</v>
      </c>
      <c r="E908" s="5">
        <v>2080</v>
      </c>
      <c r="F908" s="5">
        <v>287</v>
      </c>
      <c r="G908" s="12">
        <f>SUM($D$7:D908)</f>
        <v>8708648.2300000079</v>
      </c>
      <c r="H908" s="11">
        <f t="shared" si="14"/>
        <v>0.81643440321843685</v>
      </c>
    </row>
    <row r="909" spans="1:8" ht="15" customHeight="1" x14ac:dyDescent="0.25">
      <c r="A909" s="5">
        <v>903</v>
      </c>
      <c r="B909" s="10" t="s">
        <v>1845</v>
      </c>
      <c r="C909" s="10" t="s">
        <v>1846</v>
      </c>
      <c r="D909" s="7">
        <v>2585.92</v>
      </c>
      <c r="E909" s="5">
        <v>940</v>
      </c>
      <c r="F909" s="5">
        <v>122</v>
      </c>
      <c r="G909" s="12">
        <f>SUM($D$7:D909)</f>
        <v>8711234.1500000078</v>
      </c>
      <c r="H909" s="11">
        <f t="shared" si="14"/>
        <v>0.81667683281212478</v>
      </c>
    </row>
    <row r="910" spans="1:8" ht="15" customHeight="1" x14ac:dyDescent="0.25">
      <c r="A910" s="5">
        <v>904</v>
      </c>
      <c r="B910" s="10" t="s">
        <v>1847</v>
      </c>
      <c r="C910" s="10" t="s">
        <v>1848</v>
      </c>
      <c r="D910" s="7">
        <v>2578.2399999999998</v>
      </c>
      <c r="E910" s="5">
        <v>9608</v>
      </c>
      <c r="F910" s="5">
        <v>216</v>
      </c>
      <c r="G910" s="12">
        <f>SUM($D$7:D910)</f>
        <v>8713812.390000008</v>
      </c>
      <c r="H910" s="11">
        <f t="shared" si="14"/>
        <v>0.81691854240701955</v>
      </c>
    </row>
    <row r="911" spans="1:8" ht="15" customHeight="1" x14ac:dyDescent="0.25">
      <c r="A911" s="5">
        <v>905</v>
      </c>
      <c r="B911" s="10" t="s">
        <v>1849</v>
      </c>
      <c r="C911" s="10" t="s">
        <v>1850</v>
      </c>
      <c r="D911" s="7">
        <v>2577.4499999999998</v>
      </c>
      <c r="E911" s="5">
        <v>212</v>
      </c>
      <c r="F911" s="5">
        <v>83</v>
      </c>
      <c r="G911" s="12">
        <f>SUM($D$7:D911)</f>
        <v>8716389.8400000073</v>
      </c>
      <c r="H911" s="11">
        <f t="shared" si="14"/>
        <v>0.81716017793953832</v>
      </c>
    </row>
    <row r="912" spans="1:8" ht="15" customHeight="1" x14ac:dyDescent="0.25">
      <c r="A912" s="5">
        <v>906</v>
      </c>
      <c r="B912" s="10" t="s">
        <v>904</v>
      </c>
      <c r="C912" s="10" t="s">
        <v>1851</v>
      </c>
      <c r="D912" s="7">
        <v>2572.6999999999998</v>
      </c>
      <c r="E912" s="5">
        <v>518</v>
      </c>
      <c r="F912" s="5">
        <v>41</v>
      </c>
      <c r="G912" s="12">
        <f>SUM($D$7:D912)</f>
        <v>8718962.5400000066</v>
      </c>
      <c r="H912" s="11">
        <f t="shared" si="14"/>
        <v>0.81740136816030351</v>
      </c>
    </row>
    <row r="913" spans="1:8" ht="15" customHeight="1" x14ac:dyDescent="0.25">
      <c r="A913" s="5">
        <v>907</v>
      </c>
      <c r="B913" s="10" t="s">
        <v>1852</v>
      </c>
      <c r="C913" s="10" t="s">
        <v>1853</v>
      </c>
      <c r="D913" s="7">
        <v>2570.52</v>
      </c>
      <c r="E913" s="5">
        <v>5078</v>
      </c>
      <c r="F913" s="5">
        <v>522</v>
      </c>
      <c r="G913" s="12">
        <f>SUM($D$7:D913)</f>
        <v>8721533.0600000061</v>
      </c>
      <c r="H913" s="11">
        <f t="shared" si="14"/>
        <v>0.81764235400641117</v>
      </c>
    </row>
    <row r="914" spans="1:8" ht="15" customHeight="1" x14ac:dyDescent="0.25">
      <c r="A914" s="5">
        <v>908</v>
      </c>
      <c r="B914" s="10" t="s">
        <v>1854</v>
      </c>
      <c r="C914" s="10" t="s">
        <v>1855</v>
      </c>
      <c r="D914" s="7">
        <v>2558.8200000000002</v>
      </c>
      <c r="E914" s="5">
        <v>2051</v>
      </c>
      <c r="F914" s="5">
        <v>216</v>
      </c>
      <c r="G914" s="12">
        <f>SUM($D$7:D914)</f>
        <v>8724091.8800000064</v>
      </c>
      <c r="H914" s="11">
        <f t="shared" si="14"/>
        <v>0.8178822429793573</v>
      </c>
    </row>
    <row r="915" spans="1:8" ht="15" customHeight="1" x14ac:dyDescent="0.25">
      <c r="A915" s="5">
        <v>909</v>
      </c>
      <c r="B915" s="10" t="s">
        <v>1856</v>
      </c>
      <c r="C915" s="10" t="s">
        <v>1857</v>
      </c>
      <c r="D915" s="7">
        <v>2557.12</v>
      </c>
      <c r="E915" s="5">
        <v>700</v>
      </c>
      <c r="F915" s="5">
        <v>255</v>
      </c>
      <c r="G915" s="12">
        <f>SUM($D$7:D915)</f>
        <v>8726649.0000000056</v>
      </c>
      <c r="H915" s="11">
        <f t="shared" si="14"/>
        <v>0.81812197257757036</v>
      </c>
    </row>
    <row r="916" spans="1:8" ht="15" customHeight="1" x14ac:dyDescent="0.25">
      <c r="A916" s="5">
        <v>910</v>
      </c>
      <c r="B916" s="10" t="s">
        <v>1858</v>
      </c>
      <c r="C916" s="10" t="s">
        <v>1859</v>
      </c>
      <c r="D916" s="7">
        <v>2556.1999999999998</v>
      </c>
      <c r="E916" s="5">
        <v>1734</v>
      </c>
      <c r="F916" s="5">
        <v>241</v>
      </c>
      <c r="G916" s="12">
        <f>SUM($D$7:D916)</f>
        <v>8729205.2000000048</v>
      </c>
      <c r="H916" s="11">
        <f t="shared" si="14"/>
        <v>0.81836161592592804</v>
      </c>
    </row>
    <row r="917" spans="1:8" ht="15" customHeight="1" x14ac:dyDescent="0.25">
      <c r="A917" s="5">
        <v>911</v>
      </c>
      <c r="B917" s="10" t="s">
        <v>1860</v>
      </c>
      <c r="C917" s="10" t="s">
        <v>1861</v>
      </c>
      <c r="D917" s="7">
        <v>2549.11</v>
      </c>
      <c r="E917" s="5">
        <v>817</v>
      </c>
      <c r="F917" s="5">
        <v>184</v>
      </c>
      <c r="G917" s="12">
        <f>SUM($D$7:D917)</f>
        <v>8731754.3100000042</v>
      </c>
      <c r="H917" s="11">
        <f t="shared" si="14"/>
        <v>0.81860059458789969</v>
      </c>
    </row>
    <row r="918" spans="1:8" ht="15" customHeight="1" x14ac:dyDescent="0.25">
      <c r="A918" s="5">
        <v>912</v>
      </c>
      <c r="B918" s="10" t="s">
        <v>1862</v>
      </c>
      <c r="C918" s="10" t="s">
        <v>1863</v>
      </c>
      <c r="D918" s="7">
        <v>2540.39</v>
      </c>
      <c r="E918" s="5">
        <v>2780</v>
      </c>
      <c r="F918" s="5">
        <v>313</v>
      </c>
      <c r="G918" s="12">
        <f>SUM($D$7:D918)</f>
        <v>8734294.7000000048</v>
      </c>
      <c r="H918" s="11">
        <f t="shared" si="14"/>
        <v>0.81883875575124165</v>
      </c>
    </row>
    <row r="919" spans="1:8" ht="15" customHeight="1" x14ac:dyDescent="0.25">
      <c r="A919" s="5">
        <v>913</v>
      </c>
      <c r="B919" s="10" t="s">
        <v>1864</v>
      </c>
      <c r="C919" s="10" t="s">
        <v>1865</v>
      </c>
      <c r="D919" s="7">
        <v>2539.63</v>
      </c>
      <c r="E919" s="5">
        <v>625</v>
      </c>
      <c r="F919" s="5">
        <v>110</v>
      </c>
      <c r="G919" s="12">
        <f>SUM($D$7:D919)</f>
        <v>8736834.3300000057</v>
      </c>
      <c r="H919" s="11">
        <f t="shared" si="14"/>
        <v>0.81907684566470307</v>
      </c>
    </row>
    <row r="920" spans="1:8" ht="15" customHeight="1" x14ac:dyDescent="0.25">
      <c r="A920" s="5">
        <v>914</v>
      </c>
      <c r="B920" s="10" t="s">
        <v>1866</v>
      </c>
      <c r="C920" s="10" t="s">
        <v>1867</v>
      </c>
      <c r="D920" s="7">
        <v>2529.42</v>
      </c>
      <c r="E920" s="5">
        <v>466</v>
      </c>
      <c r="F920" s="5">
        <v>135</v>
      </c>
      <c r="G920" s="12">
        <f>SUM($D$7:D920)</f>
        <v>8739363.7500000056</v>
      </c>
      <c r="H920" s="11">
        <f t="shared" si="14"/>
        <v>0.8193139783922686</v>
      </c>
    </row>
    <row r="921" spans="1:8" ht="15" customHeight="1" x14ac:dyDescent="0.25">
      <c r="A921" s="5">
        <v>915</v>
      </c>
      <c r="B921" s="10" t="s">
        <v>1868</v>
      </c>
      <c r="C921" s="10" t="s">
        <v>1869</v>
      </c>
      <c r="D921" s="7">
        <v>2528.15</v>
      </c>
      <c r="E921" s="5">
        <v>1278</v>
      </c>
      <c r="F921" s="5">
        <v>153</v>
      </c>
      <c r="G921" s="12">
        <f>SUM($D$7:D921)</f>
        <v>8741891.900000006</v>
      </c>
      <c r="H921" s="11">
        <f t="shared" si="14"/>
        <v>0.81955099205753379</v>
      </c>
    </row>
    <row r="922" spans="1:8" ht="15" customHeight="1" x14ac:dyDescent="0.25">
      <c r="A922" s="5">
        <v>916</v>
      </c>
      <c r="B922" s="10" t="s">
        <v>1870</v>
      </c>
      <c r="C922" s="10" t="s">
        <v>1871</v>
      </c>
      <c r="D922" s="7">
        <v>2526.69</v>
      </c>
      <c r="E922" s="5">
        <v>1577</v>
      </c>
      <c r="F922" s="5">
        <v>132</v>
      </c>
      <c r="G922" s="12">
        <f>SUM($D$7:D922)</f>
        <v>8744418.5900000054</v>
      </c>
      <c r="H922" s="11">
        <f t="shared" si="14"/>
        <v>0.81978786884802823</v>
      </c>
    </row>
    <row r="923" spans="1:8" ht="15" customHeight="1" x14ac:dyDescent="0.25">
      <c r="A923" s="5">
        <v>917</v>
      </c>
      <c r="B923" s="10" t="s">
        <v>1872</v>
      </c>
      <c r="C923" s="10" t="s">
        <v>1873</v>
      </c>
      <c r="D923" s="7">
        <v>2519.38</v>
      </c>
      <c r="E923" s="5">
        <v>518</v>
      </c>
      <c r="F923" s="5">
        <v>131</v>
      </c>
      <c r="G923" s="12">
        <f>SUM($D$7:D923)</f>
        <v>8746937.9700000063</v>
      </c>
      <c r="H923" s="11">
        <f t="shared" si="14"/>
        <v>0.82002406032717134</v>
      </c>
    </row>
    <row r="924" spans="1:8" ht="15" customHeight="1" x14ac:dyDescent="0.25">
      <c r="A924" s="5">
        <v>918</v>
      </c>
      <c r="B924" s="10" t="s">
        <v>1874</v>
      </c>
      <c r="C924" s="10" t="s">
        <v>1875</v>
      </c>
      <c r="D924" s="7">
        <v>2518</v>
      </c>
      <c r="E924" s="5">
        <v>1883</v>
      </c>
      <c r="F924" s="5">
        <v>301</v>
      </c>
      <c r="G924" s="12">
        <f>SUM($D$7:D924)</f>
        <v>8749455.9700000063</v>
      </c>
      <c r="H924" s="11">
        <f t="shared" si="14"/>
        <v>0.82026012243153124</v>
      </c>
    </row>
    <row r="925" spans="1:8" ht="15" customHeight="1" x14ac:dyDescent="0.25">
      <c r="A925" s="5">
        <v>919</v>
      </c>
      <c r="B925" s="10" t="s">
        <v>1876</v>
      </c>
      <c r="C925" s="10" t="s">
        <v>1877</v>
      </c>
      <c r="D925" s="7">
        <v>2515.52</v>
      </c>
      <c r="E925" s="5">
        <v>977</v>
      </c>
      <c r="F925" s="5">
        <v>114</v>
      </c>
      <c r="G925" s="12">
        <f>SUM($D$7:D925)</f>
        <v>8751971.4900000058</v>
      </c>
      <c r="H925" s="11">
        <f t="shared" si="14"/>
        <v>0.82049595203628078</v>
      </c>
    </row>
    <row r="926" spans="1:8" ht="15" customHeight="1" x14ac:dyDescent="0.25">
      <c r="A926" s="5">
        <v>920</v>
      </c>
      <c r="B926" s="10" t="s">
        <v>1878</v>
      </c>
      <c r="C926" s="10" t="s">
        <v>1879</v>
      </c>
      <c r="D926" s="7">
        <v>2511.59</v>
      </c>
      <c r="E926" s="5">
        <v>251</v>
      </c>
      <c r="F926" s="5">
        <v>110</v>
      </c>
      <c r="G926" s="12">
        <f>SUM($D$7:D926)</f>
        <v>8754483.0800000057</v>
      </c>
      <c r="H926" s="11">
        <f t="shared" si="14"/>
        <v>0.82073141320414789</v>
      </c>
    </row>
    <row r="927" spans="1:8" ht="15" customHeight="1" x14ac:dyDescent="0.25">
      <c r="A927" s="5">
        <v>921</v>
      </c>
      <c r="B927" s="10" t="s">
        <v>1880</v>
      </c>
      <c r="C927" s="10" t="s">
        <v>1881</v>
      </c>
      <c r="D927" s="7">
        <v>2511.2199999999998</v>
      </c>
      <c r="E927" s="5">
        <v>1476</v>
      </c>
      <c r="F927" s="5">
        <v>219</v>
      </c>
      <c r="G927" s="12">
        <f>SUM($D$7:D927)</f>
        <v>8756994.3000000063</v>
      </c>
      <c r="H927" s="11">
        <f t="shared" si="14"/>
        <v>0.82096683968457318</v>
      </c>
    </row>
    <row r="928" spans="1:8" ht="15" customHeight="1" x14ac:dyDescent="0.25">
      <c r="A928" s="5">
        <v>922</v>
      </c>
      <c r="B928" s="10" t="s">
        <v>1882</v>
      </c>
      <c r="C928" s="10" t="s">
        <v>1883</v>
      </c>
      <c r="D928" s="7">
        <v>2507.14</v>
      </c>
      <c r="E928" s="5">
        <v>950</v>
      </c>
      <c r="F928" s="5">
        <v>157</v>
      </c>
      <c r="G928" s="12">
        <f>SUM($D$7:D928)</f>
        <v>8759501.4400000069</v>
      </c>
      <c r="H928" s="11">
        <f t="shared" si="14"/>
        <v>0.82120188366563951</v>
      </c>
    </row>
    <row r="929" spans="1:8" ht="15" customHeight="1" x14ac:dyDescent="0.25">
      <c r="A929" s="5">
        <v>923</v>
      </c>
      <c r="B929" s="10" t="s">
        <v>1884</v>
      </c>
      <c r="C929" s="10" t="s">
        <v>1885</v>
      </c>
      <c r="D929" s="7">
        <v>2503.34</v>
      </c>
      <c r="E929" s="5">
        <v>1800</v>
      </c>
      <c r="F929" s="5">
        <v>200</v>
      </c>
      <c r="G929" s="12">
        <f>SUM($D$7:D929)</f>
        <v>8762004.7800000068</v>
      </c>
      <c r="H929" s="11">
        <f t="shared" si="14"/>
        <v>0.82143657139730286</v>
      </c>
    </row>
    <row r="930" spans="1:8" ht="15" customHeight="1" x14ac:dyDescent="0.25">
      <c r="A930" s="5">
        <v>924</v>
      </c>
      <c r="B930" s="10" t="s">
        <v>1886</v>
      </c>
      <c r="C930" s="10" t="s">
        <v>1887</v>
      </c>
      <c r="D930" s="7">
        <v>2501.56</v>
      </c>
      <c r="E930" s="5">
        <v>904</v>
      </c>
      <c r="F930" s="5">
        <v>97</v>
      </c>
      <c r="G930" s="12">
        <f>SUM($D$7:D930)</f>
        <v>8764506.3400000073</v>
      </c>
      <c r="H930" s="11">
        <f t="shared" si="14"/>
        <v>0.82167109225424595</v>
      </c>
    </row>
    <row r="931" spans="1:8" ht="15" customHeight="1" x14ac:dyDescent="0.25">
      <c r="A931" s="5">
        <v>925</v>
      </c>
      <c r="B931" s="10" t="s">
        <v>1888</v>
      </c>
      <c r="C931" s="10" t="s">
        <v>1889</v>
      </c>
      <c r="D931" s="7">
        <v>2495.75</v>
      </c>
      <c r="E931" s="5">
        <v>3285</v>
      </c>
      <c r="F931" s="5">
        <v>282</v>
      </c>
      <c r="G931" s="12">
        <f>SUM($D$7:D931)</f>
        <v>8767002.0900000073</v>
      </c>
      <c r="H931" s="11">
        <f t="shared" si="14"/>
        <v>0.82190506842460187</v>
      </c>
    </row>
    <row r="932" spans="1:8" ht="15" customHeight="1" x14ac:dyDescent="0.25">
      <c r="A932" s="5">
        <v>926</v>
      </c>
      <c r="B932" s="10" t="s">
        <v>1890</v>
      </c>
      <c r="C932" s="10" t="s">
        <v>1891</v>
      </c>
      <c r="D932" s="7">
        <v>2494.33</v>
      </c>
      <c r="E932" s="5">
        <v>1162</v>
      </c>
      <c r="F932" s="5">
        <v>180</v>
      </c>
      <c r="G932" s="12">
        <f>SUM($D$7:D932)</f>
        <v>8769496.4200000074</v>
      </c>
      <c r="H932" s="11">
        <f t="shared" si="14"/>
        <v>0.82213891147018092</v>
      </c>
    </row>
    <row r="933" spans="1:8" ht="15" customHeight="1" x14ac:dyDescent="0.25">
      <c r="A933" s="5">
        <v>927</v>
      </c>
      <c r="B933" s="10" t="s">
        <v>1892</v>
      </c>
      <c r="C933" s="10" t="s">
        <v>1893</v>
      </c>
      <c r="D933" s="7">
        <v>2471.39</v>
      </c>
      <c r="E933" s="5">
        <v>343</v>
      </c>
      <c r="F933" s="5">
        <v>101</v>
      </c>
      <c r="G933" s="12">
        <f>SUM($D$7:D933)</f>
        <v>8771967.810000008</v>
      </c>
      <c r="H933" s="11">
        <f t="shared" si="14"/>
        <v>0.82237060389436445</v>
      </c>
    </row>
    <row r="934" spans="1:8" ht="15" customHeight="1" x14ac:dyDescent="0.25">
      <c r="A934" s="5">
        <v>928</v>
      </c>
      <c r="B934" s="10" t="s">
        <v>1894</v>
      </c>
      <c r="C934" s="10" t="s">
        <v>1895</v>
      </c>
      <c r="D934" s="7">
        <v>2462.9499999999998</v>
      </c>
      <c r="E934" s="5">
        <v>1803</v>
      </c>
      <c r="F934" s="5">
        <v>212</v>
      </c>
      <c r="G934" s="12">
        <f>SUM($D$7:D934)</f>
        <v>8774430.7600000072</v>
      </c>
      <c r="H934" s="11">
        <f t="shared" si="14"/>
        <v>0.82260150506987406</v>
      </c>
    </row>
    <row r="935" spans="1:8" ht="15" customHeight="1" x14ac:dyDescent="0.25">
      <c r="A935" s="5">
        <v>929</v>
      </c>
      <c r="B935" s="10" t="s">
        <v>1896</v>
      </c>
      <c r="C935" s="10" t="s">
        <v>1897</v>
      </c>
      <c r="D935" s="7">
        <v>2449.3000000000002</v>
      </c>
      <c r="E935" s="5">
        <v>1474</v>
      </c>
      <c r="F935" s="5">
        <v>159</v>
      </c>
      <c r="G935" s="12">
        <f>SUM($D$7:D935)</f>
        <v>8776880.060000008</v>
      </c>
      <c r="H935" s="11">
        <f t="shared" si="14"/>
        <v>0.82283112656002844</v>
      </c>
    </row>
    <row r="936" spans="1:8" ht="15" customHeight="1" x14ac:dyDescent="0.25">
      <c r="A936" s="5">
        <v>930</v>
      </c>
      <c r="B936" s="10" t="s">
        <v>1898</v>
      </c>
      <c r="C936" s="10" t="s">
        <v>1899</v>
      </c>
      <c r="D936" s="7">
        <v>2443.35</v>
      </c>
      <c r="E936" s="5">
        <v>821</v>
      </c>
      <c r="F936" s="5">
        <v>149</v>
      </c>
      <c r="G936" s="12">
        <f>SUM($D$7:D936)</f>
        <v>8779323.4100000076</v>
      </c>
      <c r="H936" s="11">
        <f t="shared" si="14"/>
        <v>0.82306019023861776</v>
      </c>
    </row>
    <row r="937" spans="1:8" ht="15" customHeight="1" x14ac:dyDescent="0.25">
      <c r="A937" s="5">
        <v>931</v>
      </c>
      <c r="B937" s="10" t="s">
        <v>1900</v>
      </c>
      <c r="C937" s="10" t="s">
        <v>1901</v>
      </c>
      <c r="D937" s="7">
        <v>2443.04</v>
      </c>
      <c r="E937" s="5">
        <v>1484</v>
      </c>
      <c r="F937" s="5">
        <v>131</v>
      </c>
      <c r="G937" s="12">
        <f>SUM($D$7:D937)</f>
        <v>8781766.4500000067</v>
      </c>
      <c r="H937" s="11">
        <f t="shared" si="14"/>
        <v>0.82328922485475564</v>
      </c>
    </row>
    <row r="938" spans="1:8" ht="15" customHeight="1" x14ac:dyDescent="0.25">
      <c r="A938" s="5">
        <v>932</v>
      </c>
      <c r="B938" s="10" t="s">
        <v>1902</v>
      </c>
      <c r="C938" s="10" t="s">
        <v>1903</v>
      </c>
      <c r="D938" s="7">
        <v>2440.27</v>
      </c>
      <c r="E938" s="5">
        <v>549</v>
      </c>
      <c r="F938" s="5">
        <v>223</v>
      </c>
      <c r="G938" s="12">
        <f>SUM($D$7:D938)</f>
        <v>8784206.7200000063</v>
      </c>
      <c r="H938" s="11">
        <f t="shared" si="14"/>
        <v>0.82351799978382878</v>
      </c>
    </row>
    <row r="939" spans="1:8" ht="15" customHeight="1" x14ac:dyDescent="0.25">
      <c r="A939" s="5">
        <v>933</v>
      </c>
      <c r="B939" s="10" t="s">
        <v>1904</v>
      </c>
      <c r="C939" s="10" t="s">
        <v>1905</v>
      </c>
      <c r="D939" s="7">
        <v>2430.44</v>
      </c>
      <c r="E939" s="5">
        <v>939</v>
      </c>
      <c r="F939" s="5">
        <v>255</v>
      </c>
      <c r="G939" s="12">
        <f>SUM($D$7:D939)</f>
        <v>8786637.1600000057</v>
      </c>
      <c r="H939" s="11">
        <f t="shared" si="14"/>
        <v>0.82374585315194648</v>
      </c>
    </row>
    <row r="940" spans="1:8" ht="15" customHeight="1" x14ac:dyDescent="0.25">
      <c r="A940" s="5">
        <v>934</v>
      </c>
      <c r="B940" s="10" t="s">
        <v>1906</v>
      </c>
      <c r="C940" s="10" t="s">
        <v>1907</v>
      </c>
      <c r="D940" s="7">
        <v>2429.38</v>
      </c>
      <c r="E940" s="5">
        <v>2055</v>
      </c>
      <c r="F940" s="5">
        <v>148</v>
      </c>
      <c r="G940" s="12">
        <f>SUM($D$7:D940)</f>
        <v>8789066.5400000066</v>
      </c>
      <c r="H940" s="11">
        <f t="shared" si="14"/>
        <v>0.82397360714523094</v>
      </c>
    </row>
    <row r="941" spans="1:8" ht="15" customHeight="1" x14ac:dyDescent="0.25">
      <c r="A941" s="5">
        <v>935</v>
      </c>
      <c r="B941" s="10" t="s">
        <v>1908</v>
      </c>
      <c r="C941" s="10" t="s">
        <v>1909</v>
      </c>
      <c r="D941" s="7">
        <v>2428.91</v>
      </c>
      <c r="E941" s="5">
        <v>457</v>
      </c>
      <c r="F941" s="5">
        <v>111</v>
      </c>
      <c r="G941" s="12">
        <f>SUM($D$7:D941)</f>
        <v>8791495.4500000067</v>
      </c>
      <c r="H941" s="11">
        <f t="shared" si="14"/>
        <v>0.82420131707608901</v>
      </c>
    </row>
    <row r="942" spans="1:8" ht="15" customHeight="1" x14ac:dyDescent="0.25">
      <c r="A942" s="5">
        <v>936</v>
      </c>
      <c r="B942" s="10" t="s">
        <v>1910</v>
      </c>
      <c r="C942" s="10" t="s">
        <v>1911</v>
      </c>
      <c r="D942" s="7">
        <v>2428.1799999999998</v>
      </c>
      <c r="E942" s="5">
        <v>825</v>
      </c>
      <c r="F942" s="5">
        <v>195</v>
      </c>
      <c r="G942" s="12">
        <f>SUM($D$7:D942)</f>
        <v>8793923.6300000064</v>
      </c>
      <c r="H942" s="11">
        <f t="shared" si="14"/>
        <v>0.82442895856956189</v>
      </c>
    </row>
    <row r="943" spans="1:8" ht="15" customHeight="1" x14ac:dyDescent="0.25">
      <c r="A943" s="5">
        <v>937</v>
      </c>
      <c r="B943" s="10" t="s">
        <v>1912</v>
      </c>
      <c r="C943" s="10" t="s">
        <v>1913</v>
      </c>
      <c r="D943" s="7">
        <v>2427.25</v>
      </c>
      <c r="E943" s="5">
        <v>2689</v>
      </c>
      <c r="F943" s="5">
        <v>221</v>
      </c>
      <c r="G943" s="12">
        <f>SUM($D$7:D943)</f>
        <v>8796350.8800000064</v>
      </c>
      <c r="H943" s="11">
        <f t="shared" si="14"/>
        <v>0.82465651287568087</v>
      </c>
    </row>
    <row r="944" spans="1:8" ht="15" customHeight="1" x14ac:dyDescent="0.25">
      <c r="A944" s="5">
        <v>938</v>
      </c>
      <c r="B944" s="10" t="s">
        <v>1914</v>
      </c>
      <c r="C944" s="10" t="s">
        <v>1915</v>
      </c>
      <c r="D944" s="7">
        <v>2423.54</v>
      </c>
      <c r="E944" s="5">
        <v>1784</v>
      </c>
      <c r="F944" s="5">
        <v>293</v>
      </c>
      <c r="G944" s="12">
        <f>SUM($D$7:D944)</f>
        <v>8798774.4200000055</v>
      </c>
      <c r="H944" s="11">
        <f t="shared" si="14"/>
        <v>0.8248837193698827</v>
      </c>
    </row>
    <row r="945" spans="1:8" ht="15" customHeight="1" x14ac:dyDescent="0.25">
      <c r="A945" s="5">
        <v>939</v>
      </c>
      <c r="B945" s="10" t="s">
        <v>1916</v>
      </c>
      <c r="C945" s="10" t="s">
        <v>1917</v>
      </c>
      <c r="D945" s="7">
        <v>2420.34</v>
      </c>
      <c r="E945" s="5">
        <v>934</v>
      </c>
      <c r="F945" s="5">
        <v>206</v>
      </c>
      <c r="G945" s="12">
        <f>SUM($D$7:D945)</f>
        <v>8801194.7600000054</v>
      </c>
      <c r="H945" s="11">
        <f t="shared" si="14"/>
        <v>0.82511062586458739</v>
      </c>
    </row>
    <row r="946" spans="1:8" ht="15" customHeight="1" x14ac:dyDescent="0.25">
      <c r="A946" s="5">
        <v>940</v>
      </c>
      <c r="B946" s="10" t="s">
        <v>1918</v>
      </c>
      <c r="C946" s="10" t="s">
        <v>1919</v>
      </c>
      <c r="D946" s="7">
        <v>2419.29</v>
      </c>
      <c r="E946" s="5">
        <v>881</v>
      </c>
      <c r="F946" s="5">
        <v>108</v>
      </c>
      <c r="G946" s="12">
        <f>SUM($D$7:D946)</f>
        <v>8803614.0500000045</v>
      </c>
      <c r="H946" s="11">
        <f t="shared" si="14"/>
        <v>0.82533743392195702</v>
      </c>
    </row>
    <row r="947" spans="1:8" ht="15" customHeight="1" x14ac:dyDescent="0.25">
      <c r="A947" s="5">
        <v>941</v>
      </c>
      <c r="B947" s="10" t="s">
        <v>1920</v>
      </c>
      <c r="C947" s="10" t="s">
        <v>1921</v>
      </c>
      <c r="D947" s="7">
        <v>2418.94</v>
      </c>
      <c r="E947" s="5">
        <v>2830</v>
      </c>
      <c r="F947" s="5">
        <v>226</v>
      </c>
      <c r="G947" s="12">
        <f>SUM($D$7:D947)</f>
        <v>8806032.9900000039</v>
      </c>
      <c r="H947" s="11">
        <f t="shared" si="14"/>
        <v>0.82556420916688167</v>
      </c>
    </row>
    <row r="948" spans="1:8" ht="15" customHeight="1" x14ac:dyDescent="0.25">
      <c r="A948" s="5">
        <v>942</v>
      </c>
      <c r="B948" s="10" t="s">
        <v>1922</v>
      </c>
      <c r="C948" s="10" t="s">
        <v>1923</v>
      </c>
      <c r="D948" s="7">
        <v>2418.6799999999998</v>
      </c>
      <c r="E948" s="5">
        <v>1342</v>
      </c>
      <c r="F948" s="5">
        <v>346</v>
      </c>
      <c r="G948" s="12">
        <f>SUM($D$7:D948)</f>
        <v>8808451.6700000037</v>
      </c>
      <c r="H948" s="11">
        <f t="shared" si="14"/>
        <v>0.82579096003684715</v>
      </c>
    </row>
    <row r="949" spans="1:8" ht="15" customHeight="1" x14ac:dyDescent="0.25">
      <c r="A949" s="5">
        <v>943</v>
      </c>
      <c r="B949" s="10" t="s">
        <v>1924</v>
      </c>
      <c r="C949" s="10" t="s">
        <v>1925</v>
      </c>
      <c r="D949" s="7">
        <v>2409.34</v>
      </c>
      <c r="E949" s="5">
        <v>461</v>
      </c>
      <c r="F949" s="5">
        <v>107</v>
      </c>
      <c r="G949" s="12">
        <f>SUM($D$7:D949)</f>
        <v>8810861.0100000035</v>
      </c>
      <c r="H949" s="11">
        <f t="shared" si="14"/>
        <v>0.82601683528328018</v>
      </c>
    </row>
    <row r="950" spans="1:8" ht="15" customHeight="1" x14ac:dyDescent="0.25">
      <c r="A950" s="5">
        <v>944</v>
      </c>
      <c r="B950" s="10" t="s">
        <v>1926</v>
      </c>
      <c r="C950" s="10" t="s">
        <v>1927</v>
      </c>
      <c r="D950" s="7">
        <v>2401.0700000000002</v>
      </c>
      <c r="E950" s="5">
        <v>237</v>
      </c>
      <c r="F950" s="5">
        <v>156</v>
      </c>
      <c r="G950" s="12">
        <f>SUM($D$7:D950)</f>
        <v>8813262.0800000038</v>
      </c>
      <c r="H950" s="11">
        <f t="shared" si="14"/>
        <v>0.82624193521851275</v>
      </c>
    </row>
    <row r="951" spans="1:8" ht="15" customHeight="1" x14ac:dyDescent="0.25">
      <c r="A951" s="5">
        <v>945</v>
      </c>
      <c r="B951" s="10" t="s">
        <v>1928</v>
      </c>
      <c r="C951" s="10" t="s">
        <v>1929</v>
      </c>
      <c r="D951" s="7">
        <v>2400.0500000000002</v>
      </c>
      <c r="E951" s="5">
        <v>1799</v>
      </c>
      <c r="F951" s="5">
        <v>263</v>
      </c>
      <c r="G951" s="12">
        <f>SUM($D$7:D951)</f>
        <v>8815662.1300000045</v>
      </c>
      <c r="H951" s="11">
        <f t="shared" si="14"/>
        <v>0.8264669395289056</v>
      </c>
    </row>
    <row r="952" spans="1:8" ht="15" customHeight="1" x14ac:dyDescent="0.25">
      <c r="A952" s="5">
        <v>946</v>
      </c>
      <c r="B952" s="10" t="s">
        <v>1930</v>
      </c>
      <c r="C952" s="10" t="s">
        <v>1931</v>
      </c>
      <c r="D952" s="7">
        <v>2393.59</v>
      </c>
      <c r="E952" s="5">
        <v>256</v>
      </c>
      <c r="F952" s="5">
        <v>124</v>
      </c>
      <c r="G952" s="12">
        <f>SUM($D$7:D952)</f>
        <v>8818055.7200000044</v>
      </c>
      <c r="H952" s="11">
        <f t="shared" si="14"/>
        <v>0.82669133821531338</v>
      </c>
    </row>
    <row r="953" spans="1:8" ht="15" customHeight="1" x14ac:dyDescent="0.25">
      <c r="A953" s="5">
        <v>947</v>
      </c>
      <c r="B953" s="10" t="s">
        <v>1932</v>
      </c>
      <c r="C953" s="10" t="s">
        <v>1933</v>
      </c>
      <c r="D953" s="7">
        <v>2389.52</v>
      </c>
      <c r="E953" s="5">
        <v>558</v>
      </c>
      <c r="F953" s="5">
        <v>210</v>
      </c>
      <c r="G953" s="12">
        <f>SUM($D$7:D953)</f>
        <v>8820445.2400000039</v>
      </c>
      <c r="H953" s="11">
        <f t="shared" si="14"/>
        <v>0.8269153553398606</v>
      </c>
    </row>
    <row r="954" spans="1:8" ht="15" customHeight="1" x14ac:dyDescent="0.25">
      <c r="A954" s="5">
        <v>948</v>
      </c>
      <c r="B954" s="10" t="s">
        <v>1934</v>
      </c>
      <c r="C954" s="10" t="s">
        <v>1935</v>
      </c>
      <c r="D954" s="7">
        <v>2389.44</v>
      </c>
      <c r="E954" s="5">
        <v>1615</v>
      </c>
      <c r="F954" s="5">
        <v>113</v>
      </c>
      <c r="G954" s="12">
        <f>SUM($D$7:D954)</f>
        <v>8822834.6800000034</v>
      </c>
      <c r="H954" s="11">
        <f t="shared" si="14"/>
        <v>0.82713936496442042</v>
      </c>
    </row>
    <row r="955" spans="1:8" ht="15" customHeight="1" x14ac:dyDescent="0.25">
      <c r="A955" s="5">
        <v>949</v>
      </c>
      <c r="B955" s="10" t="s">
        <v>1936</v>
      </c>
      <c r="C955" s="10" t="s">
        <v>1937</v>
      </c>
      <c r="D955" s="7">
        <v>2385.12</v>
      </c>
      <c r="E955" s="5">
        <v>6034</v>
      </c>
      <c r="F955" s="5">
        <v>154</v>
      </c>
      <c r="G955" s="12">
        <f>SUM($D$7:D955)</f>
        <v>8825219.8000000026</v>
      </c>
      <c r="H955" s="11">
        <f t="shared" si="14"/>
        <v>0.82736296958965905</v>
      </c>
    </row>
    <row r="956" spans="1:8" ht="15" customHeight="1" x14ac:dyDescent="0.25">
      <c r="A956" s="5">
        <v>950</v>
      </c>
      <c r="B956" s="10" t="s">
        <v>1938</v>
      </c>
      <c r="C956" s="10" t="s">
        <v>1939</v>
      </c>
      <c r="D956" s="7">
        <v>2384.9699999999998</v>
      </c>
      <c r="E956" s="5">
        <v>581</v>
      </c>
      <c r="F956" s="5">
        <v>99</v>
      </c>
      <c r="G956" s="12">
        <f>SUM($D$7:D956)</f>
        <v>8827604.7700000033</v>
      </c>
      <c r="H956" s="11">
        <f t="shared" si="14"/>
        <v>0.82758656015242127</v>
      </c>
    </row>
    <row r="957" spans="1:8" ht="15" customHeight="1" x14ac:dyDescent="0.25">
      <c r="A957" s="5">
        <v>951</v>
      </c>
      <c r="B957" s="10" t="s">
        <v>1940</v>
      </c>
      <c r="C957" s="10" t="s">
        <v>1941</v>
      </c>
      <c r="D957" s="7">
        <v>2382.46</v>
      </c>
      <c r="E957" s="5">
        <v>2746</v>
      </c>
      <c r="F957" s="5">
        <v>268</v>
      </c>
      <c r="G957" s="12">
        <f>SUM($D$7:D957)</f>
        <v>8829987.2300000042</v>
      </c>
      <c r="H957" s="11">
        <f t="shared" si="14"/>
        <v>0.82780991540307802</v>
      </c>
    </row>
    <row r="958" spans="1:8" ht="15" customHeight="1" x14ac:dyDescent="0.25">
      <c r="A958" s="5">
        <v>952</v>
      </c>
      <c r="B958" s="10" t="s">
        <v>1942</v>
      </c>
      <c r="C958" s="10" t="s">
        <v>1943</v>
      </c>
      <c r="D958" s="7">
        <v>2378.52</v>
      </c>
      <c r="E958" s="5">
        <v>149</v>
      </c>
      <c r="F958" s="5">
        <v>99</v>
      </c>
      <c r="G958" s="12">
        <f>SUM($D$7:D958)</f>
        <v>8832365.7500000037</v>
      </c>
      <c r="H958" s="11">
        <f t="shared" si="14"/>
        <v>0.82803290127935358</v>
      </c>
    </row>
    <row r="959" spans="1:8" ht="15" customHeight="1" x14ac:dyDescent="0.25">
      <c r="A959" s="5">
        <v>953</v>
      </c>
      <c r="B959" s="10" t="s">
        <v>1944</v>
      </c>
      <c r="C959" s="10" t="s">
        <v>1945</v>
      </c>
      <c r="D959" s="7">
        <v>2378.48</v>
      </c>
      <c r="E959" s="5">
        <v>1644</v>
      </c>
      <c r="F959" s="5">
        <v>99</v>
      </c>
      <c r="G959" s="12">
        <f>SUM($D$7:D959)</f>
        <v>8834744.2300000042</v>
      </c>
      <c r="H959" s="11">
        <f t="shared" si="14"/>
        <v>0.82825588340563561</v>
      </c>
    </row>
    <row r="960" spans="1:8" ht="15" customHeight="1" x14ac:dyDescent="0.25">
      <c r="A960" s="5">
        <v>954</v>
      </c>
      <c r="B960" s="10" t="s">
        <v>1946</v>
      </c>
      <c r="C960" s="10" t="s">
        <v>1947</v>
      </c>
      <c r="D960" s="7">
        <v>2376.0500000000002</v>
      </c>
      <c r="E960" s="5">
        <v>4620</v>
      </c>
      <c r="F960" s="5">
        <v>219</v>
      </c>
      <c r="G960" s="12">
        <f>SUM($D$7:D960)</f>
        <v>8837120.2800000049</v>
      </c>
      <c r="H960" s="11">
        <f t="shared" si="14"/>
        <v>0.82847863771979946</v>
      </c>
    </row>
    <row r="961" spans="1:8" ht="15" customHeight="1" x14ac:dyDescent="0.25">
      <c r="A961" s="5">
        <v>955</v>
      </c>
      <c r="B961" s="10" t="s">
        <v>1948</v>
      </c>
      <c r="C961" s="10" t="s">
        <v>1949</v>
      </c>
      <c r="D961" s="7">
        <v>2375.44</v>
      </c>
      <c r="E961" s="5">
        <v>2749</v>
      </c>
      <c r="F961" s="5">
        <v>350</v>
      </c>
      <c r="G961" s="12">
        <f>SUM($D$7:D961)</f>
        <v>8839495.7200000044</v>
      </c>
      <c r="H961" s="11">
        <f t="shared" si="14"/>
        <v>0.82870133484655906</v>
      </c>
    </row>
    <row r="962" spans="1:8" ht="15" customHeight="1" x14ac:dyDescent="0.25">
      <c r="A962" s="5">
        <v>956</v>
      </c>
      <c r="B962" s="10" t="s">
        <v>1950</v>
      </c>
      <c r="C962" s="10" t="s">
        <v>321</v>
      </c>
      <c r="D962" s="7">
        <v>2372.33</v>
      </c>
      <c r="E962" s="5">
        <v>285</v>
      </c>
      <c r="F962" s="5">
        <v>65</v>
      </c>
      <c r="G962" s="12">
        <f>SUM($D$7:D962)</f>
        <v>8841868.0500000045</v>
      </c>
      <c r="H962" s="11">
        <f t="shared" si="14"/>
        <v>0.82892374041130734</v>
      </c>
    </row>
    <row r="963" spans="1:8" ht="15" customHeight="1" x14ac:dyDescent="0.25">
      <c r="A963" s="5">
        <v>957</v>
      </c>
      <c r="B963" s="10" t="s">
        <v>918</v>
      </c>
      <c r="C963" s="10" t="s">
        <v>1951</v>
      </c>
      <c r="D963" s="7">
        <v>2371.94</v>
      </c>
      <c r="E963" s="5">
        <v>458</v>
      </c>
      <c r="F963" s="5">
        <v>39</v>
      </c>
      <c r="G963" s="12">
        <f>SUM($D$7:D963)</f>
        <v>8844239.9900000039</v>
      </c>
      <c r="H963" s="11">
        <f t="shared" si="14"/>
        <v>0.82914610941361677</v>
      </c>
    </row>
    <row r="964" spans="1:8" ht="15" customHeight="1" x14ac:dyDescent="0.25">
      <c r="A964" s="5">
        <v>958</v>
      </c>
      <c r="B964" s="10" t="s">
        <v>1952</v>
      </c>
      <c r="C964" s="10" t="s">
        <v>1953</v>
      </c>
      <c r="D964" s="7">
        <v>2371.25</v>
      </c>
      <c r="E964" s="5">
        <v>566</v>
      </c>
      <c r="F964" s="5">
        <v>166</v>
      </c>
      <c r="G964" s="12">
        <f>SUM($D$7:D964)</f>
        <v>8846611.2400000039</v>
      </c>
      <c r="H964" s="11">
        <f t="shared" si="14"/>
        <v>0.82936841372853476</v>
      </c>
    </row>
    <row r="965" spans="1:8" ht="15" customHeight="1" x14ac:dyDescent="0.25">
      <c r="A965" s="5">
        <v>959</v>
      </c>
      <c r="B965" s="10" t="s">
        <v>1954</v>
      </c>
      <c r="C965" s="10" t="s">
        <v>1955</v>
      </c>
      <c r="D965" s="7">
        <v>2360.6799999999998</v>
      </c>
      <c r="E965" s="5">
        <v>380</v>
      </c>
      <c r="F965" s="5">
        <v>113</v>
      </c>
      <c r="G965" s="12">
        <f>SUM($D$7:D965)</f>
        <v>8848971.9200000037</v>
      </c>
      <c r="H965" s="11">
        <f t="shared" si="14"/>
        <v>0.82958972710761347</v>
      </c>
    </row>
    <row r="966" spans="1:8" ht="15" customHeight="1" x14ac:dyDescent="0.25">
      <c r="A966" s="5">
        <v>960</v>
      </c>
      <c r="B966" s="10" t="s">
        <v>1956</v>
      </c>
      <c r="C966" s="10" t="s">
        <v>1957</v>
      </c>
      <c r="D966" s="7">
        <v>2358.15</v>
      </c>
      <c r="E966" s="5">
        <v>949</v>
      </c>
      <c r="F966" s="5">
        <v>116</v>
      </c>
      <c r="G966" s="12">
        <f>SUM($D$7:D966)</f>
        <v>8851330.070000004</v>
      </c>
      <c r="H966" s="11">
        <f t="shared" si="14"/>
        <v>0.82981080329958989</v>
      </c>
    </row>
    <row r="967" spans="1:8" ht="15" customHeight="1" x14ac:dyDescent="0.25">
      <c r="A967" s="5">
        <v>961</v>
      </c>
      <c r="B967" s="10" t="s">
        <v>1958</v>
      </c>
      <c r="C967" s="10" t="s">
        <v>1959</v>
      </c>
      <c r="D967" s="7">
        <v>2356</v>
      </c>
      <c r="E967" s="5">
        <v>5800</v>
      </c>
      <c r="F967" s="5">
        <v>165</v>
      </c>
      <c r="G967" s="12">
        <f>SUM($D$7:D967)</f>
        <v>8853686.070000004</v>
      </c>
      <c r="H967" s="11">
        <f t="shared" ref="H967:H1030" si="15">G967/SUM($D$7:$D$4167)</f>
        <v>0.83003167792940402</v>
      </c>
    </row>
    <row r="968" spans="1:8" ht="15" customHeight="1" x14ac:dyDescent="0.25">
      <c r="A968" s="5">
        <v>962</v>
      </c>
      <c r="B968" s="10" t="s">
        <v>1960</v>
      </c>
      <c r="C968" s="10" t="s">
        <v>1961</v>
      </c>
      <c r="D968" s="7">
        <v>2354.87</v>
      </c>
      <c r="E968" s="5">
        <v>459</v>
      </c>
      <c r="F968" s="5">
        <v>83</v>
      </c>
      <c r="G968" s="12">
        <f>SUM($D$7:D968)</f>
        <v>8856040.9400000032</v>
      </c>
      <c r="H968" s="11">
        <f t="shared" si="15"/>
        <v>0.83025244662189557</v>
      </c>
    </row>
    <row r="969" spans="1:8" ht="15" customHeight="1" x14ac:dyDescent="0.25">
      <c r="A969" s="5">
        <v>963</v>
      </c>
      <c r="B969" s="10" t="s">
        <v>1962</v>
      </c>
      <c r="C969" s="10" t="s">
        <v>1963</v>
      </c>
      <c r="D969" s="7">
        <v>2354.8000000000002</v>
      </c>
      <c r="E969" s="5">
        <v>358</v>
      </c>
      <c r="F969" s="5">
        <v>76</v>
      </c>
      <c r="G969" s="12">
        <f>SUM($D$7:D969)</f>
        <v>8858395.7400000039</v>
      </c>
      <c r="H969" s="11">
        <f t="shared" si="15"/>
        <v>0.83047320875189834</v>
      </c>
    </row>
    <row r="970" spans="1:8" ht="15" customHeight="1" x14ac:dyDescent="0.25">
      <c r="A970" s="5">
        <v>964</v>
      </c>
      <c r="B970" s="10" t="s">
        <v>1964</v>
      </c>
      <c r="C970" s="10" t="s">
        <v>1965</v>
      </c>
      <c r="D970" s="7">
        <v>2351.44</v>
      </c>
      <c r="E970" s="5">
        <v>1977</v>
      </c>
      <c r="F970" s="5">
        <v>209</v>
      </c>
      <c r="G970" s="12">
        <f>SUM($D$7:D970)</f>
        <v>8860747.1800000034</v>
      </c>
      <c r="H970" s="11">
        <f t="shared" si="15"/>
        <v>0.83069365588242883</v>
      </c>
    </row>
    <row r="971" spans="1:8" ht="15" customHeight="1" x14ac:dyDescent="0.25">
      <c r="A971" s="5">
        <v>965</v>
      </c>
      <c r="B971" s="10" t="s">
        <v>1966</v>
      </c>
      <c r="C971" s="10" t="s">
        <v>1967</v>
      </c>
      <c r="D971" s="7">
        <v>2346.12</v>
      </c>
      <c r="E971" s="5">
        <v>460</v>
      </c>
      <c r="F971" s="5">
        <v>166</v>
      </c>
      <c r="G971" s="12">
        <f>SUM($D$7:D971)</f>
        <v>8863093.3000000026</v>
      </c>
      <c r="H971" s="11">
        <f t="shared" si="15"/>
        <v>0.83091360426379535</v>
      </c>
    </row>
    <row r="972" spans="1:8" ht="15" customHeight="1" x14ac:dyDescent="0.25">
      <c r="A972" s="5">
        <v>966</v>
      </c>
      <c r="B972" s="10" t="s">
        <v>1968</v>
      </c>
      <c r="C972" s="10" t="s">
        <v>1969</v>
      </c>
      <c r="D972" s="7">
        <v>2343.63</v>
      </c>
      <c r="E972" s="5">
        <v>1915</v>
      </c>
      <c r="F972" s="5">
        <v>129</v>
      </c>
      <c r="G972" s="12">
        <f>SUM($D$7:D972)</f>
        <v>8865436.9300000034</v>
      </c>
      <c r="H972" s="11">
        <f t="shared" si="15"/>
        <v>0.83113331920805311</v>
      </c>
    </row>
    <row r="973" spans="1:8" ht="15" customHeight="1" x14ac:dyDescent="0.25">
      <c r="A973" s="5">
        <v>967</v>
      </c>
      <c r="B973" s="10" t="s">
        <v>1970</v>
      </c>
      <c r="C973" s="10" t="s">
        <v>1971</v>
      </c>
      <c r="D973" s="7">
        <v>2334.94</v>
      </c>
      <c r="E973" s="5">
        <v>1726</v>
      </c>
      <c r="F973" s="5">
        <v>198</v>
      </c>
      <c r="G973" s="12">
        <f>SUM($D$7:D973)</f>
        <v>8867771.8700000029</v>
      </c>
      <c r="H973" s="11">
        <f t="shared" si="15"/>
        <v>0.83135221946617621</v>
      </c>
    </row>
    <row r="974" spans="1:8" ht="15" customHeight="1" x14ac:dyDescent="0.25">
      <c r="A974" s="5">
        <v>968</v>
      </c>
      <c r="B974" s="10" t="s">
        <v>1972</v>
      </c>
      <c r="C974" s="10" t="s">
        <v>1973</v>
      </c>
      <c r="D974" s="7">
        <v>2331.14</v>
      </c>
      <c r="E974" s="5">
        <v>1741</v>
      </c>
      <c r="F974" s="5">
        <v>185</v>
      </c>
      <c r="G974" s="12">
        <f>SUM($D$7:D974)</f>
        <v>8870103.0100000035</v>
      </c>
      <c r="H974" s="11">
        <f t="shared" si="15"/>
        <v>0.83157076347489656</v>
      </c>
    </row>
    <row r="975" spans="1:8" ht="15" customHeight="1" x14ac:dyDescent="0.25">
      <c r="A975" s="5">
        <v>969</v>
      </c>
      <c r="B975" s="10" t="s">
        <v>1974</v>
      </c>
      <c r="C975" s="10" t="s">
        <v>1975</v>
      </c>
      <c r="D975" s="7">
        <v>2331</v>
      </c>
      <c r="E975" s="5">
        <v>5800</v>
      </c>
      <c r="F975" s="5">
        <v>167</v>
      </c>
      <c r="G975" s="12">
        <f>SUM($D$7:D975)</f>
        <v>8872434.0100000035</v>
      </c>
      <c r="H975" s="11">
        <f t="shared" si="15"/>
        <v>0.8317892943586388</v>
      </c>
    </row>
    <row r="976" spans="1:8" ht="15" customHeight="1" x14ac:dyDescent="0.25">
      <c r="A976" s="5">
        <v>970</v>
      </c>
      <c r="B976" s="10" t="s">
        <v>1976</v>
      </c>
      <c r="C976" s="10" t="s">
        <v>1977</v>
      </c>
      <c r="D976" s="7">
        <v>2315.33</v>
      </c>
      <c r="E976" s="5">
        <v>229</v>
      </c>
      <c r="F976" s="5">
        <v>109</v>
      </c>
      <c r="G976" s="12">
        <f>SUM($D$7:D976)</f>
        <v>8874749.3400000036</v>
      </c>
      <c r="H976" s="11">
        <f t="shared" si="15"/>
        <v>0.8320063561823432</v>
      </c>
    </row>
    <row r="977" spans="1:8" ht="15" customHeight="1" x14ac:dyDescent="0.25">
      <c r="A977" s="5">
        <v>971</v>
      </c>
      <c r="B977" s="10" t="s">
        <v>1978</v>
      </c>
      <c r="C977" s="10" t="s">
        <v>1979</v>
      </c>
      <c r="D977" s="7">
        <v>2315.25</v>
      </c>
      <c r="E977" s="5">
        <v>1233</v>
      </c>
      <c r="F977" s="5">
        <v>223</v>
      </c>
      <c r="G977" s="12">
        <f>SUM($D$7:D977)</f>
        <v>8877064.5900000036</v>
      </c>
      <c r="H977" s="11">
        <f t="shared" si="15"/>
        <v>0.83222341050606008</v>
      </c>
    </row>
    <row r="978" spans="1:8" ht="15" customHeight="1" x14ac:dyDescent="0.25">
      <c r="A978" s="5">
        <v>972</v>
      </c>
      <c r="B978" s="10" t="s">
        <v>1980</v>
      </c>
      <c r="C978" s="10" t="s">
        <v>1981</v>
      </c>
      <c r="D978" s="7">
        <v>2314.7399999999998</v>
      </c>
      <c r="E978" s="5">
        <v>774</v>
      </c>
      <c r="F978" s="5">
        <v>169</v>
      </c>
      <c r="G978" s="12">
        <f>SUM($D$7:D978)</f>
        <v>8879379.3300000038</v>
      </c>
      <c r="H978" s="11">
        <f t="shared" si="15"/>
        <v>0.83244041701735727</v>
      </c>
    </row>
    <row r="979" spans="1:8" ht="15" customHeight="1" x14ac:dyDescent="0.25">
      <c r="A979" s="5">
        <v>973</v>
      </c>
      <c r="B979" s="10" t="s">
        <v>1982</v>
      </c>
      <c r="C979" s="10" t="s">
        <v>1983</v>
      </c>
      <c r="D979" s="7">
        <v>2313.5300000000002</v>
      </c>
      <c r="E979" s="5">
        <v>1712</v>
      </c>
      <c r="F979" s="5">
        <v>185</v>
      </c>
      <c r="G979" s="12">
        <f>SUM($D$7:D979)</f>
        <v>8881692.8600000031</v>
      </c>
      <c r="H979" s="11">
        <f t="shared" si="15"/>
        <v>0.83265731009134436</v>
      </c>
    </row>
    <row r="980" spans="1:8" ht="15" customHeight="1" x14ac:dyDescent="0.25">
      <c r="A980" s="5">
        <v>974</v>
      </c>
      <c r="B980" s="10" t="s">
        <v>1984</v>
      </c>
      <c r="C980" s="10" t="s">
        <v>1985</v>
      </c>
      <c r="D980" s="7">
        <v>2304.83</v>
      </c>
      <c r="E980" s="5">
        <v>3631</v>
      </c>
      <c r="F980" s="5">
        <v>120</v>
      </c>
      <c r="G980" s="12">
        <f>SUM($D$7:D980)</f>
        <v>8883997.6900000032</v>
      </c>
      <c r="H980" s="11">
        <f t="shared" si="15"/>
        <v>0.8328733875416986</v>
      </c>
    </row>
    <row r="981" spans="1:8" ht="15" customHeight="1" x14ac:dyDescent="0.25">
      <c r="A981" s="5">
        <v>975</v>
      </c>
      <c r="B981" s="10" t="s">
        <v>1986</v>
      </c>
      <c r="C981" s="10" t="s">
        <v>1987</v>
      </c>
      <c r="D981" s="7">
        <v>2304.14</v>
      </c>
      <c r="E981" s="5">
        <v>7612</v>
      </c>
      <c r="F981" s="5">
        <v>359</v>
      </c>
      <c r="G981" s="12">
        <f>SUM($D$7:D981)</f>
        <v>8886301.8300000038</v>
      </c>
      <c r="H981" s="11">
        <f t="shared" si="15"/>
        <v>0.83308940030466128</v>
      </c>
    </row>
    <row r="982" spans="1:8" ht="15" customHeight="1" x14ac:dyDescent="0.25">
      <c r="A982" s="5">
        <v>976</v>
      </c>
      <c r="B982" s="10" t="s">
        <v>1988</v>
      </c>
      <c r="C982" s="10" t="s">
        <v>1989</v>
      </c>
      <c r="D982" s="7">
        <v>2301.31</v>
      </c>
      <c r="E982" s="5">
        <v>1051</v>
      </c>
      <c r="F982" s="5">
        <v>219</v>
      </c>
      <c r="G982" s="12">
        <f>SUM($D$7:D982)</f>
        <v>8888603.1400000043</v>
      </c>
      <c r="H982" s="11">
        <f t="shared" si="15"/>
        <v>0.83330514775556852</v>
      </c>
    </row>
    <row r="983" spans="1:8" ht="15" customHeight="1" x14ac:dyDescent="0.25">
      <c r="A983" s="5">
        <v>977</v>
      </c>
      <c r="B983" s="10" t="s">
        <v>1990</v>
      </c>
      <c r="C983" s="10" t="s">
        <v>1991</v>
      </c>
      <c r="D983" s="7">
        <v>2299.4699999999998</v>
      </c>
      <c r="E983" s="5">
        <v>1804</v>
      </c>
      <c r="F983" s="5">
        <v>216</v>
      </c>
      <c r="G983" s="12">
        <f>SUM($D$7:D983)</f>
        <v>8890902.610000005</v>
      </c>
      <c r="H983" s="11">
        <f t="shared" si="15"/>
        <v>0.83352072270676503</v>
      </c>
    </row>
    <row r="984" spans="1:8" ht="15" customHeight="1" x14ac:dyDescent="0.25">
      <c r="A984" s="5">
        <v>978</v>
      </c>
      <c r="B984" s="10" t="s">
        <v>620</v>
      </c>
      <c r="C984" s="10" t="s">
        <v>1992</v>
      </c>
      <c r="D984" s="7">
        <v>2298.0500000000002</v>
      </c>
      <c r="E984" s="5">
        <v>2813</v>
      </c>
      <c r="F984" s="5">
        <v>92</v>
      </c>
      <c r="G984" s="12">
        <f>SUM($D$7:D984)</f>
        <v>8893200.6600000057</v>
      </c>
      <c r="H984" s="11">
        <f t="shared" si="15"/>
        <v>0.83373616453318455</v>
      </c>
    </row>
    <row r="985" spans="1:8" ht="15" customHeight="1" x14ac:dyDescent="0.25">
      <c r="A985" s="5">
        <v>979</v>
      </c>
      <c r="B985" s="10" t="s">
        <v>1993</v>
      </c>
      <c r="C985" s="10" t="s">
        <v>1994</v>
      </c>
      <c r="D985" s="7">
        <v>2292.34</v>
      </c>
      <c r="E985" s="5">
        <v>5353</v>
      </c>
      <c r="F985" s="5">
        <v>143</v>
      </c>
      <c r="G985" s="12">
        <f>SUM($D$7:D985)</f>
        <v>8895493.0000000056</v>
      </c>
      <c r="H985" s="11">
        <f t="shared" si="15"/>
        <v>0.83395107104800126</v>
      </c>
    </row>
    <row r="986" spans="1:8" ht="15" customHeight="1" x14ac:dyDescent="0.25">
      <c r="A986" s="5">
        <v>980</v>
      </c>
      <c r="B986" s="10" t="s">
        <v>1995</v>
      </c>
      <c r="C986" s="10" t="s">
        <v>1996</v>
      </c>
      <c r="D986" s="7">
        <v>2291.44</v>
      </c>
      <c r="E986" s="5">
        <v>1510</v>
      </c>
      <c r="F986" s="5">
        <v>162</v>
      </c>
      <c r="G986" s="12">
        <f>SUM($D$7:D986)</f>
        <v>8897784.4400000051</v>
      </c>
      <c r="H986" s="11">
        <f t="shared" si="15"/>
        <v>0.83416589318795931</v>
      </c>
    </row>
    <row r="987" spans="1:8" ht="15" customHeight="1" x14ac:dyDescent="0.25">
      <c r="A987" s="5">
        <v>981</v>
      </c>
      <c r="B987" s="10" t="s">
        <v>1997</v>
      </c>
      <c r="C987" s="10" t="s">
        <v>497</v>
      </c>
      <c r="D987" s="7">
        <v>2287.37</v>
      </c>
      <c r="E987" s="5">
        <v>273</v>
      </c>
      <c r="F987" s="5">
        <v>55</v>
      </c>
      <c r="G987" s="12">
        <f>SUM($D$7:D987)</f>
        <v>8900071.8100000042</v>
      </c>
      <c r="H987" s="11">
        <f t="shared" si="15"/>
        <v>0.8343803337660568</v>
      </c>
    </row>
    <row r="988" spans="1:8" ht="15" customHeight="1" x14ac:dyDescent="0.25">
      <c r="A988" s="5">
        <v>982</v>
      </c>
      <c r="B988" s="10" t="s">
        <v>1998</v>
      </c>
      <c r="C988" s="10" t="s">
        <v>1999</v>
      </c>
      <c r="D988" s="7">
        <v>2284.12</v>
      </c>
      <c r="E988" s="5">
        <v>1340</v>
      </c>
      <c r="F988" s="5">
        <v>154</v>
      </c>
      <c r="G988" s="12">
        <f>SUM($D$7:D988)</f>
        <v>8902355.9300000034</v>
      </c>
      <c r="H988" s="11">
        <f t="shared" si="15"/>
        <v>0.83459446965716499</v>
      </c>
    </row>
    <row r="989" spans="1:8" ht="15" customHeight="1" x14ac:dyDescent="0.25">
      <c r="A989" s="5">
        <v>983</v>
      </c>
      <c r="B989" s="10" t="s">
        <v>2000</v>
      </c>
      <c r="C989" s="10" t="s">
        <v>2001</v>
      </c>
      <c r="D989" s="7">
        <v>2280.4699999999998</v>
      </c>
      <c r="E989" s="5">
        <v>549</v>
      </c>
      <c r="F989" s="5">
        <v>112</v>
      </c>
      <c r="G989" s="12">
        <f>SUM($D$7:D989)</f>
        <v>8904636.4000000041</v>
      </c>
      <c r="H989" s="11">
        <f t="shared" si="15"/>
        <v>0.83480826336134684</v>
      </c>
    </row>
    <row r="990" spans="1:8" ht="15" customHeight="1" x14ac:dyDescent="0.25">
      <c r="A990" s="5">
        <v>984</v>
      </c>
      <c r="B990" s="10" t="s">
        <v>2002</v>
      </c>
      <c r="C990" s="10" t="s">
        <v>2003</v>
      </c>
      <c r="D990" s="7">
        <v>2279.09</v>
      </c>
      <c r="E990" s="5">
        <v>983</v>
      </c>
      <c r="F990" s="5">
        <v>110</v>
      </c>
      <c r="G990" s="12">
        <f>SUM($D$7:D990)</f>
        <v>8906915.4900000039</v>
      </c>
      <c r="H990" s="11">
        <f t="shared" si="15"/>
        <v>0.83502192769074535</v>
      </c>
    </row>
    <row r="991" spans="1:8" ht="15" customHeight="1" x14ac:dyDescent="0.25">
      <c r="A991" s="5">
        <v>985</v>
      </c>
      <c r="B991" s="10" t="s">
        <v>2004</v>
      </c>
      <c r="C991" s="10" t="s">
        <v>2005</v>
      </c>
      <c r="D991" s="7">
        <v>2274</v>
      </c>
      <c r="E991" s="5">
        <v>1456</v>
      </c>
      <c r="F991" s="5">
        <v>246</v>
      </c>
      <c r="G991" s="12">
        <f>SUM($D$7:D991)</f>
        <v>8909189.4900000039</v>
      </c>
      <c r="H991" s="11">
        <f t="shared" si="15"/>
        <v>0.8352351148334437</v>
      </c>
    </row>
    <row r="992" spans="1:8" ht="15" customHeight="1" x14ac:dyDescent="0.25">
      <c r="A992" s="5">
        <v>986</v>
      </c>
      <c r="B992" s="10" t="s">
        <v>2006</v>
      </c>
      <c r="C992" s="10" t="s">
        <v>2007</v>
      </c>
      <c r="D992" s="7">
        <v>2266.16</v>
      </c>
      <c r="E992" s="5">
        <v>468</v>
      </c>
      <c r="F992" s="5">
        <v>154</v>
      </c>
      <c r="G992" s="12">
        <f>SUM($D$7:D992)</f>
        <v>8911455.6500000041</v>
      </c>
      <c r="H992" s="11">
        <f t="shared" si="15"/>
        <v>0.83544756697737388</v>
      </c>
    </row>
    <row r="993" spans="1:8" ht="15" customHeight="1" x14ac:dyDescent="0.25">
      <c r="A993" s="5">
        <v>987</v>
      </c>
      <c r="B993" s="10" t="s">
        <v>2008</v>
      </c>
      <c r="C993" s="10" t="s">
        <v>2009</v>
      </c>
      <c r="D993" s="7">
        <v>2261.6</v>
      </c>
      <c r="E993" s="5">
        <v>5302</v>
      </c>
      <c r="F993" s="5">
        <v>443</v>
      </c>
      <c r="G993" s="12">
        <f>SUM($D$7:D993)</f>
        <v>8913717.2500000037</v>
      </c>
      <c r="H993" s="11">
        <f t="shared" si="15"/>
        <v>0.83565959162202053</v>
      </c>
    </row>
    <row r="994" spans="1:8" ht="15" customHeight="1" x14ac:dyDescent="0.25">
      <c r="A994" s="5">
        <v>988</v>
      </c>
      <c r="B994" s="10" t="s">
        <v>2010</v>
      </c>
      <c r="C994" s="10" t="s">
        <v>2011</v>
      </c>
      <c r="D994" s="7">
        <v>2256.1999999999998</v>
      </c>
      <c r="E994" s="5">
        <v>1556</v>
      </c>
      <c r="F994" s="5">
        <v>185</v>
      </c>
      <c r="G994" s="12">
        <f>SUM($D$7:D994)</f>
        <v>8915973.450000003</v>
      </c>
      <c r="H994" s="11">
        <f t="shared" si="15"/>
        <v>0.83587111001751568</v>
      </c>
    </row>
    <row r="995" spans="1:8" ht="15" customHeight="1" x14ac:dyDescent="0.25">
      <c r="A995" s="5">
        <v>989</v>
      </c>
      <c r="B995" s="10" t="s">
        <v>2012</v>
      </c>
      <c r="C995" s="10" t="s">
        <v>2013</v>
      </c>
      <c r="D995" s="7">
        <v>2251.77</v>
      </c>
      <c r="E995" s="5">
        <v>1950</v>
      </c>
      <c r="F995" s="5">
        <v>86</v>
      </c>
      <c r="G995" s="12">
        <f>SUM($D$7:D995)</f>
        <v>8918225.2200000025</v>
      </c>
      <c r="H995" s="11">
        <f t="shared" si="15"/>
        <v>0.83608221310120689</v>
      </c>
    </row>
    <row r="996" spans="1:8" ht="15" customHeight="1" x14ac:dyDescent="0.25">
      <c r="A996" s="5">
        <v>990</v>
      </c>
      <c r="B996" s="10" t="s">
        <v>2014</v>
      </c>
      <c r="C996" s="10" t="s">
        <v>2015</v>
      </c>
      <c r="D996" s="7">
        <v>2247.9699999999998</v>
      </c>
      <c r="E996" s="5">
        <v>5551</v>
      </c>
      <c r="F996" s="5">
        <v>274</v>
      </c>
      <c r="G996" s="12">
        <f>SUM($D$7:D996)</f>
        <v>8920473.1900000032</v>
      </c>
      <c r="H996" s="11">
        <f t="shared" si="15"/>
        <v>0.83629295993549524</v>
      </c>
    </row>
    <row r="997" spans="1:8" ht="15" customHeight="1" x14ac:dyDescent="0.25">
      <c r="A997" s="5">
        <v>991</v>
      </c>
      <c r="B997" s="10" t="s">
        <v>2016</v>
      </c>
      <c r="C997" s="10" t="s">
        <v>2017</v>
      </c>
      <c r="D997" s="7">
        <v>2246.61</v>
      </c>
      <c r="E997" s="5">
        <v>599</v>
      </c>
      <c r="F997" s="5">
        <v>136</v>
      </c>
      <c r="G997" s="12">
        <f>SUM($D$7:D997)</f>
        <v>8922719.8000000026</v>
      </c>
      <c r="H997" s="11">
        <f t="shared" si="15"/>
        <v>0.83650357926999719</v>
      </c>
    </row>
    <row r="998" spans="1:8" ht="15" customHeight="1" x14ac:dyDescent="0.25">
      <c r="A998" s="5">
        <v>992</v>
      </c>
      <c r="B998" s="10" t="s">
        <v>2018</v>
      </c>
      <c r="C998" s="10" t="s">
        <v>2019</v>
      </c>
      <c r="D998" s="7">
        <v>2244.2199999999998</v>
      </c>
      <c r="E998" s="5">
        <v>941</v>
      </c>
      <c r="F998" s="5">
        <v>142</v>
      </c>
      <c r="G998" s="12">
        <f>SUM($D$7:D998)</f>
        <v>8924964.0200000033</v>
      </c>
      <c r="H998" s="11">
        <f t="shared" si="15"/>
        <v>0.83671397454237473</v>
      </c>
    </row>
    <row r="999" spans="1:8" ht="15" customHeight="1" x14ac:dyDescent="0.25">
      <c r="A999" s="5">
        <v>993</v>
      </c>
      <c r="B999" s="10" t="s">
        <v>2020</v>
      </c>
      <c r="C999" s="10" t="s">
        <v>2021</v>
      </c>
      <c r="D999" s="7">
        <v>2237.71</v>
      </c>
      <c r="E999" s="5">
        <v>3443</v>
      </c>
      <c r="F999" s="5">
        <v>76</v>
      </c>
      <c r="G999" s="12">
        <f>SUM($D$7:D999)</f>
        <v>8927201.7300000042</v>
      </c>
      <c r="H999" s="11">
        <f t="shared" si="15"/>
        <v>0.83692375950327524</v>
      </c>
    </row>
    <row r="1000" spans="1:8" ht="15" customHeight="1" x14ac:dyDescent="0.25">
      <c r="A1000" s="5">
        <v>994</v>
      </c>
      <c r="B1000" s="10" t="s">
        <v>2022</v>
      </c>
      <c r="C1000" s="10" t="s">
        <v>2023</v>
      </c>
      <c r="D1000" s="7">
        <v>2235.65</v>
      </c>
      <c r="E1000" s="5">
        <v>2412</v>
      </c>
      <c r="F1000" s="5">
        <v>335</v>
      </c>
      <c r="G1000" s="12">
        <f>SUM($D$7:D1000)</f>
        <v>8929437.3800000045</v>
      </c>
      <c r="H1000" s="11">
        <f t="shared" si="15"/>
        <v>0.8371333513394994</v>
      </c>
    </row>
    <row r="1001" spans="1:8" ht="15" customHeight="1" x14ac:dyDescent="0.25">
      <c r="A1001" s="5">
        <v>995</v>
      </c>
      <c r="B1001" s="10" t="s">
        <v>2024</v>
      </c>
      <c r="C1001" s="10" t="s">
        <v>2025</v>
      </c>
      <c r="D1001" s="7">
        <v>2228.09</v>
      </c>
      <c r="E1001" s="5">
        <v>641</v>
      </c>
      <c r="F1001" s="5">
        <v>163</v>
      </c>
      <c r="G1001" s="12">
        <f>SUM($D$7:D1001)</f>
        <v>8931665.4700000044</v>
      </c>
      <c r="H1001" s="11">
        <f t="shared" si="15"/>
        <v>0.83734223442691125</v>
      </c>
    </row>
    <row r="1002" spans="1:8" ht="15" customHeight="1" x14ac:dyDescent="0.25">
      <c r="A1002" s="5">
        <v>996</v>
      </c>
      <c r="B1002" s="10" t="s">
        <v>2026</v>
      </c>
      <c r="C1002" s="10" t="s">
        <v>2027</v>
      </c>
      <c r="D1002" s="7">
        <v>2225.4499999999998</v>
      </c>
      <c r="E1002" s="5">
        <v>251</v>
      </c>
      <c r="F1002" s="5">
        <v>105</v>
      </c>
      <c r="G1002" s="12">
        <f>SUM($D$7:D1002)</f>
        <v>8933890.9200000037</v>
      </c>
      <c r="H1002" s="11">
        <f t="shared" si="15"/>
        <v>0.83755087001473794</v>
      </c>
    </row>
    <row r="1003" spans="1:8" ht="15" customHeight="1" x14ac:dyDescent="0.25">
      <c r="A1003" s="5">
        <v>997</v>
      </c>
      <c r="B1003" s="10" t="s">
        <v>2028</v>
      </c>
      <c r="C1003" s="10" t="s">
        <v>2029</v>
      </c>
      <c r="D1003" s="7">
        <v>2222.38</v>
      </c>
      <c r="E1003" s="5">
        <v>2482</v>
      </c>
      <c r="F1003" s="5">
        <v>200</v>
      </c>
      <c r="G1003" s="12">
        <f>SUM($D$7:D1003)</f>
        <v>8936113.3000000045</v>
      </c>
      <c r="H1003" s="11">
        <f t="shared" si="15"/>
        <v>0.83775921779054718</v>
      </c>
    </row>
    <row r="1004" spans="1:8" ht="15" customHeight="1" x14ac:dyDescent="0.25">
      <c r="A1004" s="5">
        <v>998</v>
      </c>
      <c r="B1004" s="10" t="s">
        <v>2030</v>
      </c>
      <c r="C1004" s="10" t="s">
        <v>2031</v>
      </c>
      <c r="D1004" s="7">
        <v>2220.37</v>
      </c>
      <c r="E1004" s="5">
        <v>1823</v>
      </c>
      <c r="F1004" s="5">
        <v>112</v>
      </c>
      <c r="G1004" s="12">
        <f>SUM($D$7:D1004)</f>
        <v>8938333.6700000037</v>
      </c>
      <c r="H1004" s="11">
        <f t="shared" si="15"/>
        <v>0.83796737712917202</v>
      </c>
    </row>
    <row r="1005" spans="1:8" ht="15" customHeight="1" x14ac:dyDescent="0.25">
      <c r="A1005" s="5">
        <v>999</v>
      </c>
      <c r="B1005" s="10" t="s">
        <v>2032</v>
      </c>
      <c r="C1005" s="10" t="s">
        <v>2033</v>
      </c>
      <c r="D1005" s="7">
        <v>2218.12</v>
      </c>
      <c r="E1005" s="5">
        <v>1543</v>
      </c>
      <c r="F1005" s="5">
        <v>140</v>
      </c>
      <c r="G1005" s="12">
        <f>SUM($D$7:D1005)</f>
        <v>8940551.7900000028</v>
      </c>
      <c r="H1005" s="11">
        <f t="shared" si="15"/>
        <v>0.83817532553065044</v>
      </c>
    </row>
    <row r="1006" spans="1:8" ht="15" customHeight="1" x14ac:dyDescent="0.25">
      <c r="A1006" s="5">
        <v>1000</v>
      </c>
      <c r="B1006" s="10" t="s">
        <v>2034</v>
      </c>
      <c r="C1006" s="10" t="s">
        <v>507</v>
      </c>
      <c r="D1006" s="7">
        <v>2216.21</v>
      </c>
      <c r="E1006" s="5">
        <v>265</v>
      </c>
      <c r="F1006" s="5">
        <v>56</v>
      </c>
      <c r="G1006" s="12">
        <f>SUM($D$7:D1006)</f>
        <v>8942768.0000000037</v>
      </c>
      <c r="H1006" s="11">
        <f t="shared" si="15"/>
        <v>0.83838309486992912</v>
      </c>
    </row>
    <row r="1007" spans="1:8" ht="15" customHeight="1" x14ac:dyDescent="0.25">
      <c r="A1007" s="5">
        <v>1001</v>
      </c>
      <c r="B1007" s="10" t="s">
        <v>2035</v>
      </c>
      <c r="C1007" s="10" t="s">
        <v>2036</v>
      </c>
      <c r="D1007" s="7">
        <v>2214.08</v>
      </c>
      <c r="E1007" s="5">
        <v>1456</v>
      </c>
      <c r="F1007" s="5">
        <v>187</v>
      </c>
      <c r="G1007" s="12">
        <f>SUM($D$7:D1007)</f>
        <v>8944982.0800000038</v>
      </c>
      <c r="H1007" s="11">
        <f t="shared" si="15"/>
        <v>0.83859066452204234</v>
      </c>
    </row>
    <row r="1008" spans="1:8" ht="15" customHeight="1" x14ac:dyDescent="0.25">
      <c r="A1008" s="5">
        <v>1002</v>
      </c>
      <c r="B1008" s="10" t="s">
        <v>2037</v>
      </c>
      <c r="C1008" s="10" t="s">
        <v>2038</v>
      </c>
      <c r="D1008" s="7">
        <v>2213.42</v>
      </c>
      <c r="E1008" s="5">
        <v>522</v>
      </c>
      <c r="F1008" s="5">
        <v>106</v>
      </c>
      <c r="G1008" s="12">
        <f>SUM($D$7:D1008)</f>
        <v>8947195.5000000037</v>
      </c>
      <c r="H1008" s="11">
        <f t="shared" si="15"/>
        <v>0.83879817229925935</v>
      </c>
    </row>
    <row r="1009" spans="1:8" ht="15" customHeight="1" x14ac:dyDescent="0.25">
      <c r="A1009" s="5">
        <v>1003</v>
      </c>
      <c r="B1009" s="10" t="s">
        <v>2039</v>
      </c>
      <c r="C1009" s="10" t="s">
        <v>243</v>
      </c>
      <c r="D1009" s="7">
        <v>2211.6</v>
      </c>
      <c r="E1009" s="5">
        <v>264</v>
      </c>
      <c r="F1009" s="5">
        <v>61</v>
      </c>
      <c r="G1009" s="12">
        <f>SUM($D$7:D1009)</f>
        <v>8949407.1000000034</v>
      </c>
      <c r="H1009" s="11">
        <f t="shared" si="15"/>
        <v>0.83900550945176222</v>
      </c>
    </row>
    <row r="1010" spans="1:8" ht="15" customHeight="1" x14ac:dyDescent="0.25">
      <c r="A1010" s="5">
        <v>1004</v>
      </c>
      <c r="B1010" s="10" t="s">
        <v>2040</v>
      </c>
      <c r="C1010" s="10" t="s">
        <v>2041</v>
      </c>
      <c r="D1010" s="7">
        <v>2207.86</v>
      </c>
      <c r="E1010" s="5">
        <v>626</v>
      </c>
      <c r="F1010" s="5">
        <v>134</v>
      </c>
      <c r="G1010" s="12">
        <f>SUM($D$7:D1010)</f>
        <v>8951614.9600000028</v>
      </c>
      <c r="H1010" s="11">
        <f t="shared" si="15"/>
        <v>0.83921249597985281</v>
      </c>
    </row>
    <row r="1011" spans="1:8" ht="15" customHeight="1" x14ac:dyDescent="0.25">
      <c r="A1011" s="5">
        <v>1005</v>
      </c>
      <c r="B1011" s="10" t="s">
        <v>2042</v>
      </c>
      <c r="C1011" s="10" t="s">
        <v>2043</v>
      </c>
      <c r="D1011" s="7">
        <v>2207.39</v>
      </c>
      <c r="E1011" s="5">
        <v>2231</v>
      </c>
      <c r="F1011" s="5">
        <v>175</v>
      </c>
      <c r="G1011" s="12">
        <f>SUM($D$7:D1011)</f>
        <v>8953822.3500000034</v>
      </c>
      <c r="H1011" s="11">
        <f t="shared" si="15"/>
        <v>0.83941943844551725</v>
      </c>
    </row>
    <row r="1012" spans="1:8" ht="15" customHeight="1" x14ac:dyDescent="0.25">
      <c r="A1012" s="5">
        <v>1006</v>
      </c>
      <c r="B1012" s="10" t="s">
        <v>2044</v>
      </c>
      <c r="C1012" s="10" t="s">
        <v>2045</v>
      </c>
      <c r="D1012" s="7">
        <v>2205.4699999999998</v>
      </c>
      <c r="E1012" s="5">
        <v>335</v>
      </c>
      <c r="F1012" s="5">
        <v>131</v>
      </c>
      <c r="G1012" s="12">
        <f>SUM($D$7:D1012)</f>
        <v>8956027.820000004</v>
      </c>
      <c r="H1012" s="11">
        <f t="shared" si="15"/>
        <v>0.83962620091148343</v>
      </c>
    </row>
    <row r="1013" spans="1:8" ht="15" customHeight="1" x14ac:dyDescent="0.25">
      <c r="A1013" s="5">
        <v>1007</v>
      </c>
      <c r="B1013" s="10" t="s">
        <v>2046</v>
      </c>
      <c r="C1013" s="10" t="s">
        <v>2047</v>
      </c>
      <c r="D1013" s="7">
        <v>2202.14</v>
      </c>
      <c r="E1013" s="5">
        <v>2336</v>
      </c>
      <c r="F1013" s="5">
        <v>222</v>
      </c>
      <c r="G1013" s="12">
        <f>SUM($D$7:D1013)</f>
        <v>8958229.9600000046</v>
      </c>
      <c r="H1013" s="11">
        <f t="shared" si="15"/>
        <v>0.83983265119047279</v>
      </c>
    </row>
    <row r="1014" spans="1:8" ht="15" customHeight="1" x14ac:dyDescent="0.25">
      <c r="A1014" s="5">
        <v>1008</v>
      </c>
      <c r="B1014" s="10" t="s">
        <v>2048</v>
      </c>
      <c r="C1014" s="10" t="s">
        <v>2049</v>
      </c>
      <c r="D1014" s="7">
        <v>2201.0700000000002</v>
      </c>
      <c r="E1014" s="5">
        <v>3234</v>
      </c>
      <c r="F1014" s="5">
        <v>372</v>
      </c>
      <c r="G1014" s="12">
        <f>SUM($D$7:D1014)</f>
        <v>8960431.0300000049</v>
      </c>
      <c r="H1014" s="11">
        <f t="shared" si="15"/>
        <v>0.84003900115713026</v>
      </c>
    </row>
    <row r="1015" spans="1:8" ht="15" customHeight="1" x14ac:dyDescent="0.25">
      <c r="A1015" s="5">
        <v>1009</v>
      </c>
      <c r="B1015" s="10" t="s">
        <v>2050</v>
      </c>
      <c r="C1015" s="10" t="s">
        <v>2051</v>
      </c>
      <c r="D1015" s="7">
        <v>2194.62</v>
      </c>
      <c r="E1015" s="5">
        <v>1544</v>
      </c>
      <c r="F1015" s="5">
        <v>230</v>
      </c>
      <c r="G1015" s="12">
        <f>SUM($D$7:D1015)</f>
        <v>8962625.6500000041</v>
      </c>
      <c r="H1015" s="11">
        <f t="shared" si="15"/>
        <v>0.84024474643730107</v>
      </c>
    </row>
    <row r="1016" spans="1:8" ht="15" customHeight="1" x14ac:dyDescent="0.25">
      <c r="A1016" s="5">
        <v>1010</v>
      </c>
      <c r="B1016" s="10" t="s">
        <v>2052</v>
      </c>
      <c r="C1016" s="10" t="s">
        <v>2053</v>
      </c>
      <c r="D1016" s="7">
        <v>2191.4299999999998</v>
      </c>
      <c r="E1016" s="5">
        <v>2441</v>
      </c>
      <c r="F1016" s="5">
        <v>254</v>
      </c>
      <c r="G1016" s="12">
        <f>SUM($D$7:D1016)</f>
        <v>8964817.0800000038</v>
      </c>
      <c r="H1016" s="11">
        <f t="shared" si="15"/>
        <v>0.84045019265547327</v>
      </c>
    </row>
    <row r="1017" spans="1:8" ht="15" customHeight="1" x14ac:dyDescent="0.25">
      <c r="A1017" s="5">
        <v>1011</v>
      </c>
      <c r="B1017" s="10" t="s">
        <v>2054</v>
      </c>
      <c r="C1017" s="10" t="s">
        <v>2055</v>
      </c>
      <c r="D1017" s="7">
        <v>2186.27</v>
      </c>
      <c r="E1017" s="5">
        <v>207</v>
      </c>
      <c r="F1017" s="5">
        <v>108</v>
      </c>
      <c r="G1017" s="12">
        <f>SUM($D$7:D1017)</f>
        <v>8967003.3500000034</v>
      </c>
      <c r="H1017" s="11">
        <f t="shared" si="15"/>
        <v>0.8406551551244561</v>
      </c>
    </row>
    <row r="1018" spans="1:8" ht="15" customHeight="1" x14ac:dyDescent="0.25">
      <c r="A1018" s="5">
        <v>1012</v>
      </c>
      <c r="B1018" s="10" t="s">
        <v>2056</v>
      </c>
      <c r="C1018" s="10" t="s">
        <v>2057</v>
      </c>
      <c r="D1018" s="7">
        <v>2182.39</v>
      </c>
      <c r="E1018" s="5">
        <v>1831</v>
      </c>
      <c r="F1018" s="5">
        <v>105</v>
      </c>
      <c r="G1018" s="12">
        <f>SUM($D$7:D1018)</f>
        <v>8969185.7400000039</v>
      </c>
      <c r="H1018" s="11">
        <f t="shared" si="15"/>
        <v>0.84085975384404865</v>
      </c>
    </row>
    <row r="1019" spans="1:8" ht="15" customHeight="1" x14ac:dyDescent="0.25">
      <c r="A1019" s="5">
        <v>1013</v>
      </c>
      <c r="B1019" s="10" t="s">
        <v>2058</v>
      </c>
      <c r="C1019" s="10" t="s">
        <v>2059</v>
      </c>
      <c r="D1019" s="7">
        <v>2179.66</v>
      </c>
      <c r="E1019" s="5">
        <v>1065</v>
      </c>
      <c r="F1019" s="5">
        <v>142</v>
      </c>
      <c r="G1019" s="12">
        <f>SUM($D$7:D1019)</f>
        <v>8971365.4000000041</v>
      </c>
      <c r="H1019" s="11">
        <f t="shared" si="15"/>
        <v>0.84106409662657022</v>
      </c>
    </row>
    <row r="1020" spans="1:8" ht="15" customHeight="1" x14ac:dyDescent="0.25">
      <c r="A1020" s="5">
        <v>1014</v>
      </c>
      <c r="B1020" s="10" t="s">
        <v>2060</v>
      </c>
      <c r="C1020" s="10" t="s">
        <v>2061</v>
      </c>
      <c r="D1020" s="7">
        <v>2177.84</v>
      </c>
      <c r="E1020" s="5">
        <v>2688</v>
      </c>
      <c r="F1020" s="5">
        <v>101</v>
      </c>
      <c r="G1020" s="12">
        <f>SUM($D$7:D1020)</f>
        <v>8973543.2400000039</v>
      </c>
      <c r="H1020" s="11">
        <f t="shared" si="15"/>
        <v>0.84126826878437766</v>
      </c>
    </row>
    <row r="1021" spans="1:8" ht="15" customHeight="1" x14ac:dyDescent="0.25">
      <c r="A1021" s="5">
        <v>1015</v>
      </c>
      <c r="B1021" s="10" t="s">
        <v>2062</v>
      </c>
      <c r="C1021" s="10" t="s">
        <v>2063</v>
      </c>
      <c r="D1021" s="7">
        <v>2175.04</v>
      </c>
      <c r="E1021" s="5">
        <v>468</v>
      </c>
      <c r="F1021" s="5">
        <v>180</v>
      </c>
      <c r="G1021" s="12">
        <f>SUM($D$7:D1021)</f>
        <v>8975718.2800000031</v>
      </c>
      <c r="H1021" s="11">
        <f t="shared" si="15"/>
        <v>0.84147217844262501</v>
      </c>
    </row>
    <row r="1022" spans="1:8" ht="15" customHeight="1" x14ac:dyDescent="0.25">
      <c r="A1022" s="5">
        <v>1016</v>
      </c>
      <c r="B1022" s="10" t="s">
        <v>2064</v>
      </c>
      <c r="C1022" s="10" t="s">
        <v>2065</v>
      </c>
      <c r="D1022" s="7">
        <v>2173.0500000000002</v>
      </c>
      <c r="E1022" s="5">
        <v>2524</v>
      </c>
      <c r="F1022" s="5">
        <v>224</v>
      </c>
      <c r="G1022" s="12">
        <f>SUM($D$7:D1022)</f>
        <v>8977891.3300000038</v>
      </c>
      <c r="H1022" s="11">
        <f t="shared" si="15"/>
        <v>0.8416759015386851</v>
      </c>
    </row>
    <row r="1023" spans="1:8" ht="15" customHeight="1" x14ac:dyDescent="0.25">
      <c r="A1023" s="5">
        <v>1017</v>
      </c>
      <c r="B1023" s="10" t="s">
        <v>2066</v>
      </c>
      <c r="C1023" s="10" t="s">
        <v>2067</v>
      </c>
      <c r="D1023" s="7">
        <v>2171.5300000000002</v>
      </c>
      <c r="E1023" s="5">
        <v>1330</v>
      </c>
      <c r="F1023" s="5">
        <v>207</v>
      </c>
      <c r="G1023" s="12">
        <f>SUM($D$7:D1023)</f>
        <v>8980062.8600000031</v>
      </c>
      <c r="H1023" s="11">
        <f t="shared" si="15"/>
        <v>0.84187948213498398</v>
      </c>
    </row>
    <row r="1024" spans="1:8" ht="15" customHeight="1" x14ac:dyDescent="0.25">
      <c r="A1024" s="5">
        <v>1018</v>
      </c>
      <c r="B1024" s="10" t="s">
        <v>2068</v>
      </c>
      <c r="C1024" s="10" t="s">
        <v>2069</v>
      </c>
      <c r="D1024" s="7">
        <v>2168.7600000000002</v>
      </c>
      <c r="E1024" s="5">
        <v>5278</v>
      </c>
      <c r="F1024" s="5">
        <v>174</v>
      </c>
      <c r="G1024" s="12">
        <f>SUM($D$7:D1024)</f>
        <v>8982231.6200000029</v>
      </c>
      <c r="H1024" s="11">
        <f t="shared" si="15"/>
        <v>0.84208280304421812</v>
      </c>
    </row>
    <row r="1025" spans="1:8" ht="15" customHeight="1" x14ac:dyDescent="0.25">
      <c r="A1025" s="5">
        <v>1019</v>
      </c>
      <c r="B1025" s="10" t="s">
        <v>2070</v>
      </c>
      <c r="C1025" s="10" t="s">
        <v>2071</v>
      </c>
      <c r="D1025" s="7">
        <v>2165.65</v>
      </c>
      <c r="E1025" s="5">
        <v>353</v>
      </c>
      <c r="F1025" s="5">
        <v>133</v>
      </c>
      <c r="G1025" s="12">
        <f>SUM($D$7:D1025)</f>
        <v>8984397.2700000033</v>
      </c>
      <c r="H1025" s="11">
        <f t="shared" si="15"/>
        <v>0.84228583239144095</v>
      </c>
    </row>
    <row r="1026" spans="1:8" ht="15" customHeight="1" x14ac:dyDescent="0.25">
      <c r="A1026" s="5">
        <v>1020</v>
      </c>
      <c r="B1026" s="10" t="s">
        <v>2072</v>
      </c>
      <c r="C1026" s="10" t="s">
        <v>2073</v>
      </c>
      <c r="D1026" s="7">
        <v>2164.46</v>
      </c>
      <c r="E1026" s="5">
        <v>2162</v>
      </c>
      <c r="F1026" s="5">
        <v>216</v>
      </c>
      <c r="G1026" s="12">
        <f>SUM($D$7:D1026)</f>
        <v>8986561.7300000042</v>
      </c>
      <c r="H1026" s="11">
        <f t="shared" si="15"/>
        <v>0.84248875017635083</v>
      </c>
    </row>
    <row r="1027" spans="1:8" ht="15" customHeight="1" x14ac:dyDescent="0.25">
      <c r="A1027" s="5">
        <v>1021</v>
      </c>
      <c r="B1027" s="10" t="s">
        <v>2074</v>
      </c>
      <c r="C1027" s="10" t="s">
        <v>2075</v>
      </c>
      <c r="D1027" s="7">
        <v>2162.75</v>
      </c>
      <c r="E1027" s="5">
        <v>1645</v>
      </c>
      <c r="F1027" s="5">
        <v>188</v>
      </c>
      <c r="G1027" s="12">
        <f>SUM($D$7:D1027)</f>
        <v>8988724.4800000042</v>
      </c>
      <c r="H1027" s="11">
        <f t="shared" si="15"/>
        <v>0.84269150764902934</v>
      </c>
    </row>
    <row r="1028" spans="1:8" ht="15" customHeight="1" x14ac:dyDescent="0.25">
      <c r="A1028" s="5">
        <v>1022</v>
      </c>
      <c r="B1028" s="10" t="s">
        <v>2076</v>
      </c>
      <c r="C1028" s="10" t="s">
        <v>2077</v>
      </c>
      <c r="D1028" s="7">
        <v>2162.1999999999998</v>
      </c>
      <c r="E1028" s="5">
        <v>1284</v>
      </c>
      <c r="F1028" s="5">
        <v>153</v>
      </c>
      <c r="G1028" s="12">
        <f>SUM($D$7:D1028)</f>
        <v>8990886.6800000034</v>
      </c>
      <c r="H1028" s="11">
        <f t="shared" si="15"/>
        <v>0.84289421355929417</v>
      </c>
    </row>
    <row r="1029" spans="1:8" ht="15" customHeight="1" x14ac:dyDescent="0.25">
      <c r="A1029" s="5">
        <v>1023</v>
      </c>
      <c r="B1029" s="10" t="s">
        <v>2078</v>
      </c>
      <c r="C1029" s="10" t="s">
        <v>2079</v>
      </c>
      <c r="D1029" s="7">
        <v>2160</v>
      </c>
      <c r="E1029" s="5">
        <v>724</v>
      </c>
      <c r="F1029" s="5">
        <v>119</v>
      </c>
      <c r="G1029" s="12">
        <f>SUM($D$7:D1029)</f>
        <v>8993046.6800000034</v>
      </c>
      <c r="H1029" s="11">
        <f t="shared" si="15"/>
        <v>0.84309671321990476</v>
      </c>
    </row>
    <row r="1030" spans="1:8" ht="15" customHeight="1" x14ac:dyDescent="0.25">
      <c r="A1030" s="5">
        <v>1024</v>
      </c>
      <c r="B1030" s="10" t="s">
        <v>2080</v>
      </c>
      <c r="C1030" s="10" t="s">
        <v>2081</v>
      </c>
      <c r="D1030" s="7">
        <v>2158.06</v>
      </c>
      <c r="E1030" s="5">
        <v>594</v>
      </c>
      <c r="F1030" s="5">
        <v>179</v>
      </c>
      <c r="G1030" s="12">
        <f>SUM($D$7:D1030)</f>
        <v>8995204.7400000039</v>
      </c>
      <c r="H1030" s="11">
        <f t="shared" si="15"/>
        <v>0.84329903100582015</v>
      </c>
    </row>
    <row r="1031" spans="1:8" ht="15" customHeight="1" x14ac:dyDescent="0.25">
      <c r="A1031" s="5">
        <v>1025</v>
      </c>
      <c r="B1031" s="10" t="s">
        <v>2082</v>
      </c>
      <c r="C1031" s="10" t="s">
        <v>2083</v>
      </c>
      <c r="D1031" s="7">
        <v>2155.94</v>
      </c>
      <c r="E1031" s="5">
        <v>3427</v>
      </c>
      <c r="F1031" s="5">
        <v>242</v>
      </c>
      <c r="G1031" s="12">
        <f>SUM($D$7:D1031)</f>
        <v>8997360.6800000034</v>
      </c>
      <c r="H1031" s="11">
        <f t="shared" ref="H1031:H1094" si="16">G1031/SUM($D$7:$D$4167)</f>
        <v>0.8435011500420686</v>
      </c>
    </row>
    <row r="1032" spans="1:8" ht="15" customHeight="1" x14ac:dyDescent="0.25">
      <c r="A1032" s="5">
        <v>1026</v>
      </c>
      <c r="B1032" s="10" t="s">
        <v>2084</v>
      </c>
      <c r="C1032" s="10" t="s">
        <v>2085</v>
      </c>
      <c r="D1032" s="7">
        <v>2155.89</v>
      </c>
      <c r="E1032" s="5">
        <v>3883</v>
      </c>
      <c r="F1032" s="5">
        <v>405</v>
      </c>
      <c r="G1032" s="12">
        <f>SUM($D$7:D1032)</f>
        <v>8999516.570000004</v>
      </c>
      <c r="H1032" s="11">
        <f t="shared" si="16"/>
        <v>0.84370326439082499</v>
      </c>
    </row>
    <row r="1033" spans="1:8" ht="15" customHeight="1" x14ac:dyDescent="0.25">
      <c r="A1033" s="5">
        <v>1027</v>
      </c>
      <c r="B1033" s="10" t="s">
        <v>2086</v>
      </c>
      <c r="C1033" s="10" t="s">
        <v>2087</v>
      </c>
      <c r="D1033" s="7">
        <v>2149.31</v>
      </c>
      <c r="E1033" s="5">
        <v>687</v>
      </c>
      <c r="F1033" s="5">
        <v>175</v>
      </c>
      <c r="G1033" s="12">
        <f>SUM($D$7:D1033)</f>
        <v>9001665.8800000045</v>
      </c>
      <c r="H1033" s="11">
        <f t="shared" si="16"/>
        <v>0.84390476186561525</v>
      </c>
    </row>
    <row r="1034" spans="1:8" ht="15" customHeight="1" x14ac:dyDescent="0.25">
      <c r="A1034" s="5">
        <v>1028</v>
      </c>
      <c r="B1034" s="10" t="s">
        <v>2088</v>
      </c>
      <c r="C1034" s="10" t="s">
        <v>2089</v>
      </c>
      <c r="D1034" s="7">
        <v>2148.5300000000002</v>
      </c>
      <c r="E1034" s="5">
        <v>1213</v>
      </c>
      <c r="F1034" s="5">
        <v>134</v>
      </c>
      <c r="G1034" s="12">
        <f>SUM($D$7:D1034)</f>
        <v>9003814.4100000039</v>
      </c>
      <c r="H1034" s="11">
        <f t="shared" si="16"/>
        <v>0.84410618621552802</v>
      </c>
    </row>
    <row r="1035" spans="1:8" ht="15" customHeight="1" x14ac:dyDescent="0.25">
      <c r="A1035" s="5">
        <v>1029</v>
      </c>
      <c r="B1035" s="10" t="s">
        <v>2090</v>
      </c>
      <c r="C1035" s="10" t="s">
        <v>2091</v>
      </c>
      <c r="D1035" s="7">
        <v>2147.5500000000002</v>
      </c>
      <c r="E1035" s="5">
        <v>4783</v>
      </c>
      <c r="F1035" s="5">
        <v>241</v>
      </c>
      <c r="G1035" s="12">
        <f>SUM($D$7:D1035)</f>
        <v>9005961.9600000046</v>
      </c>
      <c r="H1035" s="11">
        <f t="shared" si="16"/>
        <v>0.84430751869059484</v>
      </c>
    </row>
    <row r="1036" spans="1:8" ht="15" customHeight="1" x14ac:dyDescent="0.25">
      <c r="A1036" s="5">
        <v>1030</v>
      </c>
      <c r="B1036" s="10" t="s">
        <v>2092</v>
      </c>
      <c r="C1036" s="10" t="s">
        <v>2093</v>
      </c>
      <c r="D1036" s="7">
        <v>2145.91</v>
      </c>
      <c r="E1036" s="5">
        <v>1261</v>
      </c>
      <c r="F1036" s="5">
        <v>144</v>
      </c>
      <c r="G1036" s="12">
        <f>SUM($D$7:D1036)</f>
        <v>9008107.8700000048</v>
      </c>
      <c r="H1036" s="11">
        <f t="shared" si="16"/>
        <v>0.84450869741591927</v>
      </c>
    </row>
    <row r="1037" spans="1:8" ht="15" customHeight="1" x14ac:dyDescent="0.25">
      <c r="A1037" s="5">
        <v>1031</v>
      </c>
      <c r="B1037" s="10" t="s">
        <v>2094</v>
      </c>
      <c r="C1037" s="10" t="s">
        <v>2095</v>
      </c>
      <c r="D1037" s="7">
        <v>2145.3000000000002</v>
      </c>
      <c r="E1037" s="5">
        <v>1715</v>
      </c>
      <c r="F1037" s="5">
        <v>98</v>
      </c>
      <c r="G1037" s="12">
        <f>SUM($D$7:D1037)</f>
        <v>9010253.1700000055</v>
      </c>
      <c r="H1037" s="11">
        <f t="shared" si="16"/>
        <v>0.84470981895383968</v>
      </c>
    </row>
    <row r="1038" spans="1:8" ht="15" customHeight="1" x14ac:dyDescent="0.25">
      <c r="A1038" s="5">
        <v>1032</v>
      </c>
      <c r="B1038" s="10" t="s">
        <v>2096</v>
      </c>
      <c r="C1038" s="10" t="s">
        <v>2097</v>
      </c>
      <c r="D1038" s="7">
        <v>2140.92</v>
      </c>
      <c r="E1038" s="5">
        <v>5326</v>
      </c>
      <c r="F1038" s="5">
        <v>134</v>
      </c>
      <c r="G1038" s="12">
        <f>SUM($D$7:D1038)</f>
        <v>9012394.0900000054</v>
      </c>
      <c r="H1038" s="11">
        <f t="shared" si="16"/>
        <v>0.84491052986744819</v>
      </c>
    </row>
    <row r="1039" spans="1:8" ht="15" customHeight="1" x14ac:dyDescent="0.25">
      <c r="A1039" s="5">
        <v>1033</v>
      </c>
      <c r="B1039" s="10" t="s">
        <v>2098</v>
      </c>
      <c r="C1039" s="10" t="s">
        <v>2099</v>
      </c>
      <c r="D1039" s="7">
        <v>2139.67</v>
      </c>
      <c r="E1039" s="5">
        <v>1683</v>
      </c>
      <c r="F1039" s="5">
        <v>152</v>
      </c>
      <c r="G1039" s="12">
        <f>SUM($D$7:D1039)</f>
        <v>9014533.7600000054</v>
      </c>
      <c r="H1039" s="11">
        <f t="shared" si="16"/>
        <v>0.84511112359375307</v>
      </c>
    </row>
    <row r="1040" spans="1:8" ht="15" customHeight="1" x14ac:dyDescent="0.25">
      <c r="A1040" s="5">
        <v>1034</v>
      </c>
      <c r="B1040" s="10" t="s">
        <v>2100</v>
      </c>
      <c r="C1040" s="10" t="s">
        <v>2101</v>
      </c>
      <c r="D1040" s="7">
        <v>2136.34</v>
      </c>
      <c r="E1040" s="5">
        <v>5556</v>
      </c>
      <c r="F1040" s="5">
        <v>97</v>
      </c>
      <c r="G1040" s="12">
        <f>SUM($D$7:D1040)</f>
        <v>9016670.1000000052</v>
      </c>
      <c r="H1040" s="11">
        <f t="shared" si="16"/>
        <v>0.84531140513308123</v>
      </c>
    </row>
    <row r="1041" spans="1:8" ht="15" customHeight="1" x14ac:dyDescent="0.25">
      <c r="A1041" s="5">
        <v>1035</v>
      </c>
      <c r="B1041" s="10" t="s">
        <v>338</v>
      </c>
      <c r="C1041" s="10" t="s">
        <v>2102</v>
      </c>
      <c r="D1041" s="7">
        <v>2133.7199999999998</v>
      </c>
      <c r="E1041" s="5">
        <v>1371</v>
      </c>
      <c r="F1041" s="5">
        <v>125</v>
      </c>
      <c r="G1041" s="12">
        <f>SUM($D$7:D1041)</f>
        <v>9018803.8200000059</v>
      </c>
      <c r="H1041" s="11">
        <f t="shared" si="16"/>
        <v>0.84551144104782106</v>
      </c>
    </row>
    <row r="1042" spans="1:8" ht="15" customHeight="1" x14ac:dyDescent="0.25">
      <c r="A1042" s="5">
        <v>1036</v>
      </c>
      <c r="B1042" s="10" t="s">
        <v>2103</v>
      </c>
      <c r="C1042" s="10" t="s">
        <v>2104</v>
      </c>
      <c r="D1042" s="7">
        <v>2132.44</v>
      </c>
      <c r="E1042" s="5">
        <v>211</v>
      </c>
      <c r="F1042" s="5">
        <v>86</v>
      </c>
      <c r="G1042" s="12">
        <f>SUM($D$7:D1042)</f>
        <v>9020936.2600000054</v>
      </c>
      <c r="H1042" s="11">
        <f t="shared" si="16"/>
        <v>0.84571135696276201</v>
      </c>
    </row>
    <row r="1043" spans="1:8" ht="15" customHeight="1" x14ac:dyDescent="0.25">
      <c r="A1043" s="5">
        <v>1037</v>
      </c>
      <c r="B1043" s="10" t="s">
        <v>2105</v>
      </c>
      <c r="C1043" s="10" t="s">
        <v>2106</v>
      </c>
      <c r="D1043" s="7">
        <v>2127.5300000000002</v>
      </c>
      <c r="E1043" s="5">
        <v>1762</v>
      </c>
      <c r="F1043" s="5">
        <v>76</v>
      </c>
      <c r="G1043" s="12">
        <f>SUM($D$7:D1043)</f>
        <v>9023063.7900000047</v>
      </c>
      <c r="H1043" s="11">
        <f t="shared" si="16"/>
        <v>0.84591081256597433</v>
      </c>
    </row>
    <row r="1044" spans="1:8" ht="15" customHeight="1" x14ac:dyDescent="0.25">
      <c r="A1044" s="5">
        <v>1038</v>
      </c>
      <c r="B1044" s="10" t="s">
        <v>2107</v>
      </c>
      <c r="C1044" s="10" t="s">
        <v>2108</v>
      </c>
      <c r="D1044" s="7">
        <v>2126.39</v>
      </c>
      <c r="E1044" s="5">
        <v>717</v>
      </c>
      <c r="F1044" s="5">
        <v>134</v>
      </c>
      <c r="G1044" s="12">
        <f>SUM($D$7:D1044)</f>
        <v>9025190.1800000053</v>
      </c>
      <c r="H1044" s="11">
        <f t="shared" si="16"/>
        <v>0.84611016129436589</v>
      </c>
    </row>
    <row r="1045" spans="1:8" ht="15" customHeight="1" x14ac:dyDescent="0.25">
      <c r="A1045" s="5">
        <v>1039</v>
      </c>
      <c r="B1045" s="10" t="s">
        <v>2109</v>
      </c>
      <c r="C1045" s="10" t="s">
        <v>2110</v>
      </c>
      <c r="D1045" s="7">
        <v>2125.1799999999998</v>
      </c>
      <c r="E1045" s="5">
        <v>424</v>
      </c>
      <c r="F1045" s="5">
        <v>168</v>
      </c>
      <c r="G1045" s="12">
        <f>SUM($D$7:D1045)</f>
        <v>9027315.360000005</v>
      </c>
      <c r="H1045" s="11">
        <f t="shared" si="16"/>
        <v>0.84630939658544757</v>
      </c>
    </row>
    <row r="1046" spans="1:8" ht="15" customHeight="1" x14ac:dyDescent="0.25">
      <c r="A1046" s="5">
        <v>1040</v>
      </c>
      <c r="B1046" s="10" t="s">
        <v>2111</v>
      </c>
      <c r="C1046" s="10" t="s">
        <v>2112</v>
      </c>
      <c r="D1046" s="7">
        <v>2124.15</v>
      </c>
      <c r="E1046" s="5">
        <v>424</v>
      </c>
      <c r="F1046" s="5">
        <v>82</v>
      </c>
      <c r="G1046" s="12">
        <f>SUM($D$7:D1046)</f>
        <v>9029439.5100000054</v>
      </c>
      <c r="H1046" s="11">
        <f t="shared" si="16"/>
        <v>0.84650853531419101</v>
      </c>
    </row>
    <row r="1047" spans="1:8" ht="15" customHeight="1" x14ac:dyDescent="0.25">
      <c r="A1047" s="5">
        <v>1041</v>
      </c>
      <c r="B1047" s="10" t="s">
        <v>2113</v>
      </c>
      <c r="C1047" s="10" t="s">
        <v>2114</v>
      </c>
      <c r="D1047" s="7">
        <v>2121.9899999999998</v>
      </c>
      <c r="E1047" s="5">
        <v>334</v>
      </c>
      <c r="F1047" s="5">
        <v>150</v>
      </c>
      <c r="G1047" s="12">
        <f>SUM($D$7:D1047)</f>
        <v>9031561.5000000056</v>
      </c>
      <c r="H1047" s="11">
        <f t="shared" si="16"/>
        <v>0.84670747154327397</v>
      </c>
    </row>
    <row r="1048" spans="1:8" ht="15" customHeight="1" x14ac:dyDescent="0.25">
      <c r="A1048" s="5">
        <v>1042</v>
      </c>
      <c r="B1048" s="10" t="s">
        <v>2115</v>
      </c>
      <c r="C1048" s="10" t="s">
        <v>2116</v>
      </c>
      <c r="D1048" s="7">
        <v>2121.7600000000002</v>
      </c>
      <c r="E1048" s="5">
        <v>6687</v>
      </c>
      <c r="F1048" s="5">
        <v>297</v>
      </c>
      <c r="G1048" s="12">
        <f>SUM($D$7:D1048)</f>
        <v>9033683.2600000054</v>
      </c>
      <c r="H1048" s="11">
        <f t="shared" si="16"/>
        <v>0.84690638620989289</v>
      </c>
    </row>
    <row r="1049" spans="1:8" ht="15" customHeight="1" x14ac:dyDescent="0.25">
      <c r="A1049" s="5">
        <v>1043</v>
      </c>
      <c r="B1049" s="10" t="s">
        <v>2117</v>
      </c>
      <c r="C1049" s="10" t="s">
        <v>2118</v>
      </c>
      <c r="D1049" s="7">
        <v>2114.83</v>
      </c>
      <c r="E1049" s="5">
        <v>2198</v>
      </c>
      <c r="F1049" s="5">
        <v>256</v>
      </c>
      <c r="G1049" s="12">
        <f>SUM($D$7:D1049)</f>
        <v>9035798.0900000054</v>
      </c>
      <c r="H1049" s="11">
        <f t="shared" si="16"/>
        <v>0.84710465119010081</v>
      </c>
    </row>
    <row r="1050" spans="1:8" ht="15" customHeight="1" x14ac:dyDescent="0.25">
      <c r="A1050" s="5">
        <v>1044</v>
      </c>
      <c r="B1050" s="10" t="s">
        <v>2119</v>
      </c>
      <c r="C1050" s="10" t="s">
        <v>2120</v>
      </c>
      <c r="D1050" s="7">
        <v>2114.64</v>
      </c>
      <c r="E1050" s="5">
        <v>1494</v>
      </c>
      <c r="F1050" s="5">
        <v>229</v>
      </c>
      <c r="G1050" s="12">
        <f>SUM($D$7:D1050)</f>
        <v>9037912.730000006</v>
      </c>
      <c r="H1050" s="11">
        <f t="shared" si="16"/>
        <v>0.84730289835783867</v>
      </c>
    </row>
    <row r="1051" spans="1:8" ht="15" customHeight="1" x14ac:dyDescent="0.25">
      <c r="A1051" s="5">
        <v>1045</v>
      </c>
      <c r="B1051" s="10" t="s">
        <v>2121</v>
      </c>
      <c r="C1051" s="10" t="s">
        <v>2122</v>
      </c>
      <c r="D1051" s="7">
        <v>2111.4899999999998</v>
      </c>
      <c r="E1051" s="5">
        <v>349</v>
      </c>
      <c r="F1051" s="5">
        <v>36</v>
      </c>
      <c r="G1051" s="12">
        <f>SUM($D$7:D1051)</f>
        <v>9040024.2200000063</v>
      </c>
      <c r="H1051" s="11">
        <f t="shared" si="16"/>
        <v>0.84750085021357136</v>
      </c>
    </row>
    <row r="1052" spans="1:8" ht="15" customHeight="1" x14ac:dyDescent="0.25">
      <c r="A1052" s="5">
        <v>1046</v>
      </c>
      <c r="B1052" s="10" t="s">
        <v>2123</v>
      </c>
      <c r="C1052" s="10" t="s">
        <v>2124</v>
      </c>
      <c r="D1052" s="7">
        <v>2108.7199999999998</v>
      </c>
      <c r="E1052" s="5">
        <v>1003</v>
      </c>
      <c r="F1052" s="5">
        <v>198</v>
      </c>
      <c r="G1052" s="12">
        <f>SUM($D$7:D1052)</f>
        <v>9042132.9400000069</v>
      </c>
      <c r="H1052" s="11">
        <f t="shared" si="16"/>
        <v>0.8476985423822393</v>
      </c>
    </row>
    <row r="1053" spans="1:8" ht="15" customHeight="1" x14ac:dyDescent="0.25">
      <c r="A1053" s="5">
        <v>1047</v>
      </c>
      <c r="B1053" s="10" t="s">
        <v>2125</v>
      </c>
      <c r="C1053" s="10" t="s">
        <v>2126</v>
      </c>
      <c r="D1053" s="7">
        <v>2107.42</v>
      </c>
      <c r="E1053" s="5">
        <v>1727</v>
      </c>
      <c r="F1053" s="5">
        <v>103</v>
      </c>
      <c r="G1053" s="12">
        <f>SUM($D$7:D1053)</f>
        <v>9044240.3600000069</v>
      </c>
      <c r="H1053" s="11">
        <f t="shared" si="16"/>
        <v>0.84789611267611154</v>
      </c>
    </row>
    <row r="1054" spans="1:8" ht="15" customHeight="1" x14ac:dyDescent="0.25">
      <c r="A1054" s="5">
        <v>1048</v>
      </c>
      <c r="B1054" s="10" t="s">
        <v>2127</v>
      </c>
      <c r="C1054" s="10" t="s">
        <v>2128</v>
      </c>
      <c r="D1054" s="7">
        <v>2105.5</v>
      </c>
      <c r="E1054" s="5">
        <v>5175</v>
      </c>
      <c r="F1054" s="5">
        <v>158</v>
      </c>
      <c r="G1054" s="12">
        <f>SUM($D$7:D1054)</f>
        <v>9046345.8600000069</v>
      </c>
      <c r="H1054" s="11">
        <f t="shared" si="16"/>
        <v>0.84809350297028541</v>
      </c>
    </row>
    <row r="1055" spans="1:8" ht="15" customHeight="1" x14ac:dyDescent="0.25">
      <c r="A1055" s="5">
        <v>1049</v>
      </c>
      <c r="B1055" s="10" t="s">
        <v>2129</v>
      </c>
      <c r="C1055" s="10" t="s">
        <v>2130</v>
      </c>
      <c r="D1055" s="7">
        <v>2101.0100000000002</v>
      </c>
      <c r="E1055" s="5">
        <v>4958</v>
      </c>
      <c r="F1055" s="5">
        <v>323</v>
      </c>
      <c r="G1055" s="12">
        <f>SUM($D$7:D1055)</f>
        <v>9048446.8700000066</v>
      </c>
      <c r="H1055" s="11">
        <f t="shared" si="16"/>
        <v>0.84829047232766475</v>
      </c>
    </row>
    <row r="1056" spans="1:8" ht="15" customHeight="1" x14ac:dyDescent="0.25">
      <c r="A1056" s="5">
        <v>1050</v>
      </c>
      <c r="B1056" s="10" t="s">
        <v>2131</v>
      </c>
      <c r="C1056" s="10" t="s">
        <v>2132</v>
      </c>
      <c r="D1056" s="7">
        <v>2099.9699999999998</v>
      </c>
      <c r="E1056" s="5">
        <v>4813</v>
      </c>
      <c r="F1056" s="5">
        <v>408</v>
      </c>
      <c r="G1056" s="12">
        <f>SUM($D$7:D1056)</f>
        <v>9050546.8400000073</v>
      </c>
      <c r="H1056" s="11">
        <f t="shared" si="16"/>
        <v>0.84848734418520755</v>
      </c>
    </row>
    <row r="1057" spans="1:8" ht="15" customHeight="1" x14ac:dyDescent="0.25">
      <c r="A1057" s="5">
        <v>1051</v>
      </c>
      <c r="B1057" s="10" t="s">
        <v>2133</v>
      </c>
      <c r="C1057" s="10" t="s">
        <v>2134</v>
      </c>
      <c r="D1057" s="7">
        <v>2095.65</v>
      </c>
      <c r="E1057" s="5">
        <v>558</v>
      </c>
      <c r="F1057" s="5">
        <v>159</v>
      </c>
      <c r="G1057" s="12">
        <f>SUM($D$7:D1057)</f>
        <v>9052642.4900000077</v>
      </c>
      <c r="H1057" s="11">
        <f t="shared" si="16"/>
        <v>0.84868381104342916</v>
      </c>
    </row>
    <row r="1058" spans="1:8" ht="15" customHeight="1" x14ac:dyDescent="0.25">
      <c r="A1058" s="5">
        <v>1052</v>
      </c>
      <c r="B1058" s="10" t="s">
        <v>2135</v>
      </c>
      <c r="C1058" s="10" t="s">
        <v>2136</v>
      </c>
      <c r="D1058" s="7">
        <v>2095.08</v>
      </c>
      <c r="E1058" s="5">
        <v>1583</v>
      </c>
      <c r="F1058" s="5">
        <v>197</v>
      </c>
      <c r="G1058" s="12">
        <f>SUM($D$7:D1058)</f>
        <v>9054737.5700000077</v>
      </c>
      <c r="H1058" s="11">
        <f t="shared" si="16"/>
        <v>0.84888022446424027</v>
      </c>
    </row>
    <row r="1059" spans="1:8" ht="15" customHeight="1" x14ac:dyDescent="0.25">
      <c r="A1059" s="5">
        <v>1053</v>
      </c>
      <c r="B1059" s="10" t="s">
        <v>2137</v>
      </c>
      <c r="C1059" s="10" t="s">
        <v>2138</v>
      </c>
      <c r="D1059" s="7">
        <v>2094.2399999999998</v>
      </c>
      <c r="E1059" s="5">
        <v>213</v>
      </c>
      <c r="F1059" s="5">
        <v>86</v>
      </c>
      <c r="G1059" s="12">
        <f>SUM($D$7:D1059)</f>
        <v>9056831.810000008</v>
      </c>
      <c r="H1059" s="11">
        <f t="shared" si="16"/>
        <v>0.84907655913518332</v>
      </c>
    </row>
    <row r="1060" spans="1:8" ht="15" customHeight="1" x14ac:dyDescent="0.25">
      <c r="A1060" s="5">
        <v>1054</v>
      </c>
      <c r="B1060" s="10" t="s">
        <v>2139</v>
      </c>
      <c r="C1060" s="10" t="s">
        <v>2140</v>
      </c>
      <c r="D1060" s="7">
        <v>2094.2399999999998</v>
      </c>
      <c r="E1060" s="5">
        <v>1790</v>
      </c>
      <c r="F1060" s="5">
        <v>173</v>
      </c>
      <c r="G1060" s="12">
        <f>SUM($D$7:D1060)</f>
        <v>9058926.0500000082</v>
      </c>
      <c r="H1060" s="11">
        <f t="shared" si="16"/>
        <v>0.84927289380612647</v>
      </c>
    </row>
    <row r="1061" spans="1:8" ht="15" customHeight="1" x14ac:dyDescent="0.25">
      <c r="A1061" s="5">
        <v>1055</v>
      </c>
      <c r="B1061" s="10" t="s">
        <v>2141</v>
      </c>
      <c r="C1061" s="10" t="s">
        <v>2142</v>
      </c>
      <c r="D1061" s="7">
        <v>2092</v>
      </c>
      <c r="E1061" s="5">
        <v>1701</v>
      </c>
      <c r="F1061" s="5">
        <v>119</v>
      </c>
      <c r="G1061" s="12">
        <f>SUM($D$7:D1061)</f>
        <v>9061018.0500000082</v>
      </c>
      <c r="H1061" s="11">
        <f t="shared" si="16"/>
        <v>0.84946901847742151</v>
      </c>
    </row>
    <row r="1062" spans="1:8" ht="15" customHeight="1" x14ac:dyDescent="0.25">
      <c r="A1062" s="5">
        <v>1056</v>
      </c>
      <c r="B1062" s="10" t="s">
        <v>2143</v>
      </c>
      <c r="C1062" s="10" t="s">
        <v>2144</v>
      </c>
      <c r="D1062" s="7">
        <v>2091.54</v>
      </c>
      <c r="E1062" s="5">
        <v>870</v>
      </c>
      <c r="F1062" s="5">
        <v>172</v>
      </c>
      <c r="G1062" s="12">
        <f>SUM($D$7:D1062)</f>
        <v>9063109.5900000073</v>
      </c>
      <c r="H1062" s="11">
        <f t="shared" si="16"/>
        <v>0.84966510002378881</v>
      </c>
    </row>
    <row r="1063" spans="1:8" ht="15" customHeight="1" x14ac:dyDescent="0.25">
      <c r="A1063" s="5">
        <v>1057</v>
      </c>
      <c r="B1063" s="10" t="s">
        <v>2145</v>
      </c>
      <c r="C1063" s="10" t="s">
        <v>2146</v>
      </c>
      <c r="D1063" s="7">
        <v>2089.64</v>
      </c>
      <c r="E1063" s="5">
        <v>764</v>
      </c>
      <c r="F1063" s="5">
        <v>76</v>
      </c>
      <c r="G1063" s="12">
        <f>SUM($D$7:D1063)</f>
        <v>9065199.2300000079</v>
      </c>
      <c r="H1063" s="11">
        <f t="shared" si="16"/>
        <v>0.84986100344545468</v>
      </c>
    </row>
    <row r="1064" spans="1:8" ht="15" customHeight="1" x14ac:dyDescent="0.25">
      <c r="A1064" s="5">
        <v>1058</v>
      </c>
      <c r="B1064" s="10" t="s">
        <v>2147</v>
      </c>
      <c r="C1064" s="10" t="s">
        <v>2148</v>
      </c>
      <c r="D1064" s="7">
        <v>2087.34</v>
      </c>
      <c r="E1064" s="5">
        <v>2265</v>
      </c>
      <c r="F1064" s="5">
        <v>198</v>
      </c>
      <c r="G1064" s="12">
        <f>SUM($D$7:D1064)</f>
        <v>9067286.5700000077</v>
      </c>
      <c r="H1064" s="11">
        <f t="shared" si="16"/>
        <v>0.85005669124248195</v>
      </c>
    </row>
    <row r="1065" spans="1:8" ht="15" customHeight="1" x14ac:dyDescent="0.25">
      <c r="A1065" s="5">
        <v>1059</v>
      </c>
      <c r="B1065" s="10" t="s">
        <v>2149</v>
      </c>
      <c r="C1065" s="10" t="s">
        <v>2150</v>
      </c>
      <c r="D1065" s="7">
        <v>2087.15</v>
      </c>
      <c r="E1065" s="5">
        <v>957</v>
      </c>
      <c r="F1065" s="5">
        <v>227</v>
      </c>
      <c r="G1065" s="12">
        <f>SUM($D$7:D1065)</f>
        <v>9069373.7200000081</v>
      </c>
      <c r="H1065" s="11">
        <f t="shared" si="16"/>
        <v>0.85025236122703907</v>
      </c>
    </row>
    <row r="1066" spans="1:8" ht="15" customHeight="1" x14ac:dyDescent="0.25">
      <c r="A1066" s="5">
        <v>1060</v>
      </c>
      <c r="B1066" s="10" t="s">
        <v>2151</v>
      </c>
      <c r="C1066" s="10" t="s">
        <v>2152</v>
      </c>
      <c r="D1066" s="7">
        <v>2086.4899999999998</v>
      </c>
      <c r="E1066" s="5">
        <v>1377</v>
      </c>
      <c r="F1066" s="5">
        <v>220</v>
      </c>
      <c r="G1066" s="12">
        <f>SUM($D$7:D1066)</f>
        <v>9071460.2100000083</v>
      </c>
      <c r="H1066" s="11">
        <f t="shared" si="16"/>
        <v>0.85044796933669986</v>
      </c>
    </row>
    <row r="1067" spans="1:8" ht="15" customHeight="1" x14ac:dyDescent="0.25">
      <c r="A1067" s="5">
        <v>1061</v>
      </c>
      <c r="B1067" s="10" t="s">
        <v>1321</v>
      </c>
      <c r="C1067" s="10" t="s">
        <v>2153</v>
      </c>
      <c r="D1067" s="7">
        <v>2081.64</v>
      </c>
      <c r="E1067" s="5">
        <v>408</v>
      </c>
      <c r="F1067" s="5">
        <v>29</v>
      </c>
      <c r="G1067" s="12">
        <f>SUM($D$7:D1067)</f>
        <v>9073541.8500000089</v>
      </c>
      <c r="H1067" s="11">
        <f t="shared" si="16"/>
        <v>0.85064312275962284</v>
      </c>
    </row>
    <row r="1068" spans="1:8" ht="15" customHeight="1" x14ac:dyDescent="0.25">
      <c r="A1068" s="5">
        <v>1062</v>
      </c>
      <c r="B1068" s="10" t="s">
        <v>2154</v>
      </c>
      <c r="C1068" s="10" t="s">
        <v>2155</v>
      </c>
      <c r="D1068" s="7">
        <v>2079.85</v>
      </c>
      <c r="E1068" s="5">
        <v>1065</v>
      </c>
      <c r="F1068" s="5">
        <v>107</v>
      </c>
      <c r="G1068" s="12">
        <f>SUM($D$7:D1068)</f>
        <v>9075621.7000000086</v>
      </c>
      <c r="H1068" s="11">
        <f t="shared" si="16"/>
        <v>0.85083810837032692</v>
      </c>
    </row>
    <row r="1069" spans="1:8" ht="15" customHeight="1" x14ac:dyDescent="0.25">
      <c r="A1069" s="5">
        <v>1063</v>
      </c>
      <c r="B1069" s="10" t="s">
        <v>2156</v>
      </c>
      <c r="C1069" s="10" t="s">
        <v>2157</v>
      </c>
      <c r="D1069" s="7">
        <v>2076.63</v>
      </c>
      <c r="E1069" s="5">
        <v>721</v>
      </c>
      <c r="F1069" s="5">
        <v>110</v>
      </c>
      <c r="G1069" s="12">
        <f>SUM($D$7:D1069)</f>
        <v>9077698.3300000094</v>
      </c>
      <c r="H1069" s="11">
        <f t="shared" si="16"/>
        <v>0.85103279210653704</v>
      </c>
    </row>
    <row r="1070" spans="1:8" ht="15" customHeight="1" x14ac:dyDescent="0.25">
      <c r="A1070" s="5">
        <v>1064</v>
      </c>
      <c r="B1070" s="10" t="s">
        <v>2158</v>
      </c>
      <c r="C1070" s="10" t="s">
        <v>2159</v>
      </c>
      <c r="D1070" s="7">
        <v>2076.6</v>
      </c>
      <c r="E1070" s="5">
        <v>1490</v>
      </c>
      <c r="F1070" s="5">
        <v>147</v>
      </c>
      <c r="G1070" s="12">
        <f>SUM($D$7:D1070)</f>
        <v>9079774.930000009</v>
      </c>
      <c r="H1070" s="11">
        <f t="shared" si="16"/>
        <v>0.8512274730302517</v>
      </c>
    </row>
    <row r="1071" spans="1:8" ht="15" customHeight="1" x14ac:dyDescent="0.25">
      <c r="A1071" s="5">
        <v>1065</v>
      </c>
      <c r="B1071" s="10" t="s">
        <v>2160</v>
      </c>
      <c r="C1071" s="10" t="s">
        <v>2161</v>
      </c>
      <c r="D1071" s="7">
        <v>2072.42</v>
      </c>
      <c r="E1071" s="5">
        <v>386</v>
      </c>
      <c r="F1071" s="5">
        <v>18</v>
      </c>
      <c r="G1071" s="12">
        <f>SUM($D$7:D1071)</f>
        <v>9081847.3500000089</v>
      </c>
      <c r="H1071" s="11">
        <f t="shared" si="16"/>
        <v>0.85142176207962328</v>
      </c>
    </row>
    <row r="1072" spans="1:8" ht="15" customHeight="1" x14ac:dyDescent="0.25">
      <c r="A1072" s="5">
        <v>1066</v>
      </c>
      <c r="B1072" s="10" t="s">
        <v>2162</v>
      </c>
      <c r="C1072" s="10" t="s">
        <v>2163</v>
      </c>
      <c r="D1072" s="7">
        <v>2070.9</v>
      </c>
      <c r="E1072" s="5">
        <v>706</v>
      </c>
      <c r="F1072" s="5">
        <v>121</v>
      </c>
      <c r="G1072" s="12">
        <f>SUM($D$7:D1072)</f>
        <v>9083918.2500000093</v>
      </c>
      <c r="H1072" s="11">
        <f t="shared" si="16"/>
        <v>0.85161590862923375</v>
      </c>
    </row>
    <row r="1073" spans="1:8" ht="15" customHeight="1" x14ac:dyDescent="0.25">
      <c r="A1073" s="5">
        <v>1067</v>
      </c>
      <c r="B1073" s="10" t="s">
        <v>2164</v>
      </c>
      <c r="C1073" s="10" t="s">
        <v>2165</v>
      </c>
      <c r="D1073" s="7">
        <v>2070.15</v>
      </c>
      <c r="E1073" s="5">
        <v>1048</v>
      </c>
      <c r="F1073" s="5">
        <v>134</v>
      </c>
      <c r="G1073" s="12">
        <f>SUM($D$7:D1073)</f>
        <v>9085988.4000000097</v>
      </c>
      <c r="H1073" s="11">
        <f t="shared" si="16"/>
        <v>0.85180998486646198</v>
      </c>
    </row>
    <row r="1074" spans="1:8" ht="15" customHeight="1" x14ac:dyDescent="0.25">
      <c r="A1074" s="5">
        <v>1068</v>
      </c>
      <c r="B1074" s="10" t="s">
        <v>2166</v>
      </c>
      <c r="C1074" s="10" t="s">
        <v>2167</v>
      </c>
      <c r="D1074" s="7">
        <v>2070.06</v>
      </c>
      <c r="E1074" s="5">
        <v>1642</v>
      </c>
      <c r="F1074" s="5">
        <v>117</v>
      </c>
      <c r="G1074" s="12">
        <f>SUM($D$7:D1074)</f>
        <v>9088058.4600000102</v>
      </c>
      <c r="H1074" s="11">
        <f t="shared" si="16"/>
        <v>0.85200405266620438</v>
      </c>
    </row>
    <row r="1075" spans="1:8" ht="15" customHeight="1" x14ac:dyDescent="0.25">
      <c r="A1075" s="5">
        <v>1069</v>
      </c>
      <c r="B1075" s="10" t="s">
        <v>2168</v>
      </c>
      <c r="C1075" s="10" t="s">
        <v>2169</v>
      </c>
      <c r="D1075" s="7">
        <v>2066.8200000000002</v>
      </c>
      <c r="E1075" s="5">
        <v>690</v>
      </c>
      <c r="F1075" s="5">
        <v>65</v>
      </c>
      <c r="G1075" s="12">
        <f>SUM($D$7:D1075)</f>
        <v>9090125.2800000105</v>
      </c>
      <c r="H1075" s="11">
        <f t="shared" si="16"/>
        <v>0.85219781671645589</v>
      </c>
    </row>
    <row r="1076" spans="1:8" ht="15" customHeight="1" x14ac:dyDescent="0.25">
      <c r="A1076" s="5">
        <v>1070</v>
      </c>
      <c r="B1076" s="10" t="s">
        <v>2170</v>
      </c>
      <c r="C1076" s="10" t="s">
        <v>2171</v>
      </c>
      <c r="D1076" s="7">
        <v>2065.14</v>
      </c>
      <c r="E1076" s="5">
        <v>169</v>
      </c>
      <c r="F1076" s="5">
        <v>73</v>
      </c>
      <c r="G1076" s="12">
        <f>SUM($D$7:D1076)</f>
        <v>9092190.4200000111</v>
      </c>
      <c r="H1076" s="11">
        <f t="shared" si="16"/>
        <v>0.85239142326697137</v>
      </c>
    </row>
    <row r="1077" spans="1:8" ht="15" customHeight="1" x14ac:dyDescent="0.25">
      <c r="A1077" s="5">
        <v>1071</v>
      </c>
      <c r="B1077" s="10" t="s">
        <v>2172</v>
      </c>
      <c r="C1077" s="10" t="s">
        <v>2173</v>
      </c>
      <c r="D1077" s="7">
        <v>2060.2800000000002</v>
      </c>
      <c r="E1077" s="5">
        <v>1635</v>
      </c>
      <c r="F1077" s="5">
        <v>195</v>
      </c>
      <c r="G1077" s="12">
        <f>SUM($D$7:D1077)</f>
        <v>9094250.7000000104</v>
      </c>
      <c r="H1077" s="11">
        <f t="shared" si="16"/>
        <v>0.85258457419325029</v>
      </c>
    </row>
    <row r="1078" spans="1:8" ht="15" customHeight="1" x14ac:dyDescent="0.25">
      <c r="A1078" s="5">
        <v>1072</v>
      </c>
      <c r="B1078" s="10" t="s">
        <v>2174</v>
      </c>
      <c r="C1078" s="10" t="s">
        <v>2175</v>
      </c>
      <c r="D1078" s="7">
        <v>2055.27</v>
      </c>
      <c r="E1078" s="5">
        <v>548</v>
      </c>
      <c r="F1078" s="5">
        <v>101</v>
      </c>
      <c r="G1078" s="12">
        <f>SUM($D$7:D1078)</f>
        <v>9096305.97000001</v>
      </c>
      <c r="H1078" s="11">
        <f t="shared" si="16"/>
        <v>0.85277725543281657</v>
      </c>
    </row>
    <row r="1079" spans="1:8" ht="15" customHeight="1" x14ac:dyDescent="0.25">
      <c r="A1079" s="5">
        <v>1073</v>
      </c>
      <c r="B1079" s="10" t="s">
        <v>2176</v>
      </c>
      <c r="C1079" s="10" t="s">
        <v>2177</v>
      </c>
      <c r="D1079" s="7">
        <v>2053.17</v>
      </c>
      <c r="E1079" s="5">
        <v>1438</v>
      </c>
      <c r="F1079" s="5">
        <v>69</v>
      </c>
      <c r="G1079" s="12">
        <f>SUM($D$7:D1079)</f>
        <v>9098359.1400000099</v>
      </c>
      <c r="H1079" s="11">
        <f t="shared" si="16"/>
        <v>0.85296973979771273</v>
      </c>
    </row>
    <row r="1080" spans="1:8" ht="15" customHeight="1" x14ac:dyDescent="0.25">
      <c r="A1080" s="5">
        <v>1074</v>
      </c>
      <c r="B1080" s="10" t="s">
        <v>2178</v>
      </c>
      <c r="C1080" s="10" t="s">
        <v>2179</v>
      </c>
      <c r="D1080" s="7">
        <v>2049.4499999999998</v>
      </c>
      <c r="E1080" s="5">
        <v>2019</v>
      </c>
      <c r="F1080" s="5">
        <v>212</v>
      </c>
      <c r="G1080" s="12">
        <f>SUM($D$7:D1080)</f>
        <v>9100408.5900000092</v>
      </c>
      <c r="H1080" s="11">
        <f t="shared" si="16"/>
        <v>0.85316187541319333</v>
      </c>
    </row>
    <row r="1081" spans="1:8" ht="15" customHeight="1" x14ac:dyDescent="0.25">
      <c r="A1081" s="5">
        <v>1075</v>
      </c>
      <c r="B1081" s="10" t="s">
        <v>2180</v>
      </c>
      <c r="C1081" s="10" t="s">
        <v>2181</v>
      </c>
      <c r="D1081" s="7">
        <v>2044.58</v>
      </c>
      <c r="E1081" s="5">
        <v>1631</v>
      </c>
      <c r="F1081" s="5">
        <v>98</v>
      </c>
      <c r="G1081" s="12">
        <f>SUM($D$7:D1081)</f>
        <v>9102453.1700000092</v>
      </c>
      <c r="H1081" s="11">
        <f t="shared" si="16"/>
        <v>0.85335355446693928</v>
      </c>
    </row>
    <row r="1082" spans="1:8" ht="15" customHeight="1" x14ac:dyDescent="0.25">
      <c r="A1082" s="5">
        <v>1076</v>
      </c>
      <c r="B1082" s="10" t="s">
        <v>2182</v>
      </c>
      <c r="C1082" s="10" t="s">
        <v>2183</v>
      </c>
      <c r="D1082" s="7">
        <v>2043.79</v>
      </c>
      <c r="E1082" s="5">
        <v>829</v>
      </c>
      <c r="F1082" s="5">
        <v>184</v>
      </c>
      <c r="G1082" s="12">
        <f>SUM($D$7:D1082)</f>
        <v>9104496.9600000083</v>
      </c>
      <c r="H1082" s="11">
        <f t="shared" si="16"/>
        <v>0.85354515945830922</v>
      </c>
    </row>
    <row r="1083" spans="1:8" ht="15" customHeight="1" x14ac:dyDescent="0.25">
      <c r="A1083" s="5">
        <v>1077</v>
      </c>
      <c r="B1083" s="10" t="s">
        <v>2184</v>
      </c>
      <c r="C1083" s="10" t="s">
        <v>2185</v>
      </c>
      <c r="D1083" s="7">
        <v>2038.39</v>
      </c>
      <c r="E1083" s="5">
        <v>279</v>
      </c>
      <c r="F1083" s="5">
        <v>95</v>
      </c>
      <c r="G1083" s="12">
        <f>SUM($D$7:D1083)</f>
        <v>9106535.3500000089</v>
      </c>
      <c r="H1083" s="11">
        <f t="shared" si="16"/>
        <v>0.85373625820052779</v>
      </c>
    </row>
    <row r="1084" spans="1:8" ht="15" customHeight="1" x14ac:dyDescent="0.25">
      <c r="A1084" s="5">
        <v>1078</v>
      </c>
      <c r="B1084" s="10" t="s">
        <v>2186</v>
      </c>
      <c r="C1084" s="10" t="s">
        <v>2187</v>
      </c>
      <c r="D1084" s="7">
        <v>2038.09</v>
      </c>
      <c r="E1084" s="5">
        <v>54</v>
      </c>
      <c r="F1084" s="5">
        <v>31</v>
      </c>
      <c r="G1084" s="12">
        <f>SUM($D$7:D1084)</f>
        <v>9108573.4400000088</v>
      </c>
      <c r="H1084" s="11">
        <f t="shared" si="16"/>
        <v>0.85392732881779343</v>
      </c>
    </row>
    <row r="1085" spans="1:8" ht="15" customHeight="1" x14ac:dyDescent="0.25">
      <c r="A1085" s="5">
        <v>1079</v>
      </c>
      <c r="B1085" s="10" t="s">
        <v>2188</v>
      </c>
      <c r="C1085" s="10" t="s">
        <v>2189</v>
      </c>
      <c r="D1085" s="7">
        <v>2032.48</v>
      </c>
      <c r="E1085" s="5">
        <v>1576</v>
      </c>
      <c r="F1085" s="5">
        <v>205</v>
      </c>
      <c r="G1085" s="12">
        <f>SUM($D$7:D1085)</f>
        <v>9110605.9200000092</v>
      </c>
      <c r="H1085" s="11">
        <f t="shared" si="16"/>
        <v>0.85411787349844059</v>
      </c>
    </row>
    <row r="1086" spans="1:8" ht="15" customHeight="1" x14ac:dyDescent="0.25">
      <c r="A1086" s="5">
        <v>1080</v>
      </c>
      <c r="B1086" s="10" t="s">
        <v>2190</v>
      </c>
      <c r="C1086" s="10" t="s">
        <v>2191</v>
      </c>
      <c r="D1086" s="7">
        <v>2028.23</v>
      </c>
      <c r="E1086" s="5">
        <v>1221</v>
      </c>
      <c r="F1086" s="5">
        <v>155</v>
      </c>
      <c r="G1086" s="12">
        <f>SUM($D$7:D1086)</f>
        <v>9112634.1500000097</v>
      </c>
      <c r="H1086" s="11">
        <f t="shared" si="16"/>
        <v>0.85430801974225556</v>
      </c>
    </row>
    <row r="1087" spans="1:8" ht="15" customHeight="1" x14ac:dyDescent="0.25">
      <c r="A1087" s="5">
        <v>1081</v>
      </c>
      <c r="B1087" s="10" t="s">
        <v>2192</v>
      </c>
      <c r="C1087" s="10" t="s">
        <v>2193</v>
      </c>
      <c r="D1087" s="7">
        <v>2027.74</v>
      </c>
      <c r="E1087" s="5">
        <v>314</v>
      </c>
      <c r="F1087" s="5">
        <v>76</v>
      </c>
      <c r="G1087" s="12">
        <f>SUM($D$7:D1087)</f>
        <v>9114661.8900000099</v>
      </c>
      <c r="H1087" s="11">
        <f t="shared" si="16"/>
        <v>0.85449812004864745</v>
      </c>
    </row>
    <row r="1088" spans="1:8" ht="15" customHeight="1" x14ac:dyDescent="0.25">
      <c r="A1088" s="5">
        <v>1082</v>
      </c>
      <c r="B1088" s="10" t="s">
        <v>2194</v>
      </c>
      <c r="C1088" s="10" t="s">
        <v>2195</v>
      </c>
      <c r="D1088" s="7">
        <v>2025.96</v>
      </c>
      <c r="E1088" s="5">
        <v>220</v>
      </c>
      <c r="F1088" s="5">
        <v>60</v>
      </c>
      <c r="G1088" s="12">
        <f>SUM($D$7:D1088)</f>
        <v>9116687.8500000108</v>
      </c>
      <c r="H1088" s="11">
        <f t="shared" si="16"/>
        <v>0.85468805348031907</v>
      </c>
    </row>
    <row r="1089" spans="1:8" ht="15" customHeight="1" x14ac:dyDescent="0.25">
      <c r="A1089" s="5">
        <v>1083</v>
      </c>
      <c r="B1089" s="10" t="s">
        <v>2196</v>
      </c>
      <c r="C1089" s="10" t="s">
        <v>2197</v>
      </c>
      <c r="D1089" s="7">
        <v>2020.91</v>
      </c>
      <c r="E1089" s="5">
        <v>1549</v>
      </c>
      <c r="F1089" s="5">
        <v>228</v>
      </c>
      <c r="G1089" s="12">
        <f>SUM($D$7:D1089)</f>
        <v>9118708.760000011</v>
      </c>
      <c r="H1089" s="11">
        <f t="shared" si="16"/>
        <v>0.85487751347528418</v>
      </c>
    </row>
    <row r="1090" spans="1:8" ht="15" customHeight="1" x14ac:dyDescent="0.25">
      <c r="A1090" s="5">
        <v>1084</v>
      </c>
      <c r="B1090" s="10" t="s">
        <v>2198</v>
      </c>
      <c r="C1090" s="10" t="s">
        <v>2199</v>
      </c>
      <c r="D1090" s="7">
        <v>2019.59</v>
      </c>
      <c r="E1090" s="5">
        <v>1448</v>
      </c>
      <c r="F1090" s="5">
        <v>89</v>
      </c>
      <c r="G1090" s="12">
        <f>SUM($D$7:D1090)</f>
        <v>9120728.3500000108</v>
      </c>
      <c r="H1090" s="11">
        <f t="shared" si="16"/>
        <v>0.85506684972045655</v>
      </c>
    </row>
    <row r="1091" spans="1:8" ht="15" customHeight="1" x14ac:dyDescent="0.25">
      <c r="A1091" s="5">
        <v>1085</v>
      </c>
      <c r="B1091" s="10" t="s">
        <v>2200</v>
      </c>
      <c r="C1091" s="10" t="s">
        <v>2201</v>
      </c>
      <c r="D1091" s="7">
        <v>2018.78</v>
      </c>
      <c r="E1091" s="5">
        <v>3890</v>
      </c>
      <c r="F1091" s="5">
        <v>239</v>
      </c>
      <c r="G1091" s="12">
        <f>SUM($D$7:D1091)</f>
        <v>9122747.1300000101</v>
      </c>
      <c r="H1091" s="11">
        <f t="shared" si="16"/>
        <v>0.85525611002825619</v>
      </c>
    </row>
    <row r="1092" spans="1:8" ht="15" customHeight="1" x14ac:dyDescent="0.25">
      <c r="A1092" s="5">
        <v>1086</v>
      </c>
      <c r="B1092" s="10" t="s">
        <v>2202</v>
      </c>
      <c r="C1092" s="10" t="s">
        <v>2203</v>
      </c>
      <c r="D1092" s="7">
        <v>2016</v>
      </c>
      <c r="E1092" s="5">
        <v>1352</v>
      </c>
      <c r="F1092" s="5">
        <v>211</v>
      </c>
      <c r="G1092" s="12">
        <f>SUM($D$7:D1092)</f>
        <v>9124763.1300000101</v>
      </c>
      <c r="H1092" s="11">
        <f t="shared" si="16"/>
        <v>0.85544510971149279</v>
      </c>
    </row>
    <row r="1093" spans="1:8" ht="15" customHeight="1" x14ac:dyDescent="0.25">
      <c r="A1093" s="5">
        <v>1087</v>
      </c>
      <c r="B1093" s="10" t="s">
        <v>1080</v>
      </c>
      <c r="C1093" s="10" t="s">
        <v>2204</v>
      </c>
      <c r="D1093" s="7">
        <v>2015.97</v>
      </c>
      <c r="E1093" s="5">
        <v>269</v>
      </c>
      <c r="F1093" s="5">
        <v>20</v>
      </c>
      <c r="G1093" s="12">
        <f>SUM($D$7:D1093)</f>
        <v>9126779.1000000108</v>
      </c>
      <c r="H1093" s="11">
        <f t="shared" si="16"/>
        <v>0.85563410658223404</v>
      </c>
    </row>
    <row r="1094" spans="1:8" ht="15" customHeight="1" x14ac:dyDescent="0.25">
      <c r="A1094" s="5">
        <v>1088</v>
      </c>
      <c r="B1094" s="10" t="s">
        <v>2205</v>
      </c>
      <c r="C1094" s="10" t="s">
        <v>2206</v>
      </c>
      <c r="D1094" s="7">
        <v>2014.42</v>
      </c>
      <c r="E1094" s="5">
        <v>4901</v>
      </c>
      <c r="F1094" s="5">
        <v>142</v>
      </c>
      <c r="G1094" s="12">
        <f>SUM($D$7:D1094)</f>
        <v>9128793.5200000107</v>
      </c>
      <c r="H1094" s="11">
        <f t="shared" si="16"/>
        <v>0.85582295814071885</v>
      </c>
    </row>
    <row r="1095" spans="1:8" ht="15" customHeight="1" x14ac:dyDescent="0.25">
      <c r="A1095" s="5">
        <v>1089</v>
      </c>
      <c r="B1095" s="10" t="s">
        <v>2207</v>
      </c>
      <c r="C1095" s="10" t="s">
        <v>2208</v>
      </c>
      <c r="D1095" s="7">
        <v>2013.7</v>
      </c>
      <c r="E1095" s="5">
        <v>1622</v>
      </c>
      <c r="F1095" s="5">
        <v>191</v>
      </c>
      <c r="G1095" s="12">
        <f>SUM($D$7:D1095)</f>
        <v>9130807.22000001</v>
      </c>
      <c r="H1095" s="11">
        <f t="shared" ref="H1095:H1158" si="17">G1095/SUM($D$7:$D$4167)</f>
        <v>0.85601174219931675</v>
      </c>
    </row>
    <row r="1096" spans="1:8" ht="15" customHeight="1" x14ac:dyDescent="0.25">
      <c r="A1096" s="5">
        <v>1090</v>
      </c>
      <c r="B1096" s="10" t="s">
        <v>2209</v>
      </c>
      <c r="C1096" s="10" t="s">
        <v>2210</v>
      </c>
      <c r="D1096" s="7">
        <v>2012.97</v>
      </c>
      <c r="E1096" s="5">
        <v>1209</v>
      </c>
      <c r="F1096" s="5">
        <v>158</v>
      </c>
      <c r="G1096" s="12">
        <f>SUM($D$7:D1096)</f>
        <v>9132820.1900000107</v>
      </c>
      <c r="H1096" s="11">
        <f t="shared" si="17"/>
        <v>0.85620045782052934</v>
      </c>
    </row>
    <row r="1097" spans="1:8" ht="15" customHeight="1" x14ac:dyDescent="0.25">
      <c r="A1097" s="5">
        <v>1091</v>
      </c>
      <c r="B1097" s="10" t="s">
        <v>2211</v>
      </c>
      <c r="C1097" s="10" t="s">
        <v>2212</v>
      </c>
      <c r="D1097" s="7">
        <v>2012.34</v>
      </c>
      <c r="E1097" s="5">
        <v>386</v>
      </c>
      <c r="F1097" s="5">
        <v>104</v>
      </c>
      <c r="G1097" s="12">
        <f>SUM($D$7:D1097)</f>
        <v>9134832.5300000105</v>
      </c>
      <c r="H1097" s="11">
        <f t="shared" si="17"/>
        <v>0.85638911437934095</v>
      </c>
    </row>
    <row r="1098" spans="1:8" ht="15" customHeight="1" x14ac:dyDescent="0.25">
      <c r="A1098" s="5">
        <v>1092</v>
      </c>
      <c r="B1098" s="10" t="s">
        <v>2213</v>
      </c>
      <c r="C1098" s="10" t="s">
        <v>2214</v>
      </c>
      <c r="D1098" s="7">
        <v>2012.13</v>
      </c>
      <c r="E1098" s="5">
        <v>595</v>
      </c>
      <c r="F1098" s="5">
        <v>89</v>
      </c>
      <c r="G1098" s="12">
        <f>SUM($D$7:D1098)</f>
        <v>9136844.6600000113</v>
      </c>
      <c r="H1098" s="11">
        <f t="shared" si="17"/>
        <v>0.85657775125068569</v>
      </c>
    </row>
    <row r="1099" spans="1:8" ht="15" customHeight="1" x14ac:dyDescent="0.25">
      <c r="A1099" s="5">
        <v>1093</v>
      </c>
      <c r="B1099" s="10" t="s">
        <v>2215</v>
      </c>
      <c r="C1099" s="10" t="s">
        <v>2216</v>
      </c>
      <c r="D1099" s="7">
        <v>2010.17</v>
      </c>
      <c r="E1099" s="5">
        <v>619</v>
      </c>
      <c r="F1099" s="5">
        <v>164</v>
      </c>
      <c r="G1099" s="12">
        <f>SUM($D$7:D1099)</f>
        <v>9138854.8300000113</v>
      </c>
      <c r="H1099" s="11">
        <f t="shared" si="17"/>
        <v>0.85676620437233819</v>
      </c>
    </row>
    <row r="1100" spans="1:8" ht="15" customHeight="1" x14ac:dyDescent="0.25">
      <c r="A1100" s="5">
        <v>1094</v>
      </c>
      <c r="B1100" s="10" t="s">
        <v>2217</v>
      </c>
      <c r="C1100" s="10" t="s">
        <v>2218</v>
      </c>
      <c r="D1100" s="7">
        <v>2010.12</v>
      </c>
      <c r="E1100" s="5">
        <v>99</v>
      </c>
      <c r="F1100" s="5">
        <v>34</v>
      </c>
      <c r="G1100" s="12">
        <f>SUM($D$7:D1100)</f>
        <v>9140864.9500000104</v>
      </c>
      <c r="H1100" s="11">
        <f t="shared" si="17"/>
        <v>0.85695465280649852</v>
      </c>
    </row>
    <row r="1101" spans="1:8" ht="15" customHeight="1" x14ac:dyDescent="0.25">
      <c r="A1101" s="5">
        <v>1095</v>
      </c>
      <c r="B1101" s="10" t="s">
        <v>2219</v>
      </c>
      <c r="C1101" s="10" t="s">
        <v>2220</v>
      </c>
      <c r="D1101" s="7">
        <v>2009.95</v>
      </c>
      <c r="E1101" s="5">
        <v>1183</v>
      </c>
      <c r="F1101" s="5">
        <v>119</v>
      </c>
      <c r="G1101" s="12">
        <f>SUM($D$7:D1101)</f>
        <v>9142874.9000000097</v>
      </c>
      <c r="H1101" s="11">
        <f t="shared" si="17"/>
        <v>0.85714308530318561</v>
      </c>
    </row>
    <row r="1102" spans="1:8" ht="15" customHeight="1" x14ac:dyDescent="0.25">
      <c r="A1102" s="5">
        <v>1096</v>
      </c>
      <c r="B1102" s="10" t="s">
        <v>2221</v>
      </c>
      <c r="C1102" s="10" t="s">
        <v>2222</v>
      </c>
      <c r="D1102" s="7">
        <v>2007.94</v>
      </c>
      <c r="E1102" s="5">
        <v>1615</v>
      </c>
      <c r="F1102" s="5">
        <v>258</v>
      </c>
      <c r="G1102" s="12">
        <f>SUM($D$7:D1102)</f>
        <v>9144882.8400000092</v>
      </c>
      <c r="H1102" s="11">
        <f t="shared" si="17"/>
        <v>0.85733132936268852</v>
      </c>
    </row>
    <row r="1103" spans="1:8" ht="15" customHeight="1" x14ac:dyDescent="0.25">
      <c r="A1103" s="5">
        <v>1097</v>
      </c>
      <c r="B1103" s="10" t="s">
        <v>2223</v>
      </c>
      <c r="C1103" s="10" t="s">
        <v>2224</v>
      </c>
      <c r="D1103" s="7">
        <v>2005.81</v>
      </c>
      <c r="E1103" s="5">
        <v>243</v>
      </c>
      <c r="F1103" s="5">
        <v>79</v>
      </c>
      <c r="G1103" s="12">
        <f>SUM($D$7:D1103)</f>
        <v>9146888.6500000097</v>
      </c>
      <c r="H1103" s="11">
        <f t="shared" si="17"/>
        <v>0.85751937373502618</v>
      </c>
    </row>
    <row r="1104" spans="1:8" ht="15" customHeight="1" x14ac:dyDescent="0.25">
      <c r="A1104" s="5">
        <v>1098</v>
      </c>
      <c r="B1104" s="10" t="s">
        <v>2225</v>
      </c>
      <c r="C1104" s="10" t="s">
        <v>2226</v>
      </c>
      <c r="D1104" s="7">
        <v>2001.14</v>
      </c>
      <c r="E1104" s="5">
        <v>1378</v>
      </c>
      <c r="F1104" s="5">
        <v>146</v>
      </c>
      <c r="G1104" s="12">
        <f>SUM($D$7:D1104)</f>
        <v>9148889.7900000103</v>
      </c>
      <c r="H1104" s="11">
        <f t="shared" si="17"/>
        <v>0.85770698029559767</v>
      </c>
    </row>
    <row r="1105" spans="1:8" ht="15" customHeight="1" x14ac:dyDescent="0.25">
      <c r="A1105" s="5">
        <v>1099</v>
      </c>
      <c r="B1105" s="10" t="s">
        <v>2227</v>
      </c>
      <c r="C1105" s="10" t="s">
        <v>2228</v>
      </c>
      <c r="D1105" s="7">
        <v>1997.48</v>
      </c>
      <c r="E1105" s="5">
        <v>848</v>
      </c>
      <c r="F1105" s="5">
        <v>149</v>
      </c>
      <c r="G1105" s="12">
        <f>SUM($D$7:D1105)</f>
        <v>9150887.2700000107</v>
      </c>
      <c r="H1105" s="11">
        <f t="shared" si="17"/>
        <v>0.85789424373174417</v>
      </c>
    </row>
    <row r="1106" spans="1:8" ht="15" customHeight="1" x14ac:dyDescent="0.25">
      <c r="A1106" s="5">
        <v>1100</v>
      </c>
      <c r="B1106" s="10" t="s">
        <v>2229</v>
      </c>
      <c r="C1106" s="10" t="s">
        <v>2230</v>
      </c>
      <c r="D1106" s="7">
        <v>1993.75</v>
      </c>
      <c r="E1106" s="5">
        <v>288</v>
      </c>
      <c r="F1106" s="5">
        <v>115</v>
      </c>
      <c r="G1106" s="12">
        <f>SUM($D$7:D1106)</f>
        <v>9152881.0200000107</v>
      </c>
      <c r="H1106" s="11">
        <f t="shared" si="17"/>
        <v>0.85808115748097669</v>
      </c>
    </row>
    <row r="1107" spans="1:8" ht="15" customHeight="1" x14ac:dyDescent="0.25">
      <c r="A1107" s="5">
        <v>1101</v>
      </c>
      <c r="B1107" s="10" t="s">
        <v>2231</v>
      </c>
      <c r="C1107" s="10" t="s">
        <v>2232</v>
      </c>
      <c r="D1107" s="7">
        <v>1993.6</v>
      </c>
      <c r="E1107" s="5">
        <v>453</v>
      </c>
      <c r="F1107" s="5">
        <v>102</v>
      </c>
      <c r="G1107" s="12">
        <f>SUM($D$7:D1107)</f>
        <v>9154874.6200000104</v>
      </c>
      <c r="H1107" s="11">
        <f t="shared" si="17"/>
        <v>0.8582680571677328</v>
      </c>
    </row>
    <row r="1108" spans="1:8" ht="15" customHeight="1" x14ac:dyDescent="0.25">
      <c r="A1108" s="5">
        <v>1102</v>
      </c>
      <c r="B1108" s="10" t="s">
        <v>2233</v>
      </c>
      <c r="C1108" s="10" t="s">
        <v>2234</v>
      </c>
      <c r="D1108" s="7">
        <v>1993.48</v>
      </c>
      <c r="E1108" s="5">
        <v>1028</v>
      </c>
      <c r="F1108" s="5">
        <v>82</v>
      </c>
      <c r="G1108" s="12">
        <f>SUM($D$7:D1108)</f>
        <v>9156868.1000000108</v>
      </c>
      <c r="H1108" s="11">
        <f t="shared" si="17"/>
        <v>0.85845494560450786</v>
      </c>
    </row>
    <row r="1109" spans="1:8" ht="15" customHeight="1" x14ac:dyDescent="0.25">
      <c r="A1109" s="5">
        <v>1103</v>
      </c>
      <c r="B1109" s="10" t="s">
        <v>2235</v>
      </c>
      <c r="C1109" s="10" t="s">
        <v>2236</v>
      </c>
      <c r="D1109" s="7">
        <v>1988.89</v>
      </c>
      <c r="E1109" s="5">
        <v>5170</v>
      </c>
      <c r="F1109" s="5">
        <v>338</v>
      </c>
      <c r="G1109" s="12">
        <f>SUM($D$7:D1109)</f>
        <v>9158856.9900000114</v>
      </c>
      <c r="H1109" s="11">
        <f t="shared" si="17"/>
        <v>0.85864140372950404</v>
      </c>
    </row>
    <row r="1110" spans="1:8" ht="15" customHeight="1" x14ac:dyDescent="0.25">
      <c r="A1110" s="5">
        <v>1104</v>
      </c>
      <c r="B1110" s="10" t="s">
        <v>2237</v>
      </c>
      <c r="C1110" s="10" t="s">
        <v>2238</v>
      </c>
      <c r="D1110" s="7">
        <v>1986.24</v>
      </c>
      <c r="E1110" s="5">
        <v>1361</v>
      </c>
      <c r="F1110" s="5">
        <v>183</v>
      </c>
      <c r="G1110" s="12">
        <f>SUM($D$7:D1110)</f>
        <v>9160843.2300000116</v>
      </c>
      <c r="H1110" s="11">
        <f t="shared" si="17"/>
        <v>0.85882761341741665</v>
      </c>
    </row>
    <row r="1111" spans="1:8" ht="15" customHeight="1" x14ac:dyDescent="0.25">
      <c r="A1111" s="5">
        <v>1105</v>
      </c>
      <c r="B1111" s="10" t="s">
        <v>2239</v>
      </c>
      <c r="C1111" s="10" t="s">
        <v>2240</v>
      </c>
      <c r="D1111" s="7">
        <v>1985.58</v>
      </c>
      <c r="E1111" s="5">
        <v>878</v>
      </c>
      <c r="F1111" s="5">
        <v>71</v>
      </c>
      <c r="G1111" s="12">
        <f>SUM($D$7:D1111)</f>
        <v>9162828.8100000117</v>
      </c>
      <c r="H1111" s="11">
        <f t="shared" si="17"/>
        <v>0.85901376123043294</v>
      </c>
    </row>
    <row r="1112" spans="1:8" ht="15" customHeight="1" x14ac:dyDescent="0.25">
      <c r="A1112" s="5">
        <v>1106</v>
      </c>
      <c r="B1112" s="10" t="s">
        <v>1423</v>
      </c>
      <c r="C1112" s="10" t="s">
        <v>2241</v>
      </c>
      <c r="D1112" s="7">
        <v>1981.29</v>
      </c>
      <c r="E1112" s="5">
        <v>977</v>
      </c>
      <c r="F1112" s="5">
        <v>115</v>
      </c>
      <c r="G1112" s="12">
        <f>SUM($D$7:D1112)</f>
        <v>9164810.1000000108</v>
      </c>
      <c r="H1112" s="11">
        <f t="shared" si="17"/>
        <v>0.85919950685662316</v>
      </c>
    </row>
    <row r="1113" spans="1:8" ht="15" customHeight="1" x14ac:dyDescent="0.25">
      <c r="A1113" s="5">
        <v>1107</v>
      </c>
      <c r="B1113" s="10" t="s">
        <v>2242</v>
      </c>
      <c r="C1113" s="10" t="s">
        <v>2243</v>
      </c>
      <c r="D1113" s="7">
        <v>1980.4</v>
      </c>
      <c r="E1113" s="5">
        <v>1374</v>
      </c>
      <c r="F1113" s="5">
        <v>127</v>
      </c>
      <c r="G1113" s="12">
        <f>SUM($D$7:D1113)</f>
        <v>9166790.5000000112</v>
      </c>
      <c r="H1113" s="11">
        <f t="shared" si="17"/>
        <v>0.85938516904545337</v>
      </c>
    </row>
    <row r="1114" spans="1:8" ht="15" customHeight="1" x14ac:dyDescent="0.25">
      <c r="A1114" s="5">
        <v>1108</v>
      </c>
      <c r="B1114" s="10" t="s">
        <v>2244</v>
      </c>
      <c r="C1114" s="10" t="s">
        <v>2245</v>
      </c>
      <c r="D1114" s="7">
        <v>1979.49</v>
      </c>
      <c r="E1114" s="5">
        <v>2091</v>
      </c>
      <c r="F1114" s="5">
        <v>145</v>
      </c>
      <c r="G1114" s="12">
        <f>SUM($D$7:D1114)</f>
        <v>9168769.9900000114</v>
      </c>
      <c r="H1114" s="11">
        <f t="shared" si="17"/>
        <v>0.85957074592192662</v>
      </c>
    </row>
    <row r="1115" spans="1:8" ht="15" customHeight="1" x14ac:dyDescent="0.25">
      <c r="A1115" s="5">
        <v>1109</v>
      </c>
      <c r="B1115" s="10" t="s">
        <v>2246</v>
      </c>
      <c r="C1115" s="10" t="s">
        <v>2247</v>
      </c>
      <c r="D1115" s="7">
        <v>1973.91</v>
      </c>
      <c r="E1115" s="5">
        <v>4600</v>
      </c>
      <c r="F1115" s="5">
        <v>359</v>
      </c>
      <c r="G1115" s="12">
        <f>SUM($D$7:D1115)</f>
        <v>9170743.9000000115</v>
      </c>
      <c r="H1115" s="11">
        <f t="shared" si="17"/>
        <v>0.85975579967427651</v>
      </c>
    </row>
    <row r="1116" spans="1:8" ht="15" customHeight="1" x14ac:dyDescent="0.25">
      <c r="A1116" s="5">
        <v>1110</v>
      </c>
      <c r="B1116" s="10" t="s">
        <v>2248</v>
      </c>
      <c r="C1116" s="10" t="s">
        <v>2249</v>
      </c>
      <c r="D1116" s="7">
        <v>1968.4</v>
      </c>
      <c r="E1116" s="5">
        <v>815</v>
      </c>
      <c r="F1116" s="5">
        <v>129</v>
      </c>
      <c r="G1116" s="12">
        <f>SUM($D$7:D1116)</f>
        <v>9172712.3000000119</v>
      </c>
      <c r="H1116" s="11">
        <f t="shared" si="17"/>
        <v>0.85994033686499216</v>
      </c>
    </row>
    <row r="1117" spans="1:8" ht="15" customHeight="1" x14ac:dyDescent="0.25">
      <c r="A1117" s="5">
        <v>1111</v>
      </c>
      <c r="B1117" s="10" t="s">
        <v>2250</v>
      </c>
      <c r="C1117" s="10" t="s">
        <v>2251</v>
      </c>
      <c r="D1117" s="7">
        <v>1965.81</v>
      </c>
      <c r="E1117" s="5">
        <v>4451</v>
      </c>
      <c r="F1117" s="5">
        <v>277</v>
      </c>
      <c r="G1117" s="12">
        <f>SUM($D$7:D1117)</f>
        <v>9174678.1100000124</v>
      </c>
      <c r="H1117" s="11">
        <f t="shared" si="17"/>
        <v>0.86012463124361482</v>
      </c>
    </row>
    <row r="1118" spans="1:8" ht="15" customHeight="1" x14ac:dyDescent="0.25">
      <c r="A1118" s="5">
        <v>1112</v>
      </c>
      <c r="B1118" s="10" t="s">
        <v>2252</v>
      </c>
      <c r="C1118" s="10" t="s">
        <v>2253</v>
      </c>
      <c r="D1118" s="7">
        <v>1962.83</v>
      </c>
      <c r="E1118" s="5">
        <v>2456</v>
      </c>
      <c r="F1118" s="5">
        <v>131</v>
      </c>
      <c r="G1118" s="12">
        <f>SUM($D$7:D1118)</f>
        <v>9176640.9400000125</v>
      </c>
      <c r="H1118" s="11">
        <f t="shared" si="17"/>
        <v>0.86030864624770575</v>
      </c>
    </row>
    <row r="1119" spans="1:8" ht="15" customHeight="1" x14ac:dyDescent="0.25">
      <c r="A1119" s="5">
        <v>1113</v>
      </c>
      <c r="B1119" s="10" t="s">
        <v>2254</v>
      </c>
      <c r="C1119" s="10" t="s">
        <v>2255</v>
      </c>
      <c r="D1119" s="7">
        <v>1962.29</v>
      </c>
      <c r="E1119" s="5">
        <v>649</v>
      </c>
      <c r="F1119" s="5">
        <v>131</v>
      </c>
      <c r="G1119" s="12">
        <f>SUM($D$7:D1119)</f>
        <v>9178603.2300000116</v>
      </c>
      <c r="H1119" s="11">
        <f t="shared" si="17"/>
        <v>0.86049261062688132</v>
      </c>
    </row>
    <row r="1120" spans="1:8" ht="15" customHeight="1" x14ac:dyDescent="0.25">
      <c r="A1120" s="5">
        <v>1114</v>
      </c>
      <c r="B1120" s="10" t="s">
        <v>2256</v>
      </c>
      <c r="C1120" s="10" t="s">
        <v>2257</v>
      </c>
      <c r="D1120" s="7">
        <v>1961.16</v>
      </c>
      <c r="E1120" s="5">
        <v>431</v>
      </c>
      <c r="F1120" s="5">
        <v>165</v>
      </c>
      <c r="G1120" s="12">
        <f>SUM($D$7:D1120)</f>
        <v>9180564.3900000118</v>
      </c>
      <c r="H1120" s="11">
        <f t="shared" si="17"/>
        <v>0.86067646906873463</v>
      </c>
    </row>
    <row r="1121" spans="1:8" ht="15" customHeight="1" x14ac:dyDescent="0.25">
      <c r="A1121" s="5">
        <v>1115</v>
      </c>
      <c r="B1121" s="10" t="s">
        <v>2258</v>
      </c>
      <c r="C1121" s="10" t="s">
        <v>2259</v>
      </c>
      <c r="D1121" s="7">
        <v>1960</v>
      </c>
      <c r="E1121" s="5">
        <v>1492</v>
      </c>
      <c r="F1121" s="5">
        <v>125</v>
      </c>
      <c r="G1121" s="12">
        <f>SUM($D$7:D1121)</f>
        <v>9182524.3900000118</v>
      </c>
      <c r="H1121" s="11">
        <f t="shared" si="17"/>
        <v>0.86086021876077012</v>
      </c>
    </row>
    <row r="1122" spans="1:8" ht="15" customHeight="1" x14ac:dyDescent="0.25">
      <c r="A1122" s="5">
        <v>1116</v>
      </c>
      <c r="B1122" s="10" t="s">
        <v>2260</v>
      </c>
      <c r="C1122" s="10" t="s">
        <v>2261</v>
      </c>
      <c r="D1122" s="7">
        <v>1956.68</v>
      </c>
      <c r="E1122" s="5">
        <v>2060</v>
      </c>
      <c r="F1122" s="5">
        <v>167</v>
      </c>
      <c r="G1122" s="12">
        <f>SUM($D$7:D1122)</f>
        <v>9184481.0700000115</v>
      </c>
      <c r="H1122" s="11">
        <f t="shared" si="17"/>
        <v>0.86104365720332732</v>
      </c>
    </row>
    <row r="1123" spans="1:8" ht="15" customHeight="1" x14ac:dyDescent="0.25">
      <c r="A1123" s="5">
        <v>1117</v>
      </c>
      <c r="B1123" s="10" t="s">
        <v>2262</v>
      </c>
      <c r="C1123" s="10" t="s">
        <v>67</v>
      </c>
      <c r="D1123" s="7">
        <v>1952.48</v>
      </c>
      <c r="E1123" s="5">
        <v>292</v>
      </c>
      <c r="F1123" s="5">
        <v>67</v>
      </c>
      <c r="G1123" s="12">
        <f>SUM($D$7:D1123)</f>
        <v>9186433.5500000119</v>
      </c>
      <c r="H1123" s="11">
        <f t="shared" si="17"/>
        <v>0.86122670189654438</v>
      </c>
    </row>
    <row r="1124" spans="1:8" ht="15" customHeight="1" x14ac:dyDescent="0.25">
      <c r="A1124" s="5">
        <v>1118</v>
      </c>
      <c r="B1124" s="10" t="s">
        <v>2263</v>
      </c>
      <c r="C1124" s="10" t="s">
        <v>2264</v>
      </c>
      <c r="D1124" s="7">
        <v>1952</v>
      </c>
      <c r="E1124" s="5">
        <v>3748</v>
      </c>
      <c r="F1124" s="5">
        <v>435</v>
      </c>
      <c r="G1124" s="12">
        <f>SUM($D$7:D1124)</f>
        <v>9188385.5500000119</v>
      </c>
      <c r="H1124" s="11">
        <f t="shared" si="17"/>
        <v>0.86140970158983687</v>
      </c>
    </row>
    <row r="1125" spans="1:8" ht="15" customHeight="1" x14ac:dyDescent="0.25">
      <c r="A1125" s="5">
        <v>1119</v>
      </c>
      <c r="B1125" s="10" t="s">
        <v>2265</v>
      </c>
      <c r="C1125" s="10" t="s">
        <v>2266</v>
      </c>
      <c r="D1125" s="7">
        <v>1946.62</v>
      </c>
      <c r="E1125" s="5">
        <v>1317</v>
      </c>
      <c r="F1125" s="5">
        <v>120</v>
      </c>
      <c r="G1125" s="12">
        <f>SUM($D$7:D1125)</f>
        <v>9190332.1700000111</v>
      </c>
      <c r="H1125" s="11">
        <f t="shared" si="17"/>
        <v>0.86159219690897471</v>
      </c>
    </row>
    <row r="1126" spans="1:8" ht="15" customHeight="1" x14ac:dyDescent="0.25">
      <c r="A1126" s="5">
        <v>1120</v>
      </c>
      <c r="B1126" s="10" t="s">
        <v>2267</v>
      </c>
      <c r="C1126" s="10" t="s">
        <v>2268</v>
      </c>
      <c r="D1126" s="7">
        <v>1938.25</v>
      </c>
      <c r="E1126" s="5">
        <v>55</v>
      </c>
      <c r="F1126" s="5">
        <v>43</v>
      </c>
      <c r="G1126" s="12">
        <f>SUM($D$7:D1126)</f>
        <v>9192270.4200000111</v>
      </c>
      <c r="H1126" s="11">
        <f t="shared" si="17"/>
        <v>0.86177390754192762</v>
      </c>
    </row>
    <row r="1127" spans="1:8" ht="15" customHeight="1" x14ac:dyDescent="0.25">
      <c r="A1127" s="5">
        <v>1121</v>
      </c>
      <c r="B1127" s="10" t="s">
        <v>2269</v>
      </c>
      <c r="C1127" s="10" t="s">
        <v>2270</v>
      </c>
      <c r="D1127" s="7">
        <v>1938.15</v>
      </c>
      <c r="E1127" s="5">
        <v>914</v>
      </c>
      <c r="F1127" s="5">
        <v>147</v>
      </c>
      <c r="G1127" s="12">
        <f>SUM($D$7:D1127)</f>
        <v>9194208.5700000115</v>
      </c>
      <c r="H1127" s="11">
        <f t="shared" si="17"/>
        <v>0.86195560879989641</v>
      </c>
    </row>
    <row r="1128" spans="1:8" ht="15" customHeight="1" x14ac:dyDescent="0.25">
      <c r="A1128" s="5">
        <v>1122</v>
      </c>
      <c r="B1128" s="10" t="s">
        <v>2271</v>
      </c>
      <c r="C1128" s="10" t="s">
        <v>2272</v>
      </c>
      <c r="D1128" s="7">
        <v>1937.71</v>
      </c>
      <c r="E1128" s="5">
        <v>806</v>
      </c>
      <c r="F1128" s="5">
        <v>148</v>
      </c>
      <c r="G1128" s="12">
        <f>SUM($D$7:D1128)</f>
        <v>9196146.2800000124</v>
      </c>
      <c r="H1128" s="11">
        <f t="shared" si="17"/>
        <v>0.86213726880793429</v>
      </c>
    </row>
    <row r="1129" spans="1:8" ht="15" customHeight="1" x14ac:dyDescent="0.25">
      <c r="A1129" s="5">
        <v>1123</v>
      </c>
      <c r="B1129" s="10" t="s">
        <v>2273</v>
      </c>
      <c r="C1129" s="10" t="s">
        <v>2274</v>
      </c>
      <c r="D1129" s="7">
        <v>1927.26</v>
      </c>
      <c r="E1129" s="5">
        <v>4703</v>
      </c>
      <c r="F1129" s="5">
        <v>164</v>
      </c>
      <c r="G1129" s="12">
        <f>SUM($D$7:D1129)</f>
        <v>9198073.5400000121</v>
      </c>
      <c r="H1129" s="11">
        <f t="shared" si="17"/>
        <v>0.86231794913011406</v>
      </c>
    </row>
    <row r="1130" spans="1:8" ht="15" customHeight="1" x14ac:dyDescent="0.25">
      <c r="A1130" s="5">
        <v>1124</v>
      </c>
      <c r="B1130" s="10" t="s">
        <v>2275</v>
      </c>
      <c r="C1130" s="10" t="s">
        <v>2276</v>
      </c>
      <c r="D1130" s="7">
        <v>1924.94</v>
      </c>
      <c r="E1130" s="5">
        <v>1093</v>
      </c>
      <c r="F1130" s="5">
        <v>88</v>
      </c>
      <c r="G1130" s="12">
        <f>SUM($D$7:D1130)</f>
        <v>9199998.4800000116</v>
      </c>
      <c r="H1130" s="11">
        <f t="shared" si="17"/>
        <v>0.86249841195265831</v>
      </c>
    </row>
    <row r="1131" spans="1:8" ht="15" customHeight="1" x14ac:dyDescent="0.25">
      <c r="A1131" s="5">
        <v>1125</v>
      </c>
      <c r="B1131" s="10" t="s">
        <v>2277</v>
      </c>
      <c r="C1131" s="10" t="s">
        <v>2278</v>
      </c>
      <c r="D1131" s="7">
        <v>1924.92</v>
      </c>
      <c r="E1131" s="5">
        <v>152</v>
      </c>
      <c r="F1131" s="5">
        <v>79</v>
      </c>
      <c r="G1131" s="12">
        <f>SUM($D$7:D1131)</f>
        <v>9201923.4000000115</v>
      </c>
      <c r="H1131" s="11">
        <f t="shared" si="17"/>
        <v>0.86267887290020573</v>
      </c>
    </row>
    <row r="1132" spans="1:8" ht="15" customHeight="1" x14ac:dyDescent="0.25">
      <c r="A1132" s="5">
        <v>1126</v>
      </c>
      <c r="B1132" s="10" t="s">
        <v>2279</v>
      </c>
      <c r="C1132" s="10" t="s">
        <v>2280</v>
      </c>
      <c r="D1132" s="7">
        <v>1923.59</v>
      </c>
      <c r="E1132" s="5">
        <v>467</v>
      </c>
      <c r="F1132" s="5">
        <v>166</v>
      </c>
      <c r="G1132" s="12">
        <f>SUM($D$7:D1132)</f>
        <v>9203846.9900000114</v>
      </c>
      <c r="H1132" s="11">
        <f t="shared" si="17"/>
        <v>0.86285920916046221</v>
      </c>
    </row>
    <row r="1133" spans="1:8" ht="15" customHeight="1" x14ac:dyDescent="0.25">
      <c r="A1133" s="5">
        <v>1127</v>
      </c>
      <c r="B1133" s="10" t="s">
        <v>2281</v>
      </c>
      <c r="C1133" s="10" t="s">
        <v>2282</v>
      </c>
      <c r="D1133" s="7">
        <v>1916.01</v>
      </c>
      <c r="E1133" s="5">
        <v>322</v>
      </c>
      <c r="F1133" s="5">
        <v>129</v>
      </c>
      <c r="G1133" s="12">
        <f>SUM($D$7:D1133)</f>
        <v>9205763.0000000112</v>
      </c>
      <c r="H1133" s="11">
        <f t="shared" si="17"/>
        <v>0.86303883479690957</v>
      </c>
    </row>
    <row r="1134" spans="1:8" ht="15" customHeight="1" x14ac:dyDescent="0.25">
      <c r="A1134" s="5">
        <v>1128</v>
      </c>
      <c r="B1134" s="10" t="s">
        <v>2283</v>
      </c>
      <c r="C1134" s="10" t="s">
        <v>2284</v>
      </c>
      <c r="D1134" s="7">
        <v>1914.73</v>
      </c>
      <c r="E1134" s="5">
        <v>2233</v>
      </c>
      <c r="F1134" s="5">
        <v>135</v>
      </c>
      <c r="G1134" s="12">
        <f>SUM($D$7:D1134)</f>
        <v>9207677.7300000116</v>
      </c>
      <c r="H1134" s="11">
        <f t="shared" si="17"/>
        <v>0.86321834043355816</v>
      </c>
    </row>
    <row r="1135" spans="1:8" ht="15" customHeight="1" x14ac:dyDescent="0.25">
      <c r="A1135" s="5">
        <v>1129</v>
      </c>
      <c r="B1135" s="10" t="s">
        <v>2285</v>
      </c>
      <c r="C1135" s="10" t="s">
        <v>2286</v>
      </c>
      <c r="D1135" s="7">
        <v>1913.69</v>
      </c>
      <c r="E1135" s="5">
        <v>706</v>
      </c>
      <c r="F1135" s="5">
        <v>39</v>
      </c>
      <c r="G1135" s="12">
        <f>SUM($D$7:D1135)</f>
        <v>9209591.4200000111</v>
      </c>
      <c r="H1135" s="11">
        <f t="shared" si="17"/>
        <v>0.8633977485703701</v>
      </c>
    </row>
    <row r="1136" spans="1:8" ht="15" customHeight="1" x14ac:dyDescent="0.25">
      <c r="A1136" s="5">
        <v>1130</v>
      </c>
      <c r="B1136" s="10" t="s">
        <v>2287</v>
      </c>
      <c r="C1136" s="10" t="s">
        <v>2288</v>
      </c>
      <c r="D1136" s="7">
        <v>1913.67</v>
      </c>
      <c r="E1136" s="5">
        <v>1338</v>
      </c>
      <c r="F1136" s="5">
        <v>229</v>
      </c>
      <c r="G1136" s="12">
        <f>SUM($D$7:D1136)</f>
        <v>9211505.090000011</v>
      </c>
      <c r="H1136" s="11">
        <f t="shared" si="17"/>
        <v>0.86357715483218522</v>
      </c>
    </row>
    <row r="1137" spans="1:8" ht="15" customHeight="1" x14ac:dyDescent="0.25">
      <c r="A1137" s="5">
        <v>1131</v>
      </c>
      <c r="B1137" s="10" t="s">
        <v>2289</v>
      </c>
      <c r="C1137" s="10" t="s">
        <v>2290</v>
      </c>
      <c r="D1137" s="7">
        <v>1909.51</v>
      </c>
      <c r="E1137" s="5">
        <v>371</v>
      </c>
      <c r="F1137" s="5">
        <v>127</v>
      </c>
      <c r="G1137" s="12">
        <f>SUM($D$7:D1137)</f>
        <v>9213414.6000000108</v>
      </c>
      <c r="H1137" s="11">
        <f t="shared" si="17"/>
        <v>0.86375617109465386</v>
      </c>
    </row>
    <row r="1138" spans="1:8" ht="15" customHeight="1" x14ac:dyDescent="0.25">
      <c r="A1138" s="5">
        <v>1132</v>
      </c>
      <c r="B1138" s="10" t="s">
        <v>2291</v>
      </c>
      <c r="C1138" s="10" t="s">
        <v>2292</v>
      </c>
      <c r="D1138" s="7">
        <v>1908.88</v>
      </c>
      <c r="E1138" s="5">
        <v>376</v>
      </c>
      <c r="F1138" s="5">
        <v>155</v>
      </c>
      <c r="G1138" s="12">
        <f>SUM($D$7:D1138)</f>
        <v>9215323.4800000116</v>
      </c>
      <c r="H1138" s="11">
        <f t="shared" si="17"/>
        <v>0.86393512829472174</v>
      </c>
    </row>
    <row r="1139" spans="1:8" ht="15" customHeight="1" x14ac:dyDescent="0.25">
      <c r="A1139" s="5">
        <v>1133</v>
      </c>
      <c r="B1139" s="10" t="s">
        <v>2293</v>
      </c>
      <c r="C1139" s="10" t="s">
        <v>2294</v>
      </c>
      <c r="D1139" s="7">
        <v>1905.77</v>
      </c>
      <c r="E1139" s="5">
        <v>2006</v>
      </c>
      <c r="F1139" s="5">
        <v>196</v>
      </c>
      <c r="G1139" s="12">
        <f>SUM($D$7:D1139)</f>
        <v>9217229.2500000112</v>
      </c>
      <c r="H1139" s="11">
        <f t="shared" si="17"/>
        <v>0.8641137939327781</v>
      </c>
    </row>
    <row r="1140" spans="1:8" ht="15" customHeight="1" x14ac:dyDescent="0.25">
      <c r="A1140" s="5">
        <v>1134</v>
      </c>
      <c r="B1140" s="10" t="s">
        <v>2295</v>
      </c>
      <c r="C1140" s="10" t="s">
        <v>2296</v>
      </c>
      <c r="D1140" s="7">
        <v>1905.68</v>
      </c>
      <c r="E1140" s="5">
        <v>177</v>
      </c>
      <c r="F1140" s="5">
        <v>65</v>
      </c>
      <c r="G1140" s="12">
        <f>SUM($D$7:D1140)</f>
        <v>9219134.9300000109</v>
      </c>
      <c r="H1140" s="11">
        <f t="shared" si="17"/>
        <v>0.86429245113334852</v>
      </c>
    </row>
    <row r="1141" spans="1:8" ht="15" customHeight="1" x14ac:dyDescent="0.25">
      <c r="A1141" s="5">
        <v>1135</v>
      </c>
      <c r="B1141" s="10" t="s">
        <v>2297</v>
      </c>
      <c r="C1141" s="10" t="s">
        <v>2298</v>
      </c>
      <c r="D1141" s="7">
        <v>1902.19</v>
      </c>
      <c r="E1141" s="5">
        <v>783</v>
      </c>
      <c r="F1141" s="5">
        <v>130</v>
      </c>
      <c r="G1141" s="12">
        <f>SUM($D$7:D1141)</f>
        <v>9221037.1200000104</v>
      </c>
      <c r="H1141" s="11">
        <f t="shared" si="17"/>
        <v>0.8644707811469674</v>
      </c>
    </row>
    <row r="1142" spans="1:8" ht="15" customHeight="1" x14ac:dyDescent="0.25">
      <c r="A1142" s="5">
        <v>1136</v>
      </c>
      <c r="B1142" s="10" t="s">
        <v>2299</v>
      </c>
      <c r="C1142" s="10" t="s">
        <v>2300</v>
      </c>
      <c r="D1142" s="7">
        <v>1897.76</v>
      </c>
      <c r="E1142" s="5">
        <v>228</v>
      </c>
      <c r="F1142" s="5">
        <v>78</v>
      </c>
      <c r="G1142" s="12">
        <f>SUM($D$7:D1142)</f>
        <v>9222934.8800000101</v>
      </c>
      <c r="H1142" s="11">
        <f t="shared" si="17"/>
        <v>0.86464869584878234</v>
      </c>
    </row>
    <row r="1143" spans="1:8" ht="15" customHeight="1" x14ac:dyDescent="0.25">
      <c r="A1143" s="5">
        <v>1137</v>
      </c>
      <c r="B1143" s="10" t="s">
        <v>2301</v>
      </c>
      <c r="C1143" s="10" t="s">
        <v>2302</v>
      </c>
      <c r="D1143" s="7">
        <v>1897.45</v>
      </c>
      <c r="E1143" s="5">
        <v>2164</v>
      </c>
      <c r="F1143" s="5">
        <v>162</v>
      </c>
      <c r="G1143" s="12">
        <f>SUM($D$7:D1143)</f>
        <v>9224832.3300000094</v>
      </c>
      <c r="H1143" s="11">
        <f t="shared" si="17"/>
        <v>0.86482658148814595</v>
      </c>
    </row>
    <row r="1144" spans="1:8" ht="15" customHeight="1" x14ac:dyDescent="0.25">
      <c r="A1144" s="5">
        <v>1138</v>
      </c>
      <c r="B1144" s="10" t="s">
        <v>2303</v>
      </c>
      <c r="C1144" s="10" t="s">
        <v>2304</v>
      </c>
      <c r="D1144" s="7">
        <v>1893.13</v>
      </c>
      <c r="E1144" s="5">
        <v>715</v>
      </c>
      <c r="F1144" s="5">
        <v>102</v>
      </c>
      <c r="G1144" s="12">
        <f>SUM($D$7:D1144)</f>
        <v>9226725.4600000102</v>
      </c>
      <c r="H1144" s="11">
        <f t="shared" si="17"/>
        <v>0.86500406212818848</v>
      </c>
    </row>
    <row r="1145" spans="1:8" ht="15" customHeight="1" x14ac:dyDescent="0.25">
      <c r="A1145" s="5">
        <v>1139</v>
      </c>
      <c r="B1145" s="10" t="s">
        <v>2305</v>
      </c>
      <c r="C1145" s="10" t="s">
        <v>2306</v>
      </c>
      <c r="D1145" s="7">
        <v>1892.46</v>
      </c>
      <c r="E1145" s="5">
        <v>4563</v>
      </c>
      <c r="F1145" s="5">
        <v>149</v>
      </c>
      <c r="G1145" s="12">
        <f>SUM($D$7:D1145)</f>
        <v>9228617.9200000111</v>
      </c>
      <c r="H1145" s="11">
        <f t="shared" si="17"/>
        <v>0.86518147995583627</v>
      </c>
    </row>
    <row r="1146" spans="1:8" ht="15" customHeight="1" x14ac:dyDescent="0.25">
      <c r="A1146" s="5">
        <v>1140</v>
      </c>
      <c r="B1146" s="10" t="s">
        <v>2307</v>
      </c>
      <c r="C1146" s="10" t="s">
        <v>2308</v>
      </c>
      <c r="D1146" s="7">
        <v>1892.07</v>
      </c>
      <c r="E1146" s="5">
        <v>2105</v>
      </c>
      <c r="F1146" s="5">
        <v>199</v>
      </c>
      <c r="G1146" s="12">
        <f>SUM($D$7:D1146)</f>
        <v>9230509.9900000114</v>
      </c>
      <c r="H1146" s="11">
        <f t="shared" si="17"/>
        <v>0.86535886122104533</v>
      </c>
    </row>
    <row r="1147" spans="1:8" ht="15" customHeight="1" x14ac:dyDescent="0.25">
      <c r="A1147" s="5">
        <v>1141</v>
      </c>
      <c r="B1147" s="10" t="s">
        <v>2309</v>
      </c>
      <c r="C1147" s="10" t="s">
        <v>2310</v>
      </c>
      <c r="D1147" s="7">
        <v>1890.33</v>
      </c>
      <c r="E1147" s="5">
        <v>1638</v>
      </c>
      <c r="F1147" s="5">
        <v>198</v>
      </c>
      <c r="G1147" s="12">
        <f>SUM($D$7:D1147)</f>
        <v>9232400.3200000115</v>
      </c>
      <c r="H1147" s="11">
        <f t="shared" si="17"/>
        <v>0.86553607936152765</v>
      </c>
    </row>
    <row r="1148" spans="1:8" ht="15" customHeight="1" x14ac:dyDescent="0.25">
      <c r="A1148" s="5">
        <v>1142</v>
      </c>
      <c r="B1148" s="10" t="s">
        <v>2311</v>
      </c>
      <c r="C1148" s="10" t="s">
        <v>2312</v>
      </c>
      <c r="D1148" s="7">
        <v>1889.75</v>
      </c>
      <c r="E1148" s="5">
        <v>455</v>
      </c>
      <c r="F1148" s="5">
        <v>75</v>
      </c>
      <c r="G1148" s="12">
        <f>SUM($D$7:D1148)</f>
        <v>9234290.0700000115</v>
      </c>
      <c r="H1148" s="11">
        <f t="shared" si="17"/>
        <v>0.86571324312710118</v>
      </c>
    </row>
    <row r="1149" spans="1:8" ht="15" customHeight="1" x14ac:dyDescent="0.25">
      <c r="A1149" s="5">
        <v>1143</v>
      </c>
      <c r="B1149" s="10" t="s">
        <v>2313</v>
      </c>
      <c r="C1149" s="10" t="s">
        <v>2314</v>
      </c>
      <c r="D1149" s="7">
        <v>1888.9</v>
      </c>
      <c r="E1149" s="5">
        <v>438</v>
      </c>
      <c r="F1149" s="5">
        <v>150</v>
      </c>
      <c r="G1149" s="12">
        <f>SUM($D$7:D1149)</f>
        <v>9236178.9700000118</v>
      </c>
      <c r="H1149" s="11">
        <f t="shared" si="17"/>
        <v>0.86589032720530834</v>
      </c>
    </row>
    <row r="1150" spans="1:8" ht="15" customHeight="1" x14ac:dyDescent="0.25">
      <c r="A1150" s="5">
        <v>1144</v>
      </c>
      <c r="B1150" s="10" t="s">
        <v>2315</v>
      </c>
      <c r="C1150" s="10" t="s">
        <v>2316</v>
      </c>
      <c r="D1150" s="7">
        <v>1888.1</v>
      </c>
      <c r="E1150" s="5">
        <v>394</v>
      </c>
      <c r="F1150" s="5">
        <v>39</v>
      </c>
      <c r="G1150" s="12">
        <f>SUM($D$7:D1150)</f>
        <v>9238067.0700000115</v>
      </c>
      <c r="H1150" s="11">
        <f t="shared" si="17"/>
        <v>0.86606733628364108</v>
      </c>
    </row>
    <row r="1151" spans="1:8" ht="15" customHeight="1" x14ac:dyDescent="0.25">
      <c r="A1151" s="5">
        <v>1145</v>
      </c>
      <c r="B1151" s="10" t="s">
        <v>2317</v>
      </c>
      <c r="C1151" s="10" t="s">
        <v>2318</v>
      </c>
      <c r="D1151" s="7">
        <v>1887.98</v>
      </c>
      <c r="E1151" s="5">
        <v>2078</v>
      </c>
      <c r="F1151" s="5">
        <v>246</v>
      </c>
      <c r="G1151" s="12">
        <f>SUM($D$7:D1151)</f>
        <v>9239955.0500000119</v>
      </c>
      <c r="H1151" s="11">
        <f t="shared" si="17"/>
        <v>0.86624433411199275</v>
      </c>
    </row>
    <row r="1152" spans="1:8" ht="15" customHeight="1" x14ac:dyDescent="0.25">
      <c r="A1152" s="5">
        <v>1146</v>
      </c>
      <c r="B1152" s="10" t="s">
        <v>2319</v>
      </c>
      <c r="C1152" s="10" t="s">
        <v>2320</v>
      </c>
      <c r="D1152" s="7">
        <v>1885.27</v>
      </c>
      <c r="E1152" s="5">
        <v>228</v>
      </c>
      <c r="F1152" s="5">
        <v>97</v>
      </c>
      <c r="G1152" s="12">
        <f>SUM($D$7:D1152)</f>
        <v>9241840.3200000115</v>
      </c>
      <c r="H1152" s="11">
        <f t="shared" si="17"/>
        <v>0.86642107787827016</v>
      </c>
    </row>
    <row r="1153" spans="1:8" ht="15" customHeight="1" x14ac:dyDescent="0.25">
      <c r="A1153" s="5">
        <v>1147</v>
      </c>
      <c r="B1153" s="10" t="s">
        <v>2321</v>
      </c>
      <c r="C1153" s="10" t="s">
        <v>2322</v>
      </c>
      <c r="D1153" s="7">
        <v>1884.92</v>
      </c>
      <c r="E1153" s="5">
        <v>2156</v>
      </c>
      <c r="F1153" s="5">
        <v>256</v>
      </c>
      <c r="G1153" s="12">
        <f>SUM($D$7:D1153)</f>
        <v>9243725.2400000114</v>
      </c>
      <c r="H1153" s="11">
        <f t="shared" si="17"/>
        <v>0.86659778883210259</v>
      </c>
    </row>
    <row r="1154" spans="1:8" ht="15" customHeight="1" x14ac:dyDescent="0.25">
      <c r="A1154" s="5">
        <v>1148</v>
      </c>
      <c r="B1154" s="10" t="s">
        <v>2323</v>
      </c>
      <c r="C1154" s="10" t="s">
        <v>2324</v>
      </c>
      <c r="D1154" s="7">
        <v>1883.79</v>
      </c>
      <c r="E1154" s="5">
        <v>4392</v>
      </c>
      <c r="F1154" s="5">
        <v>362</v>
      </c>
      <c r="G1154" s="12">
        <f>SUM($D$7:D1154)</f>
        <v>9245609.0300000105</v>
      </c>
      <c r="H1154" s="11">
        <f t="shared" si="17"/>
        <v>0.86677439384861255</v>
      </c>
    </row>
    <row r="1155" spans="1:8" ht="15" customHeight="1" x14ac:dyDescent="0.25">
      <c r="A1155" s="5">
        <v>1149</v>
      </c>
      <c r="B1155" s="10" t="s">
        <v>2325</v>
      </c>
      <c r="C1155" s="10" t="s">
        <v>2326</v>
      </c>
      <c r="D1155" s="7">
        <v>1871.12</v>
      </c>
      <c r="E1155" s="5">
        <v>4496</v>
      </c>
      <c r="F1155" s="5">
        <v>261</v>
      </c>
      <c r="G1155" s="12">
        <f>SUM($D$7:D1155)</f>
        <v>9247480.1500000097</v>
      </c>
      <c r="H1155" s="11">
        <f t="shared" si="17"/>
        <v>0.86694981105461322</v>
      </c>
    </row>
    <row r="1156" spans="1:8" ht="15" customHeight="1" x14ac:dyDescent="0.25">
      <c r="A1156" s="5">
        <v>1150</v>
      </c>
      <c r="B1156" s="10" t="s">
        <v>2327</v>
      </c>
      <c r="C1156" s="10" t="s">
        <v>2328</v>
      </c>
      <c r="D1156" s="7">
        <v>1870.91</v>
      </c>
      <c r="E1156" s="5">
        <v>1025</v>
      </c>
      <c r="F1156" s="5">
        <v>86</v>
      </c>
      <c r="G1156" s="12">
        <f>SUM($D$7:D1156)</f>
        <v>9249351.0600000098</v>
      </c>
      <c r="H1156" s="11">
        <f t="shared" si="17"/>
        <v>0.86712520857314701</v>
      </c>
    </row>
    <row r="1157" spans="1:8" ht="15" customHeight="1" x14ac:dyDescent="0.25">
      <c r="A1157" s="5">
        <v>1151</v>
      </c>
      <c r="B1157" s="10" t="s">
        <v>2329</v>
      </c>
      <c r="C1157" s="10" t="s">
        <v>2330</v>
      </c>
      <c r="D1157" s="7">
        <v>1870.86</v>
      </c>
      <c r="E1157" s="5">
        <v>2238</v>
      </c>
      <c r="F1157" s="5">
        <v>149</v>
      </c>
      <c r="G1157" s="12">
        <f>SUM($D$7:D1157)</f>
        <v>9251221.9200000092</v>
      </c>
      <c r="H1157" s="11">
        <f t="shared" si="17"/>
        <v>0.86730060140418852</v>
      </c>
    </row>
    <row r="1158" spans="1:8" ht="15" customHeight="1" x14ac:dyDescent="0.25">
      <c r="A1158" s="5">
        <v>1152</v>
      </c>
      <c r="B1158" s="10" t="s">
        <v>2331</v>
      </c>
      <c r="C1158" s="10" t="s">
        <v>2332</v>
      </c>
      <c r="D1158" s="7">
        <v>1865.73</v>
      </c>
      <c r="E1158" s="5">
        <v>1129</v>
      </c>
      <c r="F1158" s="5">
        <v>136</v>
      </c>
      <c r="G1158" s="12">
        <f>SUM($D$7:D1158)</f>
        <v>9253087.6500000097</v>
      </c>
      <c r="H1158" s="11">
        <f t="shared" si="17"/>
        <v>0.86747551329853623</v>
      </c>
    </row>
    <row r="1159" spans="1:8" ht="15" customHeight="1" x14ac:dyDescent="0.25">
      <c r="A1159" s="5">
        <v>1153</v>
      </c>
      <c r="B1159" s="10" t="s">
        <v>2333</v>
      </c>
      <c r="C1159" s="10" t="s">
        <v>2334</v>
      </c>
      <c r="D1159" s="7">
        <v>1865.63</v>
      </c>
      <c r="E1159" s="5">
        <v>2703</v>
      </c>
      <c r="F1159" s="5">
        <v>120</v>
      </c>
      <c r="G1159" s="12">
        <f>SUM($D$7:D1159)</f>
        <v>9254953.2800000105</v>
      </c>
      <c r="H1159" s="11">
        <f t="shared" ref="H1159:H1222" si="18">G1159/SUM($D$7:$D$4167)</f>
        <v>0.8676504158178997</v>
      </c>
    </row>
    <row r="1160" spans="1:8" ht="15" customHeight="1" x14ac:dyDescent="0.25">
      <c r="A1160" s="5">
        <v>1154</v>
      </c>
      <c r="B1160" s="10" t="s">
        <v>2335</v>
      </c>
      <c r="C1160" s="10" t="s">
        <v>2336</v>
      </c>
      <c r="D1160" s="7">
        <v>1862.75</v>
      </c>
      <c r="E1160" s="5">
        <v>2321</v>
      </c>
      <c r="F1160" s="5">
        <v>193</v>
      </c>
      <c r="G1160" s="12">
        <f>SUM($D$7:D1160)</f>
        <v>9256816.0300000105</v>
      </c>
      <c r="H1160" s="11">
        <f t="shared" si="18"/>
        <v>0.86782504833771557</v>
      </c>
    </row>
    <row r="1161" spans="1:8" ht="15" customHeight="1" x14ac:dyDescent="0.25">
      <c r="A1161" s="5">
        <v>1155</v>
      </c>
      <c r="B1161" s="10" t="s">
        <v>2337</v>
      </c>
      <c r="C1161" s="10" t="s">
        <v>2338</v>
      </c>
      <c r="D1161" s="7">
        <v>1861.46</v>
      </c>
      <c r="E1161" s="5">
        <v>1415</v>
      </c>
      <c r="F1161" s="5">
        <v>163</v>
      </c>
      <c r="G1161" s="12">
        <f>SUM($D$7:D1161)</f>
        <v>9258677.4900000114</v>
      </c>
      <c r="H1161" s="11">
        <f t="shared" si="18"/>
        <v>0.86799955992023425</v>
      </c>
    </row>
    <row r="1162" spans="1:8" ht="15" customHeight="1" x14ac:dyDescent="0.25">
      <c r="A1162" s="5">
        <v>1156</v>
      </c>
      <c r="B1162" s="10" t="s">
        <v>2339</v>
      </c>
      <c r="C1162" s="10" t="s">
        <v>2340</v>
      </c>
      <c r="D1162" s="7">
        <v>1859.2</v>
      </c>
      <c r="E1162" s="5">
        <v>232</v>
      </c>
      <c r="F1162" s="5">
        <v>86</v>
      </c>
      <c r="G1162" s="12">
        <f>SUM($D$7:D1162)</f>
        <v>9260536.6900000107</v>
      </c>
      <c r="H1162" s="11">
        <f t="shared" si="18"/>
        <v>0.86817385962810789</v>
      </c>
    </row>
    <row r="1163" spans="1:8" ht="15" customHeight="1" x14ac:dyDescent="0.25">
      <c r="A1163" s="5">
        <v>1157</v>
      </c>
      <c r="B1163" s="10" t="s">
        <v>2341</v>
      </c>
      <c r="C1163" s="10" t="s">
        <v>2342</v>
      </c>
      <c r="D1163" s="7">
        <v>1854.76</v>
      </c>
      <c r="E1163" s="5">
        <v>246</v>
      </c>
      <c r="F1163" s="5">
        <v>114</v>
      </c>
      <c r="G1163" s="12">
        <f>SUM($D$7:D1163)</f>
        <v>9262391.4500000104</v>
      </c>
      <c r="H1163" s="11">
        <f t="shared" si="18"/>
        <v>0.86834774308667917</v>
      </c>
    </row>
    <row r="1164" spans="1:8" ht="15" customHeight="1" x14ac:dyDescent="0.25">
      <c r="A1164" s="5">
        <v>1158</v>
      </c>
      <c r="B1164" s="10" t="s">
        <v>2343</v>
      </c>
      <c r="C1164" s="10" t="s">
        <v>2344</v>
      </c>
      <c r="D1164" s="7">
        <v>1849.82</v>
      </c>
      <c r="E1164" s="5">
        <v>394</v>
      </c>
      <c r="F1164" s="5">
        <v>107</v>
      </c>
      <c r="G1164" s="12">
        <f>SUM($D$7:D1164)</f>
        <v>9264241.2700000107</v>
      </c>
      <c r="H1164" s="11">
        <f t="shared" si="18"/>
        <v>0.8685211634210267</v>
      </c>
    </row>
    <row r="1165" spans="1:8" ht="15" customHeight="1" x14ac:dyDescent="0.25">
      <c r="A1165" s="5">
        <v>1159</v>
      </c>
      <c r="B1165" s="10" t="s">
        <v>2345</v>
      </c>
      <c r="C1165" s="10" t="s">
        <v>2346</v>
      </c>
      <c r="D1165" s="7">
        <v>1843.64</v>
      </c>
      <c r="E1165" s="5">
        <v>3375</v>
      </c>
      <c r="F1165" s="5">
        <v>111</v>
      </c>
      <c r="G1165" s="12">
        <f>SUM($D$7:D1165)</f>
        <v>9266084.9100000113</v>
      </c>
      <c r="H1165" s="11">
        <f t="shared" si="18"/>
        <v>0.86869400438134536</v>
      </c>
    </row>
    <row r="1166" spans="1:8" ht="15" customHeight="1" x14ac:dyDescent="0.25">
      <c r="A1166" s="5">
        <v>1160</v>
      </c>
      <c r="B1166" s="10" t="s">
        <v>2347</v>
      </c>
      <c r="C1166" s="10" t="s">
        <v>2348</v>
      </c>
      <c r="D1166" s="7">
        <v>1843.61</v>
      </c>
      <c r="E1166" s="5">
        <v>551</v>
      </c>
      <c r="F1166" s="5">
        <v>162</v>
      </c>
      <c r="G1166" s="12">
        <f>SUM($D$7:D1166)</f>
        <v>9267928.5200000107</v>
      </c>
      <c r="H1166" s="11">
        <f t="shared" si="18"/>
        <v>0.86886684252916857</v>
      </c>
    </row>
    <row r="1167" spans="1:8" ht="15" customHeight="1" x14ac:dyDescent="0.25">
      <c r="A1167" s="5">
        <v>1161</v>
      </c>
      <c r="B1167" s="10" t="s">
        <v>2349</v>
      </c>
      <c r="C1167" s="10" t="s">
        <v>2350</v>
      </c>
      <c r="D1167" s="7">
        <v>1842.42</v>
      </c>
      <c r="E1167" s="5">
        <v>4003</v>
      </c>
      <c r="F1167" s="5">
        <v>176</v>
      </c>
      <c r="G1167" s="12">
        <f>SUM($D$7:D1167)</f>
        <v>9269770.9400000107</v>
      </c>
      <c r="H1167" s="11">
        <f t="shared" si="18"/>
        <v>0.86903956911467883</v>
      </c>
    </row>
    <row r="1168" spans="1:8" ht="15" customHeight="1" x14ac:dyDescent="0.25">
      <c r="A1168" s="5">
        <v>1162</v>
      </c>
      <c r="B1168" s="10" t="s">
        <v>2351</v>
      </c>
      <c r="C1168" s="10" t="s">
        <v>2352</v>
      </c>
      <c r="D1168" s="7">
        <v>1842.36</v>
      </c>
      <c r="E1168" s="5">
        <v>4483</v>
      </c>
      <c r="F1168" s="5">
        <v>312</v>
      </c>
      <c r="G1168" s="12">
        <f>SUM($D$7:D1168)</f>
        <v>9271613.3000000101</v>
      </c>
      <c r="H1168" s="11">
        <f t="shared" si="18"/>
        <v>0.8692122900751984</v>
      </c>
    </row>
    <row r="1169" spans="1:8" ht="15" customHeight="1" x14ac:dyDescent="0.25">
      <c r="A1169" s="5">
        <v>1163</v>
      </c>
      <c r="B1169" s="10" t="s">
        <v>2353</v>
      </c>
      <c r="C1169" s="10" t="s">
        <v>2354</v>
      </c>
      <c r="D1169" s="7">
        <v>1842.05</v>
      </c>
      <c r="E1169" s="5">
        <v>1939</v>
      </c>
      <c r="F1169" s="5">
        <v>871</v>
      </c>
      <c r="G1169" s="12">
        <f>SUM($D$7:D1169)</f>
        <v>9273455.3500000108</v>
      </c>
      <c r="H1169" s="11">
        <f t="shared" si="18"/>
        <v>0.86938498197326686</v>
      </c>
    </row>
    <row r="1170" spans="1:8" ht="15" customHeight="1" x14ac:dyDescent="0.25">
      <c r="A1170" s="5">
        <v>1164</v>
      </c>
      <c r="B1170" s="10" t="s">
        <v>2355</v>
      </c>
      <c r="C1170" s="10" t="s">
        <v>2356</v>
      </c>
      <c r="D1170" s="7">
        <v>1838.05</v>
      </c>
      <c r="E1170" s="5">
        <v>1621</v>
      </c>
      <c r="F1170" s="5">
        <v>116</v>
      </c>
      <c r="G1170" s="12">
        <f>SUM($D$7:D1170)</f>
        <v>9275293.4000000115</v>
      </c>
      <c r="H1170" s="11">
        <f t="shared" si="18"/>
        <v>0.86955729887196376</v>
      </c>
    </row>
    <row r="1171" spans="1:8" ht="15" customHeight="1" x14ac:dyDescent="0.25">
      <c r="A1171" s="5">
        <v>1165</v>
      </c>
      <c r="B1171" s="10" t="s">
        <v>2357</v>
      </c>
      <c r="C1171" s="10" t="s">
        <v>2358</v>
      </c>
      <c r="D1171" s="7">
        <v>1837.47</v>
      </c>
      <c r="E1171" s="5">
        <v>2166</v>
      </c>
      <c r="F1171" s="5">
        <v>170</v>
      </c>
      <c r="G1171" s="12">
        <f>SUM($D$7:D1171)</f>
        <v>9277130.8700000122</v>
      </c>
      <c r="H1171" s="11">
        <f t="shared" si="18"/>
        <v>0.86972956139575186</v>
      </c>
    </row>
    <row r="1172" spans="1:8" ht="15" customHeight="1" x14ac:dyDescent="0.25">
      <c r="A1172" s="5">
        <v>1166</v>
      </c>
      <c r="B1172" s="10" t="s">
        <v>2359</v>
      </c>
      <c r="C1172" s="10" t="s">
        <v>2360</v>
      </c>
      <c r="D1172" s="7">
        <v>1836.64</v>
      </c>
      <c r="E1172" s="5">
        <v>795</v>
      </c>
      <c r="F1172" s="5">
        <v>157</v>
      </c>
      <c r="G1172" s="12">
        <f>SUM($D$7:D1172)</f>
        <v>9278967.5100000128</v>
      </c>
      <c r="H1172" s="11">
        <f t="shared" si="18"/>
        <v>0.8699017461071703</v>
      </c>
    </row>
    <row r="1173" spans="1:8" ht="15" customHeight="1" x14ac:dyDescent="0.25">
      <c r="A1173" s="5">
        <v>1167</v>
      </c>
      <c r="B1173" s="10" t="s">
        <v>2361</v>
      </c>
      <c r="C1173" s="10" t="s">
        <v>2362</v>
      </c>
      <c r="D1173" s="7">
        <v>1831.62</v>
      </c>
      <c r="E1173" s="5">
        <v>1042</v>
      </c>
      <c r="F1173" s="5">
        <v>123</v>
      </c>
      <c r="G1173" s="12">
        <f>SUM($D$7:D1173)</f>
        <v>9280799.130000012</v>
      </c>
      <c r="H1173" s="11">
        <f t="shared" si="18"/>
        <v>0.87007346019437748</v>
      </c>
    </row>
    <row r="1174" spans="1:8" ht="15" customHeight="1" x14ac:dyDescent="0.25">
      <c r="A1174" s="5">
        <v>1168</v>
      </c>
      <c r="B1174" s="10" t="s">
        <v>2363</v>
      </c>
      <c r="C1174" s="10" t="s">
        <v>2364</v>
      </c>
      <c r="D1174" s="7">
        <v>1831.11</v>
      </c>
      <c r="E1174" s="5">
        <v>746</v>
      </c>
      <c r="F1174" s="5">
        <v>144</v>
      </c>
      <c r="G1174" s="12">
        <f>SUM($D$7:D1174)</f>
        <v>9282630.2400000114</v>
      </c>
      <c r="H1174" s="11">
        <f t="shared" si="18"/>
        <v>0.87024512646916474</v>
      </c>
    </row>
    <row r="1175" spans="1:8" ht="15" customHeight="1" x14ac:dyDescent="0.25">
      <c r="A1175" s="5">
        <v>1169</v>
      </c>
      <c r="B1175" s="10" t="s">
        <v>2365</v>
      </c>
      <c r="C1175" s="10" t="s">
        <v>2366</v>
      </c>
      <c r="D1175" s="7">
        <v>1830.71</v>
      </c>
      <c r="E1175" s="5">
        <v>397</v>
      </c>
      <c r="F1175" s="5">
        <v>110</v>
      </c>
      <c r="G1175" s="12">
        <f>SUM($D$7:D1175)</f>
        <v>9284460.9500000123</v>
      </c>
      <c r="H1175" s="11">
        <f t="shared" si="18"/>
        <v>0.87041675524401496</v>
      </c>
    </row>
    <row r="1176" spans="1:8" ht="15" customHeight="1" x14ac:dyDescent="0.25">
      <c r="A1176" s="5">
        <v>1170</v>
      </c>
      <c r="B1176" s="10" t="s">
        <v>1064</v>
      </c>
      <c r="C1176" s="10" t="s">
        <v>2367</v>
      </c>
      <c r="D1176" s="7">
        <v>1829.65</v>
      </c>
      <c r="E1176" s="5">
        <v>635</v>
      </c>
      <c r="F1176" s="5">
        <v>65</v>
      </c>
      <c r="G1176" s="12">
        <f>SUM($D$7:D1176)</f>
        <v>9286290.6000000127</v>
      </c>
      <c r="H1176" s="11">
        <f t="shared" si="18"/>
        <v>0.87058828464403171</v>
      </c>
    </row>
    <row r="1177" spans="1:8" ht="15" customHeight="1" x14ac:dyDescent="0.25">
      <c r="A1177" s="5">
        <v>1171</v>
      </c>
      <c r="B1177" s="10" t="s">
        <v>2368</v>
      </c>
      <c r="C1177" s="10" t="s">
        <v>2369</v>
      </c>
      <c r="D1177" s="7">
        <v>1822.71</v>
      </c>
      <c r="E1177" s="5">
        <v>645</v>
      </c>
      <c r="F1177" s="5">
        <v>84</v>
      </c>
      <c r="G1177" s="12">
        <f>SUM($D$7:D1177)</f>
        <v>9288113.3100000136</v>
      </c>
      <c r="H1177" s="11">
        <f t="shared" si="18"/>
        <v>0.87075916342013904</v>
      </c>
    </row>
    <row r="1178" spans="1:8" ht="15" customHeight="1" x14ac:dyDescent="0.25">
      <c r="A1178" s="5">
        <v>1172</v>
      </c>
      <c r="B1178" s="10" t="s">
        <v>2370</v>
      </c>
      <c r="C1178" s="10" t="s">
        <v>2371</v>
      </c>
      <c r="D1178" s="7">
        <v>1821.61</v>
      </c>
      <c r="E1178" s="5">
        <v>441</v>
      </c>
      <c r="F1178" s="5">
        <v>78</v>
      </c>
      <c r="G1178" s="12">
        <f>SUM($D$7:D1178)</f>
        <v>9289934.920000013</v>
      </c>
      <c r="H1178" s="11">
        <f t="shared" si="18"/>
        <v>0.87092993907141891</v>
      </c>
    </row>
    <row r="1179" spans="1:8" ht="15" customHeight="1" x14ac:dyDescent="0.25">
      <c r="A1179" s="5">
        <v>1173</v>
      </c>
      <c r="B1179" s="10" t="s">
        <v>2372</v>
      </c>
      <c r="C1179" s="10" t="s">
        <v>2373</v>
      </c>
      <c r="D1179" s="7">
        <v>1809.48</v>
      </c>
      <c r="E1179" s="5">
        <v>1462</v>
      </c>
      <c r="F1179" s="5">
        <v>76</v>
      </c>
      <c r="G1179" s="12">
        <f>SUM($D$7:D1179)</f>
        <v>9291744.4000000134</v>
      </c>
      <c r="H1179" s="11">
        <f t="shared" si="18"/>
        <v>0.87109957753710487</v>
      </c>
    </row>
    <row r="1180" spans="1:8" ht="15" customHeight="1" x14ac:dyDescent="0.25">
      <c r="A1180" s="5">
        <v>1174</v>
      </c>
      <c r="B1180" s="10" t="s">
        <v>2374</v>
      </c>
      <c r="C1180" s="10" t="s">
        <v>2375</v>
      </c>
      <c r="D1180" s="7">
        <v>1809.48</v>
      </c>
      <c r="E1180" s="5">
        <v>398</v>
      </c>
      <c r="F1180" s="5">
        <v>140</v>
      </c>
      <c r="G1180" s="12">
        <f>SUM($D$7:D1180)</f>
        <v>9293553.8800000139</v>
      </c>
      <c r="H1180" s="11">
        <f t="shared" si="18"/>
        <v>0.87126921600279084</v>
      </c>
    </row>
    <row r="1181" spans="1:8" ht="15" customHeight="1" x14ac:dyDescent="0.25">
      <c r="A1181" s="5">
        <v>1175</v>
      </c>
      <c r="B1181" s="10" t="s">
        <v>2376</v>
      </c>
      <c r="C1181" s="10" t="s">
        <v>2377</v>
      </c>
      <c r="D1181" s="7">
        <v>1809.33</v>
      </c>
      <c r="E1181" s="5">
        <v>1366</v>
      </c>
      <c r="F1181" s="5">
        <v>138</v>
      </c>
      <c r="G1181" s="12">
        <f>SUM($D$7:D1181)</f>
        <v>9295363.2100000139</v>
      </c>
      <c r="H1181" s="11">
        <f t="shared" si="18"/>
        <v>0.87143884040600039</v>
      </c>
    </row>
    <row r="1182" spans="1:8" ht="15" customHeight="1" x14ac:dyDescent="0.25">
      <c r="A1182" s="5">
        <v>1176</v>
      </c>
      <c r="B1182" s="10" t="s">
        <v>2378</v>
      </c>
      <c r="C1182" s="10" t="s">
        <v>2379</v>
      </c>
      <c r="D1182" s="7">
        <v>1807.55</v>
      </c>
      <c r="E1182" s="5">
        <v>451</v>
      </c>
      <c r="F1182" s="5">
        <v>131</v>
      </c>
      <c r="G1182" s="12">
        <f>SUM($D$7:D1182)</f>
        <v>9297170.7600000147</v>
      </c>
      <c r="H1182" s="11">
        <f t="shared" si="18"/>
        <v>0.87160829793448968</v>
      </c>
    </row>
    <row r="1183" spans="1:8" ht="15" customHeight="1" x14ac:dyDescent="0.25">
      <c r="A1183" s="5">
        <v>1177</v>
      </c>
      <c r="B1183" s="10" t="s">
        <v>2380</v>
      </c>
      <c r="C1183" s="10" t="s">
        <v>2381</v>
      </c>
      <c r="D1183" s="7">
        <v>1805.21</v>
      </c>
      <c r="E1183" s="5">
        <v>4755</v>
      </c>
      <c r="F1183" s="5">
        <v>156</v>
      </c>
      <c r="G1183" s="12">
        <f>SUM($D$7:D1183)</f>
        <v>9298975.9700000156</v>
      </c>
      <c r="H1183" s="11">
        <f t="shared" si="18"/>
        <v>0.87177753608834663</v>
      </c>
    </row>
    <row r="1184" spans="1:8" ht="15" customHeight="1" x14ac:dyDescent="0.25">
      <c r="A1184" s="5">
        <v>1178</v>
      </c>
      <c r="B1184" s="10" t="s">
        <v>2382</v>
      </c>
      <c r="C1184" s="10" t="s">
        <v>2383</v>
      </c>
      <c r="D1184" s="7">
        <v>1805</v>
      </c>
      <c r="E1184" s="5">
        <v>1133</v>
      </c>
      <c r="F1184" s="5">
        <v>158</v>
      </c>
      <c r="G1184" s="12">
        <f>SUM($D$7:D1184)</f>
        <v>9300780.9700000156</v>
      </c>
      <c r="H1184" s="11">
        <f t="shared" si="18"/>
        <v>0.87194675455473647</v>
      </c>
    </row>
    <row r="1185" spans="1:8" ht="15" customHeight="1" x14ac:dyDescent="0.25">
      <c r="A1185" s="5">
        <v>1179</v>
      </c>
      <c r="B1185" s="10" t="s">
        <v>2384</v>
      </c>
      <c r="C1185" s="10" t="s">
        <v>2385</v>
      </c>
      <c r="D1185" s="7">
        <v>1800</v>
      </c>
      <c r="E1185" s="5">
        <v>960</v>
      </c>
      <c r="F1185" s="5">
        <v>198</v>
      </c>
      <c r="G1185" s="12">
        <f>SUM($D$7:D1185)</f>
        <v>9302580.9700000156</v>
      </c>
      <c r="H1185" s="11">
        <f t="shared" si="18"/>
        <v>0.87211550427191187</v>
      </c>
    </row>
    <row r="1186" spans="1:8" ht="15" customHeight="1" x14ac:dyDescent="0.25">
      <c r="A1186" s="5">
        <v>1180</v>
      </c>
      <c r="B1186" s="10" t="s">
        <v>2386</v>
      </c>
      <c r="C1186" s="10" t="s">
        <v>2387</v>
      </c>
      <c r="D1186" s="7">
        <v>1792.27</v>
      </c>
      <c r="E1186" s="5">
        <v>1078</v>
      </c>
      <c r="F1186" s="5">
        <v>128</v>
      </c>
      <c r="G1186" s="12">
        <f>SUM($D$7:D1186)</f>
        <v>9304373.2400000151</v>
      </c>
      <c r="H1186" s="11">
        <f t="shared" si="18"/>
        <v>0.87228352930280195</v>
      </c>
    </row>
    <row r="1187" spans="1:8" ht="15" customHeight="1" x14ac:dyDescent="0.25">
      <c r="A1187" s="5">
        <v>1181</v>
      </c>
      <c r="B1187" s="10" t="s">
        <v>2388</v>
      </c>
      <c r="C1187" s="10" t="s">
        <v>2389</v>
      </c>
      <c r="D1187" s="7">
        <v>1787.41</v>
      </c>
      <c r="E1187" s="5">
        <v>174</v>
      </c>
      <c r="F1187" s="5">
        <v>82</v>
      </c>
      <c r="G1187" s="12">
        <f>SUM($D$7:D1187)</f>
        <v>9306160.6500000153</v>
      </c>
      <c r="H1187" s="11">
        <f t="shared" si="18"/>
        <v>0.87245109870945559</v>
      </c>
    </row>
    <row r="1188" spans="1:8" ht="15" customHeight="1" x14ac:dyDescent="0.25">
      <c r="A1188" s="5">
        <v>1182</v>
      </c>
      <c r="B1188" s="10" t="s">
        <v>2390</v>
      </c>
      <c r="C1188" s="10" t="s">
        <v>2391</v>
      </c>
      <c r="D1188" s="7">
        <v>1782.54</v>
      </c>
      <c r="E1188" s="5">
        <v>180</v>
      </c>
      <c r="F1188" s="5">
        <v>105</v>
      </c>
      <c r="G1188" s="12">
        <f>SUM($D$7:D1188)</f>
        <v>9307943.1900000144</v>
      </c>
      <c r="H1188" s="11">
        <f t="shared" si="18"/>
        <v>0.87261821155437436</v>
      </c>
    </row>
    <row r="1189" spans="1:8" ht="15" customHeight="1" x14ac:dyDescent="0.25">
      <c r="A1189" s="5">
        <v>1183</v>
      </c>
      <c r="B1189" s="10" t="s">
        <v>2392</v>
      </c>
      <c r="C1189" s="10" t="s">
        <v>2393</v>
      </c>
      <c r="D1189" s="7">
        <v>1781.82</v>
      </c>
      <c r="E1189" s="5">
        <v>162</v>
      </c>
      <c r="F1189" s="5">
        <v>76</v>
      </c>
      <c r="G1189" s="12">
        <f>SUM($D$7:D1189)</f>
        <v>9309725.0100000147</v>
      </c>
      <c r="H1189" s="11">
        <f t="shared" si="18"/>
        <v>0.87278525689940645</v>
      </c>
    </row>
    <row r="1190" spans="1:8" ht="15" customHeight="1" x14ac:dyDescent="0.25">
      <c r="A1190" s="5">
        <v>1184</v>
      </c>
      <c r="B1190" s="10" t="s">
        <v>2394</v>
      </c>
      <c r="C1190" s="10" t="s">
        <v>2395</v>
      </c>
      <c r="D1190" s="7">
        <v>1779.66</v>
      </c>
      <c r="E1190" s="5">
        <v>2096</v>
      </c>
      <c r="F1190" s="5">
        <v>243</v>
      </c>
      <c r="G1190" s="12">
        <f>SUM($D$7:D1190)</f>
        <v>9311504.6700000148</v>
      </c>
      <c r="H1190" s="11">
        <f t="shared" si="18"/>
        <v>0.87295209974477783</v>
      </c>
    </row>
    <row r="1191" spans="1:8" ht="15" customHeight="1" x14ac:dyDescent="0.25">
      <c r="A1191" s="5">
        <v>1185</v>
      </c>
      <c r="B1191" s="10" t="s">
        <v>2396</v>
      </c>
      <c r="C1191" s="10" t="s">
        <v>2397</v>
      </c>
      <c r="D1191" s="7">
        <v>1779.41</v>
      </c>
      <c r="E1191" s="5">
        <v>1152</v>
      </c>
      <c r="F1191" s="5">
        <v>130</v>
      </c>
      <c r="G1191" s="12">
        <f>SUM($D$7:D1191)</f>
        <v>9313284.080000015</v>
      </c>
      <c r="H1191" s="11">
        <f t="shared" si="18"/>
        <v>0.87311891915268847</v>
      </c>
    </row>
    <row r="1192" spans="1:8" ht="15" customHeight="1" x14ac:dyDescent="0.25">
      <c r="A1192" s="5">
        <v>1186</v>
      </c>
      <c r="B1192" s="10" t="s">
        <v>2398</v>
      </c>
      <c r="C1192" s="10" t="s">
        <v>2399</v>
      </c>
      <c r="D1192" s="7">
        <v>1774.42</v>
      </c>
      <c r="E1192" s="5">
        <v>4501</v>
      </c>
      <c r="F1192" s="5">
        <v>104</v>
      </c>
      <c r="G1192" s="12">
        <f>SUM($D$7:D1192)</f>
        <v>9315058.5000000149</v>
      </c>
      <c r="H1192" s="11">
        <f t="shared" si="18"/>
        <v>0.87328527074888318</v>
      </c>
    </row>
    <row r="1193" spans="1:8" ht="15" customHeight="1" x14ac:dyDescent="0.25">
      <c r="A1193" s="5">
        <v>1187</v>
      </c>
      <c r="B1193" s="10" t="s">
        <v>2400</v>
      </c>
      <c r="C1193" s="10" t="s">
        <v>2401</v>
      </c>
      <c r="D1193" s="7">
        <v>1773.37</v>
      </c>
      <c r="E1193" s="5">
        <v>1421</v>
      </c>
      <c r="F1193" s="5">
        <v>211</v>
      </c>
      <c r="G1193" s="12">
        <f>SUM($D$7:D1193)</f>
        <v>9316831.8700000141</v>
      </c>
      <c r="H1193" s="11">
        <f t="shared" si="18"/>
        <v>0.87345152390774283</v>
      </c>
    </row>
    <row r="1194" spans="1:8" ht="15" customHeight="1" x14ac:dyDescent="0.25">
      <c r="A1194" s="5">
        <v>1188</v>
      </c>
      <c r="B1194" s="10" t="s">
        <v>2402</v>
      </c>
      <c r="C1194" s="10" t="s">
        <v>2403</v>
      </c>
      <c r="D1194" s="7">
        <v>1767.15</v>
      </c>
      <c r="E1194" s="5">
        <v>1430</v>
      </c>
      <c r="F1194" s="5">
        <v>130</v>
      </c>
      <c r="G1194" s="12">
        <f>SUM($D$7:D1194)</f>
        <v>9318599.0200000145</v>
      </c>
      <c r="H1194" s="11">
        <f t="shared" si="18"/>
        <v>0.87361719394257986</v>
      </c>
    </row>
    <row r="1195" spans="1:8" ht="15" customHeight="1" x14ac:dyDescent="0.25">
      <c r="A1195" s="5">
        <v>1189</v>
      </c>
      <c r="B1195" s="10" t="s">
        <v>2404</v>
      </c>
      <c r="C1195" s="10" t="s">
        <v>2405</v>
      </c>
      <c r="D1195" s="7">
        <v>1766.57</v>
      </c>
      <c r="E1195" s="5">
        <v>351</v>
      </c>
      <c r="F1195" s="5">
        <v>106</v>
      </c>
      <c r="G1195" s="12">
        <f>SUM($D$7:D1195)</f>
        <v>9320365.5900000148</v>
      </c>
      <c r="H1195" s="11">
        <f t="shared" si="18"/>
        <v>0.87378280960250809</v>
      </c>
    </row>
    <row r="1196" spans="1:8" ht="15" customHeight="1" x14ac:dyDescent="0.25">
      <c r="A1196" s="5">
        <v>1190</v>
      </c>
      <c r="B1196" s="10" t="s">
        <v>2406</v>
      </c>
      <c r="C1196" s="10" t="s">
        <v>2407</v>
      </c>
      <c r="D1196" s="7">
        <v>1765.4</v>
      </c>
      <c r="E1196" s="5">
        <v>184</v>
      </c>
      <c r="F1196" s="5">
        <v>72</v>
      </c>
      <c r="G1196" s="12">
        <f>SUM($D$7:D1196)</f>
        <v>9322130.9900000151</v>
      </c>
      <c r="H1196" s="11">
        <f t="shared" si="18"/>
        <v>0.87394831557512009</v>
      </c>
    </row>
    <row r="1197" spans="1:8" ht="15" customHeight="1" x14ac:dyDescent="0.25">
      <c r="A1197" s="5">
        <v>1191</v>
      </c>
      <c r="B1197" s="10" t="s">
        <v>2408</v>
      </c>
      <c r="C1197" s="10" t="s">
        <v>2409</v>
      </c>
      <c r="D1197" s="7">
        <v>1762.07</v>
      </c>
      <c r="E1197" s="5">
        <v>571</v>
      </c>
      <c r="F1197" s="5">
        <v>133</v>
      </c>
      <c r="G1197" s="12">
        <f>SUM($D$7:D1197)</f>
        <v>9323893.0600000154</v>
      </c>
      <c r="H1197" s="11">
        <f t="shared" si="18"/>
        <v>0.87411350936075538</v>
      </c>
    </row>
    <row r="1198" spans="1:8" ht="15" customHeight="1" x14ac:dyDescent="0.25">
      <c r="A1198" s="5">
        <v>1192</v>
      </c>
      <c r="B1198" s="10" t="s">
        <v>2410</v>
      </c>
      <c r="C1198" s="10" t="s">
        <v>2411</v>
      </c>
      <c r="D1198" s="7">
        <v>1759.79</v>
      </c>
      <c r="E1198" s="5">
        <v>1047</v>
      </c>
      <c r="F1198" s="5">
        <v>146</v>
      </c>
      <c r="G1198" s="12">
        <f>SUM($D$7:D1198)</f>
        <v>9325652.8500000145</v>
      </c>
      <c r="H1198" s="11">
        <f t="shared" si="18"/>
        <v>0.87427848939674868</v>
      </c>
    </row>
    <row r="1199" spans="1:8" ht="15" customHeight="1" x14ac:dyDescent="0.25">
      <c r="A1199" s="5">
        <v>1193</v>
      </c>
      <c r="B1199" s="10" t="s">
        <v>2412</v>
      </c>
      <c r="C1199" s="10" t="s">
        <v>2413</v>
      </c>
      <c r="D1199" s="7">
        <v>1757.88</v>
      </c>
      <c r="E1199" s="5">
        <v>390</v>
      </c>
      <c r="F1199" s="5">
        <v>125</v>
      </c>
      <c r="G1199" s="12">
        <f>SUM($D$7:D1199)</f>
        <v>9327410.7300000153</v>
      </c>
      <c r="H1199" s="11">
        <f t="shared" si="18"/>
        <v>0.87444329037054236</v>
      </c>
    </row>
    <row r="1200" spans="1:8" ht="15" customHeight="1" x14ac:dyDescent="0.25">
      <c r="A1200" s="5">
        <v>1194</v>
      </c>
      <c r="B1200" s="10" t="s">
        <v>2414</v>
      </c>
      <c r="C1200" s="10" t="s">
        <v>2415</v>
      </c>
      <c r="D1200" s="7">
        <v>1754.9</v>
      </c>
      <c r="E1200" s="5">
        <v>1066</v>
      </c>
      <c r="F1200" s="5">
        <v>146</v>
      </c>
      <c r="G1200" s="12">
        <f>SUM($D$7:D1200)</f>
        <v>9329165.6300000157</v>
      </c>
      <c r="H1200" s="11">
        <f t="shared" si="18"/>
        <v>0.87460781196980419</v>
      </c>
    </row>
    <row r="1201" spans="1:8" ht="15" customHeight="1" x14ac:dyDescent="0.25">
      <c r="A1201" s="5">
        <v>1195</v>
      </c>
      <c r="B1201" s="10" t="s">
        <v>2416</v>
      </c>
      <c r="C1201" s="10" t="s">
        <v>2417</v>
      </c>
      <c r="D1201" s="7">
        <v>1753.36</v>
      </c>
      <c r="E1201" s="5">
        <v>932</v>
      </c>
      <c r="F1201" s="5">
        <v>73</v>
      </c>
      <c r="G1201" s="12">
        <f>SUM($D$7:D1201)</f>
        <v>9330918.9900000151</v>
      </c>
      <c r="H1201" s="11">
        <f t="shared" si="18"/>
        <v>0.87477218919430788</v>
      </c>
    </row>
    <row r="1202" spans="1:8" ht="15" customHeight="1" x14ac:dyDescent="0.25">
      <c r="A1202" s="5">
        <v>1196</v>
      </c>
      <c r="B1202" s="10" t="s">
        <v>2418</v>
      </c>
      <c r="C1202" s="10" t="s">
        <v>2419</v>
      </c>
      <c r="D1202" s="7">
        <v>1752.79</v>
      </c>
      <c r="E1202" s="5">
        <v>1391</v>
      </c>
      <c r="F1202" s="5">
        <v>147</v>
      </c>
      <c r="G1202" s="12">
        <f>SUM($D$7:D1202)</f>
        <v>9332671.7800000142</v>
      </c>
      <c r="H1202" s="11">
        <f t="shared" si="18"/>
        <v>0.87493651298140118</v>
      </c>
    </row>
    <row r="1203" spans="1:8" ht="15" customHeight="1" x14ac:dyDescent="0.25">
      <c r="A1203" s="5">
        <v>1197</v>
      </c>
      <c r="B1203" s="10" t="s">
        <v>2420</v>
      </c>
      <c r="C1203" s="10" t="s">
        <v>2421</v>
      </c>
      <c r="D1203" s="7">
        <v>1752.35</v>
      </c>
      <c r="E1203" s="5">
        <v>1922</v>
      </c>
      <c r="F1203" s="5">
        <v>225</v>
      </c>
      <c r="G1203" s="12">
        <f>SUM($D$7:D1203)</f>
        <v>9334424.1300000139</v>
      </c>
      <c r="H1203" s="11">
        <f t="shared" si="18"/>
        <v>0.87510079551856357</v>
      </c>
    </row>
    <row r="1204" spans="1:8" ht="15" customHeight="1" x14ac:dyDescent="0.25">
      <c r="A1204" s="5">
        <v>1198</v>
      </c>
      <c r="B1204" s="10" t="s">
        <v>2422</v>
      </c>
      <c r="C1204" s="10" t="s">
        <v>2423</v>
      </c>
      <c r="D1204" s="7">
        <v>1751.22</v>
      </c>
      <c r="E1204" s="5">
        <v>394</v>
      </c>
      <c r="F1204" s="5">
        <v>100</v>
      </c>
      <c r="G1204" s="12">
        <f>SUM($D$7:D1204)</f>
        <v>9336175.3500000145</v>
      </c>
      <c r="H1204" s="11">
        <f t="shared" si="18"/>
        <v>0.87526497211840371</v>
      </c>
    </row>
    <row r="1205" spans="1:8" ht="15" customHeight="1" x14ac:dyDescent="0.25">
      <c r="A1205" s="5">
        <v>1199</v>
      </c>
      <c r="B1205" s="10" t="s">
        <v>2424</v>
      </c>
      <c r="C1205" s="10" t="s">
        <v>2425</v>
      </c>
      <c r="D1205" s="7">
        <v>1749.18</v>
      </c>
      <c r="E1205" s="5">
        <v>1235</v>
      </c>
      <c r="F1205" s="5">
        <v>228</v>
      </c>
      <c r="G1205" s="12">
        <f>SUM($D$7:D1205)</f>
        <v>9337924.5300000142</v>
      </c>
      <c r="H1205" s="11">
        <f t="shared" si="18"/>
        <v>0.8754289574685642</v>
      </c>
    </row>
    <row r="1206" spans="1:8" ht="15" customHeight="1" x14ac:dyDescent="0.25">
      <c r="A1206" s="5">
        <v>1200</v>
      </c>
      <c r="B1206" s="10" t="s">
        <v>2426</v>
      </c>
      <c r="C1206" s="10" t="s">
        <v>2427</v>
      </c>
      <c r="D1206" s="7">
        <v>1744.61</v>
      </c>
      <c r="E1206" s="5">
        <v>2037</v>
      </c>
      <c r="F1206" s="5">
        <v>213</v>
      </c>
      <c r="G1206" s="12">
        <f>SUM($D$7:D1206)</f>
        <v>9339669.1400000136</v>
      </c>
      <c r="H1206" s="11">
        <f t="shared" si="18"/>
        <v>0.87559251438194274</v>
      </c>
    </row>
    <row r="1207" spans="1:8" ht="15" customHeight="1" x14ac:dyDescent="0.25">
      <c r="A1207" s="5">
        <v>1201</v>
      </c>
      <c r="B1207" s="10" t="s">
        <v>2428</v>
      </c>
      <c r="C1207" s="10" t="s">
        <v>2429</v>
      </c>
      <c r="D1207" s="7">
        <v>1742.27</v>
      </c>
      <c r="E1207" s="5">
        <v>1976</v>
      </c>
      <c r="F1207" s="5">
        <v>249</v>
      </c>
      <c r="G1207" s="12">
        <f>SUM($D$7:D1207)</f>
        <v>9341411.4100000132</v>
      </c>
      <c r="H1207" s="11">
        <f t="shared" si="18"/>
        <v>0.87575585192068905</v>
      </c>
    </row>
    <row r="1208" spans="1:8" ht="15" customHeight="1" x14ac:dyDescent="0.25">
      <c r="A1208" s="5">
        <v>1202</v>
      </c>
      <c r="B1208" s="10" t="s">
        <v>2430</v>
      </c>
      <c r="C1208" s="10" t="s">
        <v>2431</v>
      </c>
      <c r="D1208" s="7">
        <v>1733.57</v>
      </c>
      <c r="E1208" s="5">
        <v>201</v>
      </c>
      <c r="F1208" s="5">
        <v>82</v>
      </c>
      <c r="G1208" s="12">
        <f>SUM($D$7:D1208)</f>
        <v>9343144.9800000135</v>
      </c>
      <c r="H1208" s="11">
        <f t="shared" si="18"/>
        <v>0.87591837383580229</v>
      </c>
    </row>
    <row r="1209" spans="1:8" ht="15" customHeight="1" x14ac:dyDescent="0.25">
      <c r="A1209" s="5">
        <v>1203</v>
      </c>
      <c r="B1209" s="10" t="s">
        <v>2432</v>
      </c>
      <c r="C1209" s="10" t="s">
        <v>2433</v>
      </c>
      <c r="D1209" s="7">
        <v>1728.64</v>
      </c>
      <c r="E1209" s="5">
        <v>944</v>
      </c>
      <c r="F1209" s="5">
        <v>287</v>
      </c>
      <c r="G1209" s="12">
        <f>SUM($D$7:D1209)</f>
        <v>9344873.6200000141</v>
      </c>
      <c r="H1209" s="11">
        <f t="shared" si="18"/>
        <v>0.8760804335641903</v>
      </c>
    </row>
    <row r="1210" spans="1:8" ht="15" customHeight="1" x14ac:dyDescent="0.25">
      <c r="A1210" s="5">
        <v>1204</v>
      </c>
      <c r="B1210" s="10" t="s">
        <v>2434</v>
      </c>
      <c r="C1210" s="10" t="s">
        <v>2435</v>
      </c>
      <c r="D1210" s="7">
        <v>1727.75</v>
      </c>
      <c r="E1210" s="5">
        <v>2253</v>
      </c>
      <c r="F1210" s="5">
        <v>133</v>
      </c>
      <c r="G1210" s="12">
        <f>SUM($D$7:D1210)</f>
        <v>9346601.3700000141</v>
      </c>
      <c r="H1210" s="11">
        <f t="shared" si="18"/>
        <v>0.87624240985521795</v>
      </c>
    </row>
    <row r="1211" spans="1:8" ht="15" customHeight="1" x14ac:dyDescent="0.25">
      <c r="A1211" s="5">
        <v>1205</v>
      </c>
      <c r="B1211" s="10" t="s">
        <v>2436</v>
      </c>
      <c r="C1211" s="10" t="s">
        <v>2437</v>
      </c>
      <c r="D1211" s="7">
        <v>1727.23</v>
      </c>
      <c r="E1211" s="5">
        <v>185</v>
      </c>
      <c r="F1211" s="5">
        <v>31</v>
      </c>
      <c r="G1211" s="12">
        <f>SUM($D$7:D1211)</f>
        <v>9348328.6000000145</v>
      </c>
      <c r="H1211" s="11">
        <f t="shared" si="18"/>
        <v>0.8764043373963275</v>
      </c>
    </row>
    <row r="1212" spans="1:8" ht="15" customHeight="1" x14ac:dyDescent="0.25">
      <c r="A1212" s="5">
        <v>1206</v>
      </c>
      <c r="B1212" s="10" t="s">
        <v>2438</v>
      </c>
      <c r="C1212" s="10" t="s">
        <v>2439</v>
      </c>
      <c r="D1212" s="7">
        <v>1721.85</v>
      </c>
      <c r="E1212" s="5">
        <v>743</v>
      </c>
      <c r="F1212" s="5">
        <v>67</v>
      </c>
      <c r="G1212" s="12">
        <f>SUM($D$7:D1212)</f>
        <v>9350050.4500000142</v>
      </c>
      <c r="H1212" s="11">
        <f t="shared" si="18"/>
        <v>0.87656576056328217</v>
      </c>
    </row>
    <row r="1213" spans="1:8" ht="15" customHeight="1" x14ac:dyDescent="0.25">
      <c r="A1213" s="5">
        <v>1207</v>
      </c>
      <c r="B1213" s="10" t="s">
        <v>2440</v>
      </c>
      <c r="C1213" s="10" t="s">
        <v>2441</v>
      </c>
      <c r="D1213" s="7">
        <v>1721.09</v>
      </c>
      <c r="E1213" s="5">
        <v>1907</v>
      </c>
      <c r="F1213" s="5">
        <v>82</v>
      </c>
      <c r="G1213" s="12">
        <f>SUM($D$7:D1213)</f>
        <v>9351771.540000014</v>
      </c>
      <c r="H1213" s="11">
        <f t="shared" si="18"/>
        <v>0.8767271124803564</v>
      </c>
    </row>
    <row r="1214" spans="1:8" ht="15" customHeight="1" x14ac:dyDescent="0.25">
      <c r="A1214" s="5">
        <v>1208</v>
      </c>
      <c r="B1214" s="10" t="s">
        <v>2442</v>
      </c>
      <c r="C1214" s="10" t="s">
        <v>2443</v>
      </c>
      <c r="D1214" s="7">
        <v>1720.26</v>
      </c>
      <c r="E1214" s="5">
        <v>125</v>
      </c>
      <c r="F1214" s="5">
        <v>79</v>
      </c>
      <c r="G1214" s="12">
        <f>SUM($D$7:D1214)</f>
        <v>9353491.8000000138</v>
      </c>
      <c r="H1214" s="11">
        <f t="shared" si="18"/>
        <v>0.87688838658506096</v>
      </c>
    </row>
    <row r="1215" spans="1:8" ht="15" customHeight="1" x14ac:dyDescent="0.25">
      <c r="A1215" s="5">
        <v>1209</v>
      </c>
      <c r="B1215" s="10" t="s">
        <v>2444</v>
      </c>
      <c r="C1215" s="10" t="s">
        <v>2445</v>
      </c>
      <c r="D1215" s="7">
        <v>1719.84</v>
      </c>
      <c r="E1215" s="5">
        <v>2182</v>
      </c>
      <c r="F1215" s="5">
        <v>143</v>
      </c>
      <c r="G1215" s="12">
        <f>SUM($D$7:D1215)</f>
        <v>9355211.6400000136</v>
      </c>
      <c r="H1215" s="11">
        <f t="shared" si="18"/>
        <v>0.87704962131483155</v>
      </c>
    </row>
    <row r="1216" spans="1:8" ht="15" customHeight="1" x14ac:dyDescent="0.25">
      <c r="A1216" s="5">
        <v>1210</v>
      </c>
      <c r="B1216" s="10" t="s">
        <v>2446</v>
      </c>
      <c r="C1216" s="10" t="s">
        <v>2447</v>
      </c>
      <c r="D1216" s="7">
        <v>1719</v>
      </c>
      <c r="E1216" s="5">
        <v>144</v>
      </c>
      <c r="F1216" s="5">
        <v>61</v>
      </c>
      <c r="G1216" s="12">
        <f>SUM($D$7:D1216)</f>
        <v>9356930.6400000136</v>
      </c>
      <c r="H1216" s="11">
        <f t="shared" si="18"/>
        <v>0.87721077729473407</v>
      </c>
    </row>
    <row r="1217" spans="1:8" ht="15" customHeight="1" x14ac:dyDescent="0.25">
      <c r="A1217" s="5">
        <v>1211</v>
      </c>
      <c r="B1217" s="10" t="s">
        <v>2448</v>
      </c>
      <c r="C1217" s="10" t="s">
        <v>2449</v>
      </c>
      <c r="D1217" s="7">
        <v>1716.18</v>
      </c>
      <c r="E1217" s="5">
        <v>4521</v>
      </c>
      <c r="F1217" s="5">
        <v>175</v>
      </c>
      <c r="G1217" s="12">
        <f>SUM($D$7:D1217)</f>
        <v>9358646.8200000133</v>
      </c>
      <c r="H1217" s="11">
        <f t="shared" si="18"/>
        <v>0.87737166890007978</v>
      </c>
    </row>
    <row r="1218" spans="1:8" ht="15" customHeight="1" x14ac:dyDescent="0.25">
      <c r="A1218" s="5">
        <v>1212</v>
      </c>
      <c r="B1218" s="10" t="s">
        <v>2450</v>
      </c>
      <c r="C1218" s="10" t="s">
        <v>2451</v>
      </c>
      <c r="D1218" s="7">
        <v>1715.48</v>
      </c>
      <c r="E1218" s="5">
        <v>3977</v>
      </c>
      <c r="F1218" s="5">
        <v>354</v>
      </c>
      <c r="G1218" s="12">
        <f>SUM($D$7:D1218)</f>
        <v>9360362.3000000138</v>
      </c>
      <c r="H1218" s="11">
        <f t="shared" si="18"/>
        <v>0.87753249488053542</v>
      </c>
    </row>
    <row r="1219" spans="1:8" ht="15" customHeight="1" x14ac:dyDescent="0.25">
      <c r="A1219" s="5">
        <v>1213</v>
      </c>
      <c r="B1219" s="10" t="s">
        <v>2452</v>
      </c>
      <c r="C1219" s="10" t="s">
        <v>2453</v>
      </c>
      <c r="D1219" s="7">
        <v>1708.07</v>
      </c>
      <c r="E1219" s="5">
        <v>2341</v>
      </c>
      <c r="F1219" s="5">
        <v>289</v>
      </c>
      <c r="G1219" s="12">
        <f>SUM($D$7:D1219)</f>
        <v>9362070.3700000141</v>
      </c>
      <c r="H1219" s="11">
        <f t="shared" si="18"/>
        <v>0.87769262617465538</v>
      </c>
    </row>
    <row r="1220" spans="1:8" ht="15" customHeight="1" x14ac:dyDescent="0.25">
      <c r="A1220" s="5">
        <v>1214</v>
      </c>
      <c r="B1220" s="10" t="s">
        <v>2454</v>
      </c>
      <c r="C1220" s="10" t="s">
        <v>2455</v>
      </c>
      <c r="D1220" s="7">
        <v>1707.47</v>
      </c>
      <c r="E1220" s="5">
        <v>589</v>
      </c>
      <c r="F1220" s="5">
        <v>78</v>
      </c>
      <c r="G1220" s="12">
        <f>SUM($D$7:D1220)</f>
        <v>9363777.8400000148</v>
      </c>
      <c r="H1220" s="11">
        <f t="shared" si="18"/>
        <v>0.87785270121886971</v>
      </c>
    </row>
    <row r="1221" spans="1:8" ht="15" customHeight="1" x14ac:dyDescent="0.25">
      <c r="A1221" s="5">
        <v>1215</v>
      </c>
      <c r="B1221" s="10" t="s">
        <v>2456</v>
      </c>
      <c r="C1221" s="10" t="s">
        <v>2457</v>
      </c>
      <c r="D1221" s="7">
        <v>1706.88</v>
      </c>
      <c r="E1221" s="5">
        <v>4023</v>
      </c>
      <c r="F1221" s="5">
        <v>266</v>
      </c>
      <c r="G1221" s="12">
        <f>SUM($D$7:D1221)</f>
        <v>9365484.7200000156</v>
      </c>
      <c r="H1221" s="11">
        <f t="shared" si="18"/>
        <v>0.87801272095067673</v>
      </c>
    </row>
    <row r="1222" spans="1:8" ht="15" customHeight="1" x14ac:dyDescent="0.25">
      <c r="A1222" s="5">
        <v>1216</v>
      </c>
      <c r="B1222" s="10" t="s">
        <v>2458</v>
      </c>
      <c r="C1222" s="10" t="s">
        <v>2459</v>
      </c>
      <c r="D1222" s="7">
        <v>1704.03</v>
      </c>
      <c r="E1222" s="5">
        <v>4156</v>
      </c>
      <c r="F1222" s="5">
        <v>225</v>
      </c>
      <c r="G1222" s="12">
        <f>SUM($D$7:D1222)</f>
        <v>9367188.7500000149</v>
      </c>
      <c r="H1222" s="11">
        <f t="shared" si="18"/>
        <v>0.87817247349543137</v>
      </c>
    </row>
    <row r="1223" spans="1:8" ht="15" customHeight="1" x14ac:dyDescent="0.25">
      <c r="A1223" s="5">
        <v>1217</v>
      </c>
      <c r="B1223" s="10" t="s">
        <v>2460</v>
      </c>
      <c r="C1223" s="10" t="s">
        <v>2461</v>
      </c>
      <c r="D1223" s="7">
        <v>1697.72</v>
      </c>
      <c r="E1223" s="5">
        <v>1350</v>
      </c>
      <c r="F1223" s="5">
        <v>187</v>
      </c>
      <c r="G1223" s="12">
        <f>SUM($D$7:D1223)</f>
        <v>9368886.4700000156</v>
      </c>
      <c r="H1223" s="11">
        <f t="shared" ref="H1223:H1286" si="19">G1223/SUM($D$7:$D$4167)</f>
        <v>0.87833163447867768</v>
      </c>
    </row>
    <row r="1224" spans="1:8" ht="15" customHeight="1" x14ac:dyDescent="0.25">
      <c r="A1224" s="5">
        <v>1218</v>
      </c>
      <c r="B1224" s="10" t="s">
        <v>2462</v>
      </c>
      <c r="C1224" s="10" t="s">
        <v>2463</v>
      </c>
      <c r="D1224" s="7">
        <v>1695.86</v>
      </c>
      <c r="E1224" s="5">
        <v>2544</v>
      </c>
      <c r="F1224" s="5">
        <v>135</v>
      </c>
      <c r="G1224" s="12">
        <f>SUM($D$7:D1224)</f>
        <v>9370582.330000015</v>
      </c>
      <c r="H1224" s="11">
        <f t="shared" si="19"/>
        <v>0.87849062108721598</v>
      </c>
    </row>
    <row r="1225" spans="1:8" ht="15" customHeight="1" x14ac:dyDescent="0.25">
      <c r="A1225" s="5">
        <v>1219</v>
      </c>
      <c r="B1225" s="10" t="s">
        <v>2464</v>
      </c>
      <c r="C1225" s="10" t="s">
        <v>2465</v>
      </c>
      <c r="D1225" s="7">
        <v>1690.55</v>
      </c>
      <c r="E1225" s="5">
        <v>519</v>
      </c>
      <c r="F1225" s="5">
        <v>22</v>
      </c>
      <c r="G1225" s="12">
        <f>SUM($D$7:D1225)</f>
        <v>9372272.8800000157</v>
      </c>
      <c r="H1225" s="11">
        <f t="shared" si="19"/>
        <v>0.87864910988408884</v>
      </c>
    </row>
    <row r="1226" spans="1:8" ht="15" customHeight="1" x14ac:dyDescent="0.25">
      <c r="A1226" s="5">
        <v>1220</v>
      </c>
      <c r="B1226" s="10" t="s">
        <v>2466</v>
      </c>
      <c r="C1226" s="10" t="s">
        <v>2467</v>
      </c>
      <c r="D1226" s="7">
        <v>1690.23</v>
      </c>
      <c r="E1226" s="5">
        <v>1975</v>
      </c>
      <c r="F1226" s="5">
        <v>174</v>
      </c>
      <c r="G1226" s="12">
        <f>SUM($D$7:D1226)</f>
        <v>9373963.1100000162</v>
      </c>
      <c r="H1226" s="11">
        <f t="shared" si="19"/>
        <v>0.87880756868101195</v>
      </c>
    </row>
    <row r="1227" spans="1:8" ht="15" customHeight="1" x14ac:dyDescent="0.25">
      <c r="A1227" s="5">
        <v>1221</v>
      </c>
      <c r="B1227" s="10" t="s">
        <v>2468</v>
      </c>
      <c r="C1227" s="10" t="s">
        <v>2469</v>
      </c>
      <c r="D1227" s="7">
        <v>1688.22</v>
      </c>
      <c r="E1227" s="5">
        <v>860</v>
      </c>
      <c r="F1227" s="5">
        <v>138</v>
      </c>
      <c r="G1227" s="12">
        <f>SUM($D$7:D1227)</f>
        <v>9375651.3300000168</v>
      </c>
      <c r="H1227" s="11">
        <f t="shared" si="19"/>
        <v>0.87896583904075087</v>
      </c>
    </row>
    <row r="1228" spans="1:8" ht="15" customHeight="1" x14ac:dyDescent="0.25">
      <c r="A1228" s="5">
        <v>1222</v>
      </c>
      <c r="B1228" s="10" t="s">
        <v>2470</v>
      </c>
      <c r="C1228" s="10" t="s">
        <v>2471</v>
      </c>
      <c r="D1228" s="7">
        <v>1687.5</v>
      </c>
      <c r="E1228" s="5">
        <v>4075</v>
      </c>
      <c r="F1228" s="5">
        <v>134</v>
      </c>
      <c r="G1228" s="12">
        <f>SUM($D$7:D1228)</f>
        <v>9377338.8300000168</v>
      </c>
      <c r="H1228" s="11">
        <f t="shared" si="19"/>
        <v>0.87912404190060289</v>
      </c>
    </row>
    <row r="1229" spans="1:8" ht="15" customHeight="1" x14ac:dyDescent="0.25">
      <c r="A1229" s="5">
        <v>1223</v>
      </c>
      <c r="B1229" s="10" t="s">
        <v>2472</v>
      </c>
      <c r="C1229" s="10" t="s">
        <v>2473</v>
      </c>
      <c r="D1229" s="7">
        <v>1686.5</v>
      </c>
      <c r="E1229" s="5">
        <v>1068</v>
      </c>
      <c r="F1229" s="5">
        <v>132</v>
      </c>
      <c r="G1229" s="12">
        <f>SUM($D$7:D1229)</f>
        <v>9379025.3300000168</v>
      </c>
      <c r="H1229" s="11">
        <f t="shared" si="19"/>
        <v>0.87928215101061202</v>
      </c>
    </row>
    <row r="1230" spans="1:8" ht="15" customHeight="1" x14ac:dyDescent="0.25">
      <c r="A1230" s="5">
        <v>1224</v>
      </c>
      <c r="B1230" s="10" t="s">
        <v>2474</v>
      </c>
      <c r="C1230" s="10" t="s">
        <v>2475</v>
      </c>
      <c r="D1230" s="7">
        <v>1681.5</v>
      </c>
      <c r="E1230" s="5">
        <v>2382</v>
      </c>
      <c r="F1230" s="5">
        <v>232</v>
      </c>
      <c r="G1230" s="12">
        <f>SUM($D$7:D1230)</f>
        <v>9380706.8300000168</v>
      </c>
      <c r="H1230" s="11">
        <f t="shared" si="19"/>
        <v>0.87943979137140682</v>
      </c>
    </row>
    <row r="1231" spans="1:8" ht="15" customHeight="1" x14ac:dyDescent="0.25">
      <c r="A1231" s="5">
        <v>1225</v>
      </c>
      <c r="B1231" s="10" t="s">
        <v>2476</v>
      </c>
      <c r="C1231" s="10" t="s">
        <v>2477</v>
      </c>
      <c r="D1231" s="7">
        <v>1680.48</v>
      </c>
      <c r="E1231" s="5">
        <v>782</v>
      </c>
      <c r="F1231" s="5">
        <v>102</v>
      </c>
      <c r="G1231" s="12">
        <f>SUM($D$7:D1231)</f>
        <v>9382387.3100000173</v>
      </c>
      <c r="H1231" s="11">
        <f t="shared" si="19"/>
        <v>0.8795973361073619</v>
      </c>
    </row>
    <row r="1232" spans="1:8" ht="15" customHeight="1" x14ac:dyDescent="0.25">
      <c r="A1232" s="5">
        <v>1226</v>
      </c>
      <c r="B1232" s="10" t="s">
        <v>2478</v>
      </c>
      <c r="C1232" s="10" t="s">
        <v>2479</v>
      </c>
      <c r="D1232" s="7">
        <v>1679.65</v>
      </c>
      <c r="E1232" s="5">
        <v>1033</v>
      </c>
      <c r="F1232" s="5">
        <v>148</v>
      </c>
      <c r="G1232" s="12">
        <f>SUM($D$7:D1232)</f>
        <v>9384066.9600000177</v>
      </c>
      <c r="H1232" s="11">
        <f t="shared" si="19"/>
        <v>0.87975480303094733</v>
      </c>
    </row>
    <row r="1233" spans="1:8" ht="15" customHeight="1" x14ac:dyDescent="0.25">
      <c r="A1233" s="5">
        <v>1227</v>
      </c>
      <c r="B1233" s="10" t="s">
        <v>2480</v>
      </c>
      <c r="C1233" s="10" t="s">
        <v>2481</v>
      </c>
      <c r="D1233" s="7">
        <v>1676.88</v>
      </c>
      <c r="E1233" s="5">
        <v>3347</v>
      </c>
      <c r="F1233" s="5">
        <v>272</v>
      </c>
      <c r="G1233" s="12">
        <f>SUM($D$7:D1233)</f>
        <v>9385743.8400000185</v>
      </c>
      <c r="H1233" s="11">
        <f t="shared" si="19"/>
        <v>0.87991201026746813</v>
      </c>
    </row>
    <row r="1234" spans="1:8" ht="15" customHeight="1" x14ac:dyDescent="0.25">
      <c r="A1234" s="5">
        <v>1228</v>
      </c>
      <c r="B1234" s="10" t="s">
        <v>2482</v>
      </c>
      <c r="C1234" s="10" t="s">
        <v>2483</v>
      </c>
      <c r="D1234" s="7">
        <v>1673.15</v>
      </c>
      <c r="E1234" s="5">
        <v>352</v>
      </c>
      <c r="F1234" s="5">
        <v>112</v>
      </c>
      <c r="G1234" s="12">
        <f>SUM($D$7:D1234)</f>
        <v>9387416.9900000188</v>
      </c>
      <c r="H1234" s="11">
        <f t="shared" si="19"/>
        <v>0.88006886781707483</v>
      </c>
    </row>
    <row r="1235" spans="1:8" ht="15" customHeight="1" x14ac:dyDescent="0.25">
      <c r="A1235" s="5">
        <v>1229</v>
      </c>
      <c r="B1235" s="10" t="s">
        <v>2484</v>
      </c>
      <c r="C1235" s="10" t="s">
        <v>2485</v>
      </c>
      <c r="D1235" s="7">
        <v>1672.79</v>
      </c>
      <c r="E1235" s="5">
        <v>2386</v>
      </c>
      <c r="F1235" s="5">
        <v>225</v>
      </c>
      <c r="G1235" s="12">
        <f>SUM($D$7:D1235)</f>
        <v>9389089.780000018</v>
      </c>
      <c r="H1235" s="11">
        <f t="shared" si="19"/>
        <v>0.88022569161673814</v>
      </c>
    </row>
    <row r="1236" spans="1:8" ht="15" customHeight="1" x14ac:dyDescent="0.25">
      <c r="A1236" s="5">
        <v>1230</v>
      </c>
      <c r="B1236" s="10" t="s">
        <v>2486</v>
      </c>
      <c r="C1236" s="10" t="s">
        <v>2487</v>
      </c>
      <c r="D1236" s="7">
        <v>1669.53</v>
      </c>
      <c r="E1236" s="5">
        <v>1260</v>
      </c>
      <c r="F1236" s="5">
        <v>225</v>
      </c>
      <c r="G1236" s="12">
        <f>SUM($D$7:D1236)</f>
        <v>9390759.3100000173</v>
      </c>
      <c r="H1236" s="11">
        <f t="shared" si="19"/>
        <v>0.88038220979191362</v>
      </c>
    </row>
    <row r="1237" spans="1:8" ht="15" customHeight="1" x14ac:dyDescent="0.25">
      <c r="A1237" s="5">
        <v>1231</v>
      </c>
      <c r="B1237" s="10" t="s">
        <v>2488</v>
      </c>
      <c r="C1237" s="10" t="s">
        <v>2489</v>
      </c>
      <c r="D1237" s="7">
        <v>1668.49</v>
      </c>
      <c r="E1237" s="5">
        <v>200</v>
      </c>
      <c r="F1237" s="5">
        <v>89</v>
      </c>
      <c r="G1237" s="12">
        <f>SUM($D$7:D1237)</f>
        <v>9392427.8000000175</v>
      </c>
      <c r="H1237" s="11">
        <f t="shared" si="19"/>
        <v>0.88053863046725256</v>
      </c>
    </row>
    <row r="1238" spans="1:8" ht="15" customHeight="1" x14ac:dyDescent="0.25">
      <c r="A1238" s="5">
        <v>1232</v>
      </c>
      <c r="B1238" s="10" t="s">
        <v>2490</v>
      </c>
      <c r="C1238" s="10" t="s">
        <v>2491</v>
      </c>
      <c r="D1238" s="7">
        <v>1664.9</v>
      </c>
      <c r="E1238" s="5">
        <v>720</v>
      </c>
      <c r="F1238" s="5">
        <v>175</v>
      </c>
      <c r="G1238" s="12">
        <f>SUM($D$7:D1238)</f>
        <v>9394092.7000000179</v>
      </c>
      <c r="H1238" s="11">
        <f t="shared" si="19"/>
        <v>0.88069471458065562</v>
      </c>
    </row>
    <row r="1239" spans="1:8" ht="15" customHeight="1" x14ac:dyDescent="0.25">
      <c r="A1239" s="5">
        <v>1233</v>
      </c>
      <c r="B1239" s="10" t="s">
        <v>2492</v>
      </c>
      <c r="C1239" s="10" t="s">
        <v>2493</v>
      </c>
      <c r="D1239" s="7">
        <v>1664.51</v>
      </c>
      <c r="E1239" s="5">
        <v>749</v>
      </c>
      <c r="F1239" s="5">
        <v>127</v>
      </c>
      <c r="G1239" s="12">
        <f>SUM($D$7:D1239)</f>
        <v>9395757.2100000177</v>
      </c>
      <c r="H1239" s="11">
        <f t="shared" si="19"/>
        <v>0.88085076213161984</v>
      </c>
    </row>
    <row r="1240" spans="1:8" ht="15" customHeight="1" x14ac:dyDescent="0.25">
      <c r="A1240" s="5">
        <v>1234</v>
      </c>
      <c r="B1240" s="10" t="s">
        <v>846</v>
      </c>
      <c r="C1240" s="10" t="s">
        <v>2494</v>
      </c>
      <c r="D1240" s="7">
        <v>1664.16</v>
      </c>
      <c r="E1240" s="5">
        <v>880</v>
      </c>
      <c r="F1240" s="5">
        <v>76</v>
      </c>
      <c r="G1240" s="12">
        <f>SUM($D$7:D1240)</f>
        <v>9397421.3700000178</v>
      </c>
      <c r="H1240" s="11">
        <f t="shared" si="19"/>
        <v>0.88100677687013917</v>
      </c>
    </row>
    <row r="1241" spans="1:8" ht="15" customHeight="1" x14ac:dyDescent="0.25">
      <c r="A1241" s="5">
        <v>1235</v>
      </c>
      <c r="B1241" s="10" t="s">
        <v>2495</v>
      </c>
      <c r="C1241" s="10" t="s">
        <v>2496</v>
      </c>
      <c r="D1241" s="7">
        <v>1661.47</v>
      </c>
      <c r="E1241" s="5">
        <v>157</v>
      </c>
      <c r="F1241" s="5">
        <v>55</v>
      </c>
      <c r="G1241" s="12">
        <f>SUM($D$7:D1241)</f>
        <v>9399082.8400000185</v>
      </c>
      <c r="H1241" s="11">
        <f t="shared" si="19"/>
        <v>0.88116253942158118</v>
      </c>
    </row>
    <row r="1242" spans="1:8" ht="15" customHeight="1" x14ac:dyDescent="0.25">
      <c r="A1242" s="5">
        <v>1236</v>
      </c>
      <c r="B1242" s="10" t="s">
        <v>2497</v>
      </c>
      <c r="C1242" s="10" t="s">
        <v>2498</v>
      </c>
      <c r="D1242" s="7">
        <v>1660.04</v>
      </c>
      <c r="E1242" s="5">
        <v>1207</v>
      </c>
      <c r="F1242" s="5">
        <v>115</v>
      </c>
      <c r="G1242" s="12">
        <f>SUM($D$7:D1242)</f>
        <v>9400742.8800000176</v>
      </c>
      <c r="H1242" s="11">
        <f t="shared" si="19"/>
        <v>0.8813181679107478</v>
      </c>
    </row>
    <row r="1243" spans="1:8" ht="15" customHeight="1" x14ac:dyDescent="0.25">
      <c r="A1243" s="5">
        <v>1237</v>
      </c>
      <c r="B1243" s="10" t="s">
        <v>2499</v>
      </c>
      <c r="C1243" s="10" t="s">
        <v>2500</v>
      </c>
      <c r="D1243" s="7">
        <v>1659.37</v>
      </c>
      <c r="E1243" s="5">
        <v>1183</v>
      </c>
      <c r="F1243" s="5">
        <v>125</v>
      </c>
      <c r="G1243" s="12">
        <f>SUM($D$7:D1243)</f>
        <v>9402402.2500000168</v>
      </c>
      <c r="H1243" s="11">
        <f t="shared" si="19"/>
        <v>0.88147373358751968</v>
      </c>
    </row>
    <row r="1244" spans="1:8" ht="15" customHeight="1" x14ac:dyDescent="0.25">
      <c r="A1244" s="5">
        <v>1238</v>
      </c>
      <c r="B1244" s="10" t="s">
        <v>2501</v>
      </c>
      <c r="C1244" s="10" t="s">
        <v>2502</v>
      </c>
      <c r="D1244" s="7">
        <v>1658.57</v>
      </c>
      <c r="E1244" s="5">
        <v>1139</v>
      </c>
      <c r="F1244" s="5">
        <v>98</v>
      </c>
      <c r="G1244" s="12">
        <f>SUM($D$7:D1244)</f>
        <v>9404060.8200000171</v>
      </c>
      <c r="H1244" s="11">
        <f t="shared" si="19"/>
        <v>0.88162922426441725</v>
      </c>
    </row>
    <row r="1245" spans="1:8" ht="15" customHeight="1" x14ac:dyDescent="0.25">
      <c r="A1245" s="5">
        <v>1239</v>
      </c>
      <c r="B1245" s="10" t="s">
        <v>2503</v>
      </c>
      <c r="C1245" s="10" t="s">
        <v>2504</v>
      </c>
      <c r="D1245" s="7">
        <v>1655.96</v>
      </c>
      <c r="E1245" s="5">
        <v>472</v>
      </c>
      <c r="F1245" s="5">
        <v>116</v>
      </c>
      <c r="G1245" s="12">
        <f>SUM($D$7:D1245)</f>
        <v>9405716.780000018</v>
      </c>
      <c r="H1245" s="11">
        <f t="shared" si="19"/>
        <v>0.88178447025422513</v>
      </c>
    </row>
    <row r="1246" spans="1:8" ht="15" customHeight="1" x14ac:dyDescent="0.25">
      <c r="A1246" s="5">
        <v>1240</v>
      </c>
      <c r="B1246" s="10" t="s">
        <v>2505</v>
      </c>
      <c r="C1246" s="10" t="s">
        <v>2506</v>
      </c>
      <c r="D1246" s="7">
        <v>1655.36</v>
      </c>
      <c r="E1246" s="5">
        <v>5482</v>
      </c>
      <c r="F1246" s="5">
        <v>271</v>
      </c>
      <c r="G1246" s="12">
        <f>SUM($D$7:D1246)</f>
        <v>9407372.1400000174</v>
      </c>
      <c r="H1246" s="11">
        <f t="shared" si="19"/>
        <v>0.88193965999412705</v>
      </c>
    </row>
    <row r="1247" spans="1:8" ht="15" customHeight="1" x14ac:dyDescent="0.25">
      <c r="A1247" s="5">
        <v>1241</v>
      </c>
      <c r="B1247" s="10" t="s">
        <v>2507</v>
      </c>
      <c r="C1247" s="10" t="s">
        <v>2508</v>
      </c>
      <c r="D1247" s="7">
        <v>1652.27</v>
      </c>
      <c r="E1247" s="5">
        <v>901</v>
      </c>
      <c r="F1247" s="5">
        <v>94</v>
      </c>
      <c r="G1247" s="12">
        <f>SUM($D$7:D1247)</f>
        <v>9409024.4100000169</v>
      </c>
      <c r="H1247" s="11">
        <f t="shared" si="19"/>
        <v>0.88209456004701448</v>
      </c>
    </row>
    <row r="1248" spans="1:8" ht="15" customHeight="1" x14ac:dyDescent="0.25">
      <c r="A1248" s="5">
        <v>1242</v>
      </c>
      <c r="B1248" s="10" t="s">
        <v>2509</v>
      </c>
      <c r="C1248" s="10" t="s">
        <v>2510</v>
      </c>
      <c r="D1248" s="7">
        <v>1651.36</v>
      </c>
      <c r="E1248" s="5">
        <v>1340</v>
      </c>
      <c r="F1248" s="5">
        <v>73</v>
      </c>
      <c r="G1248" s="12">
        <f>SUM($D$7:D1248)</f>
        <v>9410675.7700000163</v>
      </c>
      <c r="H1248" s="11">
        <f t="shared" si="19"/>
        <v>0.88224937478754495</v>
      </c>
    </row>
    <row r="1249" spans="1:8" ht="15" customHeight="1" x14ac:dyDescent="0.25">
      <c r="A1249" s="5">
        <v>1243</v>
      </c>
      <c r="B1249" s="10" t="s">
        <v>2511</v>
      </c>
      <c r="C1249" s="10" t="s">
        <v>450</v>
      </c>
      <c r="D1249" s="7">
        <v>1651.15</v>
      </c>
      <c r="E1249" s="5">
        <v>199</v>
      </c>
      <c r="F1249" s="5">
        <v>102</v>
      </c>
      <c r="G1249" s="12">
        <f>SUM($D$7:D1249)</f>
        <v>9412326.9200000167</v>
      </c>
      <c r="H1249" s="11">
        <f t="shared" si="19"/>
        <v>0.88240416984060843</v>
      </c>
    </row>
    <row r="1250" spans="1:8" ht="15" customHeight="1" x14ac:dyDescent="0.25">
      <c r="A1250" s="5">
        <v>1244</v>
      </c>
      <c r="B1250" s="10" t="s">
        <v>2512</v>
      </c>
      <c r="C1250" s="10" t="s">
        <v>2513</v>
      </c>
      <c r="D1250" s="7">
        <v>1649.05</v>
      </c>
      <c r="E1250" s="5">
        <v>969</v>
      </c>
      <c r="F1250" s="5">
        <v>112</v>
      </c>
      <c r="G1250" s="12">
        <f>SUM($D$7:D1250)</f>
        <v>9413975.9700000174</v>
      </c>
      <c r="H1250" s="11">
        <f t="shared" si="19"/>
        <v>0.88255876801900202</v>
      </c>
    </row>
    <row r="1251" spans="1:8" ht="15" customHeight="1" x14ac:dyDescent="0.25">
      <c r="A1251" s="5">
        <v>1245</v>
      </c>
      <c r="B1251" s="10" t="s">
        <v>2514</v>
      </c>
      <c r="C1251" s="10" t="s">
        <v>2515</v>
      </c>
      <c r="D1251" s="7">
        <v>1647.16</v>
      </c>
      <c r="E1251" s="5">
        <v>5088</v>
      </c>
      <c r="F1251" s="5">
        <v>340</v>
      </c>
      <c r="G1251" s="12">
        <f>SUM($D$7:D1251)</f>
        <v>9415623.1300000176</v>
      </c>
      <c r="H1251" s="11">
        <f t="shared" si="19"/>
        <v>0.88271318901019247</v>
      </c>
    </row>
    <row r="1252" spans="1:8" ht="15" customHeight="1" x14ac:dyDescent="0.25">
      <c r="A1252" s="5">
        <v>1246</v>
      </c>
      <c r="B1252" s="10" t="s">
        <v>2516</v>
      </c>
      <c r="C1252" s="10" t="s">
        <v>2517</v>
      </c>
      <c r="D1252" s="7">
        <v>1642.13</v>
      </c>
      <c r="E1252" s="5">
        <v>750</v>
      </c>
      <c r="F1252" s="5">
        <v>168</v>
      </c>
      <c r="G1252" s="12">
        <f>SUM($D$7:D1252)</f>
        <v>9417265.2600000184</v>
      </c>
      <c r="H1252" s="11">
        <f t="shared" si="19"/>
        <v>0.88286713843967324</v>
      </c>
    </row>
    <row r="1253" spans="1:8" ht="15" customHeight="1" x14ac:dyDescent="0.25">
      <c r="A1253" s="5">
        <v>1247</v>
      </c>
      <c r="B1253" s="10" t="s">
        <v>2518</v>
      </c>
      <c r="C1253" s="10" t="s">
        <v>2519</v>
      </c>
      <c r="D1253" s="7">
        <v>1641.62</v>
      </c>
      <c r="E1253" s="5">
        <v>954</v>
      </c>
      <c r="F1253" s="5">
        <v>131</v>
      </c>
      <c r="G1253" s="12">
        <f>SUM($D$7:D1253)</f>
        <v>9418906.8800000176</v>
      </c>
      <c r="H1253" s="11">
        <f t="shared" si="19"/>
        <v>0.8830210400567341</v>
      </c>
    </row>
    <row r="1254" spans="1:8" ht="15" customHeight="1" x14ac:dyDescent="0.25">
      <c r="A1254" s="5">
        <v>1248</v>
      </c>
      <c r="B1254" s="10" t="s">
        <v>2520</v>
      </c>
      <c r="C1254" s="10" t="s">
        <v>2521</v>
      </c>
      <c r="D1254" s="7">
        <v>1639.29</v>
      </c>
      <c r="E1254" s="5">
        <v>349</v>
      </c>
      <c r="F1254" s="5">
        <v>167</v>
      </c>
      <c r="G1254" s="12">
        <f>SUM($D$7:D1254)</f>
        <v>9420546.1700000167</v>
      </c>
      <c r="H1254" s="11">
        <f t="shared" si="19"/>
        <v>0.88317472323666102</v>
      </c>
    </row>
    <row r="1255" spans="1:8" ht="15" customHeight="1" x14ac:dyDescent="0.25">
      <c r="A1255" s="5">
        <v>1249</v>
      </c>
      <c r="B1255" s="10" t="s">
        <v>2522</v>
      </c>
      <c r="C1255" s="10" t="s">
        <v>2523</v>
      </c>
      <c r="D1255" s="7">
        <v>1638.7</v>
      </c>
      <c r="E1255" s="5">
        <v>2204</v>
      </c>
      <c r="F1255" s="5">
        <v>191</v>
      </c>
      <c r="G1255" s="12">
        <f>SUM($D$7:D1255)</f>
        <v>9422184.8700000159</v>
      </c>
      <c r="H1255" s="11">
        <f t="shared" si="19"/>
        <v>0.88332835110418062</v>
      </c>
    </row>
    <row r="1256" spans="1:8" ht="15" customHeight="1" x14ac:dyDescent="0.25">
      <c r="A1256" s="5">
        <v>1250</v>
      </c>
      <c r="B1256" s="10" t="s">
        <v>2524</v>
      </c>
      <c r="C1256" s="10" t="s">
        <v>2525</v>
      </c>
      <c r="D1256" s="7">
        <v>1638.35</v>
      </c>
      <c r="E1256" s="5">
        <v>3749</v>
      </c>
      <c r="F1256" s="5">
        <v>162</v>
      </c>
      <c r="G1256" s="12">
        <f>SUM($D$7:D1256)</f>
        <v>9423823.2200000156</v>
      </c>
      <c r="H1256" s="11">
        <f t="shared" si="19"/>
        <v>0.88348194615925524</v>
      </c>
    </row>
    <row r="1257" spans="1:8" ht="15" customHeight="1" x14ac:dyDescent="0.25">
      <c r="A1257" s="5">
        <v>1251</v>
      </c>
      <c r="B1257" s="10" t="s">
        <v>2526</v>
      </c>
      <c r="C1257" s="10" t="s">
        <v>2527</v>
      </c>
      <c r="D1257" s="7">
        <v>1636.57</v>
      </c>
      <c r="E1257" s="5">
        <v>1201</v>
      </c>
      <c r="F1257" s="5">
        <v>239</v>
      </c>
      <c r="G1257" s="12">
        <f>SUM($D$7:D1257)</f>
        <v>9425459.7900000159</v>
      </c>
      <c r="H1257" s="11">
        <f t="shared" si="19"/>
        <v>0.88363537433960959</v>
      </c>
    </row>
    <row r="1258" spans="1:8" ht="15" customHeight="1" x14ac:dyDescent="0.25">
      <c r="A1258" s="5">
        <v>1252</v>
      </c>
      <c r="B1258" s="10" t="s">
        <v>2528</v>
      </c>
      <c r="C1258" s="10" t="s">
        <v>2529</v>
      </c>
      <c r="D1258" s="7">
        <v>1636.27</v>
      </c>
      <c r="E1258" s="5">
        <v>303</v>
      </c>
      <c r="F1258" s="5">
        <v>132</v>
      </c>
      <c r="G1258" s="12">
        <f>SUM($D$7:D1258)</f>
        <v>9427096.0600000154</v>
      </c>
      <c r="H1258" s="11">
        <f t="shared" si="19"/>
        <v>0.88378877439501113</v>
      </c>
    </row>
    <row r="1259" spans="1:8" ht="15" customHeight="1" x14ac:dyDescent="0.25">
      <c r="A1259" s="5">
        <v>1253</v>
      </c>
      <c r="B1259" s="10" t="s">
        <v>2530</v>
      </c>
      <c r="C1259" s="10" t="s">
        <v>2531</v>
      </c>
      <c r="D1259" s="7">
        <v>1634.92</v>
      </c>
      <c r="E1259" s="5">
        <v>3582</v>
      </c>
      <c r="F1259" s="5">
        <v>131</v>
      </c>
      <c r="G1259" s="12">
        <f>SUM($D$7:D1259)</f>
        <v>9428730.9800000153</v>
      </c>
      <c r="H1259" s="11">
        <f t="shared" si="19"/>
        <v>0.88394204788812469</v>
      </c>
    </row>
    <row r="1260" spans="1:8" ht="15" customHeight="1" x14ac:dyDescent="0.25">
      <c r="A1260" s="5">
        <v>1254</v>
      </c>
      <c r="B1260" s="10" t="s">
        <v>2532</v>
      </c>
      <c r="C1260" s="10" t="s">
        <v>2533</v>
      </c>
      <c r="D1260" s="7">
        <v>1633.78</v>
      </c>
      <c r="E1260" s="5">
        <v>949</v>
      </c>
      <c r="F1260" s="5">
        <v>120</v>
      </c>
      <c r="G1260" s="12">
        <f>SUM($D$7:D1260)</f>
        <v>9430364.7600000147</v>
      </c>
      <c r="H1260" s="11">
        <f t="shared" si="19"/>
        <v>0.88409521450641737</v>
      </c>
    </row>
    <row r="1261" spans="1:8" ht="15" customHeight="1" x14ac:dyDescent="0.25">
      <c r="A1261" s="5">
        <v>1255</v>
      </c>
      <c r="B1261" s="10" t="s">
        <v>2534</v>
      </c>
      <c r="C1261" s="10" t="s">
        <v>2535</v>
      </c>
      <c r="D1261" s="7">
        <v>1631.58</v>
      </c>
      <c r="E1261" s="5">
        <v>208</v>
      </c>
      <c r="F1261" s="5">
        <v>89</v>
      </c>
      <c r="G1261" s="12">
        <f>SUM($D$7:D1261)</f>
        <v>9431996.3400000148</v>
      </c>
      <c r="H1261" s="11">
        <f t="shared" si="19"/>
        <v>0.8842481748750558</v>
      </c>
    </row>
    <row r="1262" spans="1:8" ht="15" customHeight="1" x14ac:dyDescent="0.25">
      <c r="A1262" s="5">
        <v>1256</v>
      </c>
      <c r="B1262" s="10" t="s">
        <v>2536</v>
      </c>
      <c r="C1262" s="10" t="s">
        <v>2537</v>
      </c>
      <c r="D1262" s="7">
        <v>1628.17</v>
      </c>
      <c r="E1262" s="5">
        <v>389</v>
      </c>
      <c r="F1262" s="5">
        <v>86</v>
      </c>
      <c r="G1262" s="12">
        <f>SUM($D$7:D1262)</f>
        <v>9433624.5100000147</v>
      </c>
      <c r="H1262" s="11">
        <f t="shared" si="19"/>
        <v>0.88440081555673</v>
      </c>
    </row>
    <row r="1263" spans="1:8" ht="15" customHeight="1" x14ac:dyDescent="0.25">
      <c r="A1263" s="5">
        <v>1257</v>
      </c>
      <c r="B1263" s="10" t="s">
        <v>2538</v>
      </c>
      <c r="C1263" s="10" t="s">
        <v>2539</v>
      </c>
      <c r="D1263" s="7">
        <v>1624.76</v>
      </c>
      <c r="E1263" s="5">
        <v>537</v>
      </c>
      <c r="F1263" s="5">
        <v>130</v>
      </c>
      <c r="G1263" s="12">
        <f>SUM($D$7:D1263)</f>
        <v>9435249.2700000145</v>
      </c>
      <c r="H1263" s="11">
        <f t="shared" si="19"/>
        <v>0.88455313655144008</v>
      </c>
    </row>
    <row r="1264" spans="1:8" ht="15" customHeight="1" x14ac:dyDescent="0.25">
      <c r="A1264" s="5">
        <v>1258</v>
      </c>
      <c r="B1264" s="10" t="s">
        <v>2540</v>
      </c>
      <c r="C1264" s="10" t="s">
        <v>2541</v>
      </c>
      <c r="D1264" s="7">
        <v>1624.63</v>
      </c>
      <c r="E1264" s="5">
        <v>1204</v>
      </c>
      <c r="F1264" s="5">
        <v>186</v>
      </c>
      <c r="G1264" s="12">
        <f>SUM($D$7:D1264)</f>
        <v>9436873.9000000153</v>
      </c>
      <c r="H1264" s="11">
        <f t="shared" si="19"/>
        <v>0.88470544535867057</v>
      </c>
    </row>
    <row r="1265" spans="1:8" ht="15" customHeight="1" x14ac:dyDescent="0.25">
      <c r="A1265" s="5">
        <v>1259</v>
      </c>
      <c r="B1265" s="10" t="s">
        <v>2542</v>
      </c>
      <c r="C1265" s="10" t="s">
        <v>2543</v>
      </c>
      <c r="D1265" s="7">
        <v>1623.04</v>
      </c>
      <c r="E1265" s="5">
        <v>503</v>
      </c>
      <c r="F1265" s="5">
        <v>112</v>
      </c>
      <c r="G1265" s="12">
        <f>SUM($D$7:D1265)</f>
        <v>9438496.9400000144</v>
      </c>
      <c r="H1265" s="11">
        <f t="shared" si="19"/>
        <v>0.88485760510365075</v>
      </c>
    </row>
    <row r="1266" spans="1:8" ht="15" customHeight="1" x14ac:dyDescent="0.25">
      <c r="A1266" s="5">
        <v>1260</v>
      </c>
      <c r="B1266" s="10" t="s">
        <v>2544</v>
      </c>
      <c r="C1266" s="10" t="s">
        <v>2545</v>
      </c>
      <c r="D1266" s="7">
        <v>1622.24</v>
      </c>
      <c r="E1266" s="5">
        <v>440</v>
      </c>
      <c r="F1266" s="5">
        <v>92</v>
      </c>
      <c r="G1266" s="12">
        <f>SUM($D$7:D1266)</f>
        <v>9440119.1800000146</v>
      </c>
      <c r="H1266" s="11">
        <f t="shared" si="19"/>
        <v>0.88500968984875672</v>
      </c>
    </row>
    <row r="1267" spans="1:8" ht="15" customHeight="1" x14ac:dyDescent="0.25">
      <c r="A1267" s="5">
        <v>1261</v>
      </c>
      <c r="B1267" s="10" t="s">
        <v>2546</v>
      </c>
      <c r="C1267" s="10" t="s">
        <v>2547</v>
      </c>
      <c r="D1267" s="7">
        <v>1621.76</v>
      </c>
      <c r="E1267" s="5">
        <v>347</v>
      </c>
      <c r="F1267" s="5">
        <v>120</v>
      </c>
      <c r="G1267" s="12">
        <f>SUM($D$7:D1267)</f>
        <v>9441740.9400000144</v>
      </c>
      <c r="H1267" s="11">
        <f t="shared" si="19"/>
        <v>0.88516172959393813</v>
      </c>
    </row>
    <row r="1268" spans="1:8" ht="15" customHeight="1" x14ac:dyDescent="0.25">
      <c r="A1268" s="5">
        <v>1262</v>
      </c>
      <c r="B1268" s="10" t="s">
        <v>2548</v>
      </c>
      <c r="C1268" s="10" t="s">
        <v>2549</v>
      </c>
      <c r="D1268" s="7">
        <v>1614.4</v>
      </c>
      <c r="E1268" s="5">
        <v>207</v>
      </c>
      <c r="F1268" s="5">
        <v>87</v>
      </c>
      <c r="G1268" s="12">
        <f>SUM($D$7:D1268)</f>
        <v>9443355.3400000148</v>
      </c>
      <c r="H1268" s="11">
        <f t="shared" si="19"/>
        <v>0.88531307934027592</v>
      </c>
    </row>
    <row r="1269" spans="1:8" ht="15" customHeight="1" x14ac:dyDescent="0.25">
      <c r="A1269" s="5">
        <v>1263</v>
      </c>
      <c r="B1269" s="10" t="s">
        <v>2550</v>
      </c>
      <c r="C1269" s="10" t="s">
        <v>2551</v>
      </c>
      <c r="D1269" s="7">
        <v>1613.82</v>
      </c>
      <c r="E1269" s="5">
        <v>1309</v>
      </c>
      <c r="F1269" s="5">
        <v>97</v>
      </c>
      <c r="G1269" s="12">
        <f>SUM($D$7:D1269)</f>
        <v>9444969.1600000151</v>
      </c>
      <c r="H1269" s="11">
        <f t="shared" si="19"/>
        <v>0.88546437471170492</v>
      </c>
    </row>
    <row r="1270" spans="1:8" ht="15" customHeight="1" x14ac:dyDescent="0.25">
      <c r="A1270" s="5">
        <v>1264</v>
      </c>
      <c r="B1270" s="10" t="s">
        <v>2552</v>
      </c>
      <c r="C1270" s="10" t="s">
        <v>2553</v>
      </c>
      <c r="D1270" s="7">
        <v>1613.59</v>
      </c>
      <c r="E1270" s="5">
        <v>1891</v>
      </c>
      <c r="F1270" s="5">
        <v>198</v>
      </c>
      <c r="G1270" s="12">
        <f>SUM($D$7:D1270)</f>
        <v>9446582.7500000149</v>
      </c>
      <c r="H1270" s="11">
        <f t="shared" si="19"/>
        <v>0.88561564852066998</v>
      </c>
    </row>
    <row r="1271" spans="1:8" ht="15" customHeight="1" x14ac:dyDescent="0.25">
      <c r="A1271" s="5">
        <v>1265</v>
      </c>
      <c r="B1271" s="10" t="s">
        <v>2554</v>
      </c>
      <c r="C1271" s="10" t="s">
        <v>2555</v>
      </c>
      <c r="D1271" s="7">
        <v>1610.92</v>
      </c>
      <c r="E1271" s="5">
        <v>1290</v>
      </c>
      <c r="F1271" s="5">
        <v>109</v>
      </c>
      <c r="G1271" s="12">
        <f>SUM($D$7:D1271)</f>
        <v>9448193.6700000148</v>
      </c>
      <c r="H1271" s="11">
        <f t="shared" si="19"/>
        <v>0.88576667201755466</v>
      </c>
    </row>
    <row r="1272" spans="1:8" ht="15" customHeight="1" x14ac:dyDescent="0.25">
      <c r="A1272" s="5">
        <v>1266</v>
      </c>
      <c r="B1272" s="10" t="s">
        <v>2556</v>
      </c>
      <c r="C1272" s="10" t="s">
        <v>2557</v>
      </c>
      <c r="D1272" s="7">
        <v>1610.62</v>
      </c>
      <c r="E1272" s="5">
        <v>890</v>
      </c>
      <c r="F1272" s="5">
        <v>164</v>
      </c>
      <c r="G1272" s="12">
        <f>SUM($D$7:D1272)</f>
        <v>9449804.290000014</v>
      </c>
      <c r="H1272" s="11">
        <f t="shared" si="19"/>
        <v>0.8859176673894863</v>
      </c>
    </row>
    <row r="1273" spans="1:8" ht="15" customHeight="1" x14ac:dyDescent="0.25">
      <c r="A1273" s="5">
        <v>1267</v>
      </c>
      <c r="B1273" s="10" t="s">
        <v>2558</v>
      </c>
      <c r="C1273" s="10" t="s">
        <v>2559</v>
      </c>
      <c r="D1273" s="7">
        <v>1610.41</v>
      </c>
      <c r="E1273" s="5">
        <v>1650</v>
      </c>
      <c r="F1273" s="5">
        <v>143</v>
      </c>
      <c r="G1273" s="12">
        <f>SUM($D$7:D1273)</f>
        <v>9451414.7000000142</v>
      </c>
      <c r="H1273" s="11">
        <f t="shared" si="19"/>
        <v>0.88606864307395106</v>
      </c>
    </row>
    <row r="1274" spans="1:8" ht="15" customHeight="1" x14ac:dyDescent="0.25">
      <c r="A1274" s="5">
        <v>1268</v>
      </c>
      <c r="B1274" s="10" t="s">
        <v>2560</v>
      </c>
      <c r="C1274" s="10" t="s">
        <v>2561</v>
      </c>
      <c r="D1274" s="7">
        <v>1610.35</v>
      </c>
      <c r="E1274" s="5">
        <v>963</v>
      </c>
      <c r="F1274" s="5">
        <v>144</v>
      </c>
      <c r="G1274" s="12">
        <f>SUM($D$7:D1274)</f>
        <v>9453025.0500000138</v>
      </c>
      <c r="H1274" s="11">
        <f t="shared" si="19"/>
        <v>0.88621961313342523</v>
      </c>
    </row>
    <row r="1275" spans="1:8" ht="15" customHeight="1" x14ac:dyDescent="0.25">
      <c r="A1275" s="5">
        <v>1269</v>
      </c>
      <c r="B1275" s="10" t="s">
        <v>2562</v>
      </c>
      <c r="C1275" s="10" t="s">
        <v>2563</v>
      </c>
      <c r="D1275" s="7">
        <v>1608.86</v>
      </c>
      <c r="E1275" s="5">
        <v>1139</v>
      </c>
      <c r="F1275" s="5">
        <v>112</v>
      </c>
      <c r="G1275" s="12">
        <f>SUM($D$7:D1275)</f>
        <v>9454633.9100000132</v>
      </c>
      <c r="H1275" s="11">
        <f t="shared" si="19"/>
        <v>0.88637044350563343</v>
      </c>
    </row>
    <row r="1276" spans="1:8" ht="15" customHeight="1" x14ac:dyDescent="0.25">
      <c r="A1276" s="5">
        <v>1270</v>
      </c>
      <c r="B1276" s="10" t="s">
        <v>2564</v>
      </c>
      <c r="C1276" s="10" t="s">
        <v>2565</v>
      </c>
      <c r="D1276" s="7">
        <v>1605.67</v>
      </c>
      <c r="E1276" s="5">
        <v>316</v>
      </c>
      <c r="F1276" s="5">
        <v>138</v>
      </c>
      <c r="G1276" s="12">
        <f>SUM($D$7:D1276)</f>
        <v>9456239.5800000131</v>
      </c>
      <c r="H1276" s="11">
        <f t="shared" si="19"/>
        <v>0.88652097481584302</v>
      </c>
    </row>
    <row r="1277" spans="1:8" ht="15" customHeight="1" x14ac:dyDescent="0.25">
      <c r="A1277" s="5">
        <v>1271</v>
      </c>
      <c r="B1277" s="10" t="s">
        <v>2566</v>
      </c>
      <c r="C1277" s="10" t="s">
        <v>2567</v>
      </c>
      <c r="D1277" s="7">
        <v>1604.99</v>
      </c>
      <c r="E1277" s="5">
        <v>1601</v>
      </c>
      <c r="F1277" s="5">
        <v>136</v>
      </c>
      <c r="G1277" s="12">
        <f>SUM($D$7:D1277)</f>
        <v>9457844.5700000133</v>
      </c>
      <c r="H1277" s="11">
        <f t="shared" si="19"/>
        <v>0.88667144237615936</v>
      </c>
    </row>
    <row r="1278" spans="1:8" ht="15" customHeight="1" x14ac:dyDescent="0.25">
      <c r="A1278" s="5">
        <v>1272</v>
      </c>
      <c r="B1278" s="10" t="s">
        <v>2568</v>
      </c>
      <c r="C1278" s="10" t="s">
        <v>2569</v>
      </c>
      <c r="D1278" s="7">
        <v>1604.58</v>
      </c>
      <c r="E1278" s="5">
        <v>693</v>
      </c>
      <c r="F1278" s="5">
        <v>51</v>
      </c>
      <c r="G1278" s="12">
        <f>SUM($D$7:D1278)</f>
        <v>9459449.1500000134</v>
      </c>
      <c r="H1278" s="11">
        <f t="shared" si="19"/>
        <v>0.88682187149904013</v>
      </c>
    </row>
    <row r="1279" spans="1:8" ht="15" customHeight="1" x14ac:dyDescent="0.25">
      <c r="A1279" s="5">
        <v>1273</v>
      </c>
      <c r="B1279" s="10" t="s">
        <v>2570</v>
      </c>
      <c r="C1279" s="10" t="s">
        <v>2571</v>
      </c>
      <c r="D1279" s="7">
        <v>1603.77</v>
      </c>
      <c r="E1279" s="5">
        <v>3865</v>
      </c>
      <c r="F1279" s="5">
        <v>131</v>
      </c>
      <c r="G1279" s="12">
        <f>SUM($D$7:D1279)</f>
        <v>9461052.920000013</v>
      </c>
      <c r="H1279" s="11">
        <f t="shared" si="19"/>
        <v>0.88697222468454817</v>
      </c>
    </row>
    <row r="1280" spans="1:8" ht="15" customHeight="1" x14ac:dyDescent="0.25">
      <c r="A1280" s="5">
        <v>1274</v>
      </c>
      <c r="B1280" s="10" t="s">
        <v>2572</v>
      </c>
      <c r="C1280" s="10" t="s">
        <v>2573</v>
      </c>
      <c r="D1280" s="7">
        <v>1601.21</v>
      </c>
      <c r="E1280" s="5">
        <v>699</v>
      </c>
      <c r="F1280" s="5">
        <v>69</v>
      </c>
      <c r="G1280" s="12">
        <f>SUM($D$7:D1280)</f>
        <v>9462654.1300000139</v>
      </c>
      <c r="H1280" s="11">
        <f t="shared" si="19"/>
        <v>0.88712233787045858</v>
      </c>
    </row>
    <row r="1281" spans="1:8" ht="15" customHeight="1" x14ac:dyDescent="0.25">
      <c r="A1281" s="5">
        <v>1275</v>
      </c>
      <c r="B1281" s="10" t="s">
        <v>2574</v>
      </c>
      <c r="C1281" s="10" t="s">
        <v>2575</v>
      </c>
      <c r="D1281" s="7">
        <v>1596.67</v>
      </c>
      <c r="E1281" s="5">
        <v>1247</v>
      </c>
      <c r="F1281" s="5">
        <v>98</v>
      </c>
      <c r="G1281" s="12">
        <f>SUM($D$7:D1281)</f>
        <v>9464250.8000000138</v>
      </c>
      <c r="H1281" s="11">
        <f t="shared" si="19"/>
        <v>0.88727202543208217</v>
      </c>
    </row>
    <row r="1282" spans="1:8" ht="15" customHeight="1" x14ac:dyDescent="0.25">
      <c r="A1282" s="5">
        <v>1276</v>
      </c>
      <c r="B1282" s="10" t="s">
        <v>2576</v>
      </c>
      <c r="C1282" s="10" t="s">
        <v>2577</v>
      </c>
      <c r="D1282" s="7">
        <v>1593.58</v>
      </c>
      <c r="E1282" s="5">
        <v>864</v>
      </c>
      <c r="F1282" s="5">
        <v>103</v>
      </c>
      <c r="G1282" s="12">
        <f>SUM($D$7:D1282)</f>
        <v>9465844.3800000139</v>
      </c>
      <c r="H1282" s="11">
        <f t="shared" si="19"/>
        <v>0.88742142330669138</v>
      </c>
    </row>
    <row r="1283" spans="1:8" ht="15" customHeight="1" x14ac:dyDescent="0.25">
      <c r="A1283" s="5">
        <v>1277</v>
      </c>
      <c r="B1283" s="10" t="s">
        <v>2578</v>
      </c>
      <c r="C1283" s="10" t="s">
        <v>2579</v>
      </c>
      <c r="D1283" s="7">
        <v>1589.51</v>
      </c>
      <c r="E1283" s="5">
        <v>2576</v>
      </c>
      <c r="F1283" s="5">
        <v>248</v>
      </c>
      <c r="G1283" s="12">
        <f>SUM($D$7:D1283)</f>
        <v>9467433.8900000136</v>
      </c>
      <c r="H1283" s="11">
        <f t="shared" si="19"/>
        <v>0.88757043961944004</v>
      </c>
    </row>
    <row r="1284" spans="1:8" ht="15" customHeight="1" x14ac:dyDescent="0.25">
      <c r="A1284" s="5">
        <v>1278</v>
      </c>
      <c r="B1284" s="10" t="s">
        <v>2580</v>
      </c>
      <c r="C1284" s="10" t="s">
        <v>2581</v>
      </c>
      <c r="D1284" s="7">
        <v>1587.3</v>
      </c>
      <c r="E1284" s="5">
        <v>492</v>
      </c>
      <c r="F1284" s="5">
        <v>143</v>
      </c>
      <c r="G1284" s="12">
        <f>SUM($D$7:D1284)</f>
        <v>9469021.1900000144</v>
      </c>
      <c r="H1284" s="11">
        <f t="shared" si="19"/>
        <v>0.88771924874503594</v>
      </c>
    </row>
    <row r="1285" spans="1:8" ht="15" customHeight="1" x14ac:dyDescent="0.25">
      <c r="A1285" s="5">
        <v>1279</v>
      </c>
      <c r="B1285" s="10" t="s">
        <v>2582</v>
      </c>
      <c r="C1285" s="10" t="s">
        <v>2583</v>
      </c>
      <c r="D1285" s="7">
        <v>1586.75</v>
      </c>
      <c r="E1285" s="5">
        <v>795</v>
      </c>
      <c r="F1285" s="5">
        <v>99</v>
      </c>
      <c r="G1285" s="12">
        <f>SUM($D$7:D1285)</f>
        <v>9470607.9400000144</v>
      </c>
      <c r="H1285" s="11">
        <f t="shared" si="19"/>
        <v>0.88786800630821827</v>
      </c>
    </row>
    <row r="1286" spans="1:8" ht="15" customHeight="1" x14ac:dyDescent="0.25">
      <c r="A1286" s="5">
        <v>1280</v>
      </c>
      <c r="B1286" s="10" t="s">
        <v>2584</v>
      </c>
      <c r="C1286" s="10" t="s">
        <v>211</v>
      </c>
      <c r="D1286" s="7">
        <v>1585.28</v>
      </c>
      <c r="E1286" s="5">
        <v>127</v>
      </c>
      <c r="F1286" s="5">
        <v>84</v>
      </c>
      <c r="G1286" s="12">
        <f>SUM($D$7:D1286)</f>
        <v>9472193.2200000137</v>
      </c>
      <c r="H1286" s="11">
        <f t="shared" si="19"/>
        <v>0.88801662605913156</v>
      </c>
    </row>
    <row r="1287" spans="1:8" ht="15" customHeight="1" x14ac:dyDescent="0.25">
      <c r="A1287" s="5">
        <v>1281</v>
      </c>
      <c r="B1287" s="10" t="s">
        <v>2585</v>
      </c>
      <c r="C1287" s="10" t="s">
        <v>2586</v>
      </c>
      <c r="D1287" s="7">
        <v>1583.41</v>
      </c>
      <c r="E1287" s="5">
        <v>5275</v>
      </c>
      <c r="F1287" s="5">
        <v>232</v>
      </c>
      <c r="G1287" s="12">
        <f>SUM($D$7:D1287)</f>
        <v>9473776.6300000139</v>
      </c>
      <c r="H1287" s="11">
        <f t="shared" ref="H1287:H1350" si="20">G1287/SUM($D$7:$D$4167)</f>
        <v>0.88816507049783866</v>
      </c>
    </row>
    <row r="1288" spans="1:8" ht="15" customHeight="1" x14ac:dyDescent="0.25">
      <c r="A1288" s="5">
        <v>1282</v>
      </c>
      <c r="B1288" s="10" t="s">
        <v>2587</v>
      </c>
      <c r="C1288" s="10" t="s">
        <v>2588</v>
      </c>
      <c r="D1288" s="7">
        <v>1582.55</v>
      </c>
      <c r="E1288" s="5">
        <v>1021</v>
      </c>
      <c r="F1288" s="5">
        <v>137</v>
      </c>
      <c r="G1288" s="12">
        <f>SUM($D$7:D1288)</f>
        <v>9475359.1800000146</v>
      </c>
      <c r="H1288" s="11">
        <f t="shared" si="20"/>
        <v>0.88831343431168097</v>
      </c>
    </row>
    <row r="1289" spans="1:8" ht="15" customHeight="1" x14ac:dyDescent="0.25">
      <c r="A1289" s="5">
        <v>1283</v>
      </c>
      <c r="B1289" s="10" t="s">
        <v>2589</v>
      </c>
      <c r="C1289" s="10" t="s">
        <v>2590</v>
      </c>
      <c r="D1289" s="7">
        <v>1581.06</v>
      </c>
      <c r="E1289" s="5">
        <v>1105</v>
      </c>
      <c r="F1289" s="5">
        <v>126</v>
      </c>
      <c r="G1289" s="12">
        <f>SUM($D$7:D1289)</f>
        <v>9476940.2400000151</v>
      </c>
      <c r="H1289" s="11">
        <f t="shared" si="20"/>
        <v>0.88846165843825742</v>
      </c>
    </row>
    <row r="1290" spans="1:8" ht="15" customHeight="1" x14ac:dyDescent="0.25">
      <c r="A1290" s="5">
        <v>1284</v>
      </c>
      <c r="B1290" s="10" t="s">
        <v>2591</v>
      </c>
      <c r="C1290" s="10" t="s">
        <v>2592</v>
      </c>
      <c r="D1290" s="7">
        <v>1580.89</v>
      </c>
      <c r="E1290" s="5">
        <v>1157</v>
      </c>
      <c r="F1290" s="5">
        <v>199</v>
      </c>
      <c r="G1290" s="12">
        <f>SUM($D$7:D1290)</f>
        <v>9478521.1300000157</v>
      </c>
      <c r="H1290" s="11">
        <f t="shared" si="20"/>
        <v>0.88860986662736052</v>
      </c>
    </row>
    <row r="1291" spans="1:8" ht="15" customHeight="1" x14ac:dyDescent="0.25">
      <c r="A1291" s="5">
        <v>1285</v>
      </c>
      <c r="B1291" s="10" t="s">
        <v>2593</v>
      </c>
      <c r="C1291" s="10" t="s">
        <v>2594</v>
      </c>
      <c r="D1291" s="7">
        <v>1580.16</v>
      </c>
      <c r="E1291" s="5">
        <v>798</v>
      </c>
      <c r="F1291" s="5">
        <v>124</v>
      </c>
      <c r="G1291" s="12">
        <f>SUM($D$7:D1291)</f>
        <v>9480101.2900000159</v>
      </c>
      <c r="H1291" s="11">
        <f t="shared" si="20"/>
        <v>0.88875800637907831</v>
      </c>
    </row>
    <row r="1292" spans="1:8" ht="15" customHeight="1" x14ac:dyDescent="0.25">
      <c r="A1292" s="5">
        <v>1286</v>
      </c>
      <c r="B1292" s="10" t="s">
        <v>2595</v>
      </c>
      <c r="C1292" s="10" t="s">
        <v>2596</v>
      </c>
      <c r="D1292" s="7">
        <v>1578.42</v>
      </c>
      <c r="E1292" s="5">
        <v>218</v>
      </c>
      <c r="F1292" s="5">
        <v>111</v>
      </c>
      <c r="G1292" s="12">
        <f>SUM($D$7:D1292)</f>
        <v>9481679.7100000158</v>
      </c>
      <c r="H1292" s="11">
        <f t="shared" si="20"/>
        <v>0.88890598300606949</v>
      </c>
    </row>
    <row r="1293" spans="1:8" ht="15" customHeight="1" x14ac:dyDescent="0.25">
      <c r="A1293" s="5">
        <v>1287</v>
      </c>
      <c r="B1293" s="10" t="s">
        <v>2597</v>
      </c>
      <c r="C1293" s="10" t="s">
        <v>2598</v>
      </c>
      <c r="D1293" s="7">
        <v>1576.96</v>
      </c>
      <c r="E1293" s="5">
        <v>380</v>
      </c>
      <c r="F1293" s="5">
        <v>126</v>
      </c>
      <c r="G1293" s="12">
        <f>SUM($D$7:D1293)</f>
        <v>9483256.6700000167</v>
      </c>
      <c r="H1293" s="11">
        <f t="shared" si="20"/>
        <v>0.88905382275829015</v>
      </c>
    </row>
    <row r="1294" spans="1:8" ht="15" customHeight="1" x14ac:dyDescent="0.25">
      <c r="A1294" s="5">
        <v>1288</v>
      </c>
      <c r="B1294" s="10" t="s">
        <v>2599</v>
      </c>
      <c r="C1294" s="10" t="s">
        <v>2600</v>
      </c>
      <c r="D1294" s="7">
        <v>1576.47</v>
      </c>
      <c r="E1294" s="5">
        <v>1515</v>
      </c>
      <c r="F1294" s="5">
        <v>280</v>
      </c>
      <c r="G1294" s="12">
        <f>SUM($D$7:D1294)</f>
        <v>9484833.1400000174</v>
      </c>
      <c r="H1294" s="11">
        <f t="shared" si="20"/>
        <v>0.88920161657308772</v>
      </c>
    </row>
    <row r="1295" spans="1:8" ht="15" customHeight="1" x14ac:dyDescent="0.25">
      <c r="A1295" s="5">
        <v>1289</v>
      </c>
      <c r="B1295" s="10" t="s">
        <v>2601</v>
      </c>
      <c r="C1295" s="10" t="s">
        <v>2602</v>
      </c>
      <c r="D1295" s="7">
        <v>1573.52</v>
      </c>
      <c r="E1295" s="5">
        <v>1089</v>
      </c>
      <c r="F1295" s="5">
        <v>245</v>
      </c>
      <c r="G1295" s="12">
        <f>SUM($D$7:D1295)</f>
        <v>9486406.6600000169</v>
      </c>
      <c r="H1295" s="11">
        <f t="shared" si="20"/>
        <v>0.88934913382584879</v>
      </c>
    </row>
    <row r="1296" spans="1:8" ht="15" customHeight="1" x14ac:dyDescent="0.25">
      <c r="A1296" s="5">
        <v>1290</v>
      </c>
      <c r="B1296" s="10" t="s">
        <v>2603</v>
      </c>
      <c r="C1296" s="10" t="s">
        <v>2604</v>
      </c>
      <c r="D1296" s="7">
        <v>1572.95</v>
      </c>
      <c r="E1296" s="5">
        <v>574</v>
      </c>
      <c r="F1296" s="5">
        <v>111</v>
      </c>
      <c r="G1296" s="12">
        <f>SUM($D$7:D1296)</f>
        <v>9487979.6100000162</v>
      </c>
      <c r="H1296" s="11">
        <f t="shared" si="20"/>
        <v>0.88949659764119937</v>
      </c>
    </row>
    <row r="1297" spans="1:8" ht="15" customHeight="1" x14ac:dyDescent="0.25">
      <c r="A1297" s="5">
        <v>1291</v>
      </c>
      <c r="B1297" s="10" t="s">
        <v>2605</v>
      </c>
      <c r="C1297" s="10" t="s">
        <v>2606</v>
      </c>
      <c r="D1297" s="7">
        <v>1572.28</v>
      </c>
      <c r="E1297" s="5">
        <v>3741</v>
      </c>
      <c r="F1297" s="5">
        <v>274</v>
      </c>
      <c r="G1297" s="12">
        <f>SUM($D$7:D1297)</f>
        <v>9489551.8900000155</v>
      </c>
      <c r="H1297" s="11">
        <f t="shared" si="20"/>
        <v>0.88964399864415522</v>
      </c>
    </row>
    <row r="1298" spans="1:8" ht="15" customHeight="1" x14ac:dyDescent="0.25">
      <c r="A1298" s="5">
        <v>1292</v>
      </c>
      <c r="B1298" s="10" t="s">
        <v>2607</v>
      </c>
      <c r="C1298" s="10" t="s">
        <v>2608</v>
      </c>
      <c r="D1298" s="7">
        <v>1572.23</v>
      </c>
      <c r="E1298" s="5">
        <v>976</v>
      </c>
      <c r="F1298" s="5">
        <v>114</v>
      </c>
      <c r="G1298" s="12">
        <f>SUM($D$7:D1298)</f>
        <v>9491124.1200000159</v>
      </c>
      <c r="H1298" s="11">
        <f t="shared" si="20"/>
        <v>0.88979139495961901</v>
      </c>
    </row>
    <row r="1299" spans="1:8" ht="15" customHeight="1" x14ac:dyDescent="0.25">
      <c r="A1299" s="5">
        <v>1293</v>
      </c>
      <c r="B1299" s="10" t="s">
        <v>2609</v>
      </c>
      <c r="C1299" s="10" t="s">
        <v>2610</v>
      </c>
      <c r="D1299" s="7">
        <v>1567.14</v>
      </c>
      <c r="E1299" s="5">
        <v>78</v>
      </c>
      <c r="F1299" s="5">
        <v>45</v>
      </c>
      <c r="G1299" s="12">
        <f>SUM($D$7:D1299)</f>
        <v>9492691.2600000165</v>
      </c>
      <c r="H1299" s="11">
        <f t="shared" si="20"/>
        <v>0.88993831408838264</v>
      </c>
    </row>
    <row r="1300" spans="1:8" ht="15" customHeight="1" x14ac:dyDescent="0.25">
      <c r="A1300" s="5">
        <v>1294</v>
      </c>
      <c r="B1300" s="10" t="s">
        <v>2611</v>
      </c>
      <c r="C1300" s="10" t="s">
        <v>2612</v>
      </c>
      <c r="D1300" s="7">
        <v>1566.99</v>
      </c>
      <c r="E1300" s="5">
        <v>548</v>
      </c>
      <c r="F1300" s="5">
        <v>97</v>
      </c>
      <c r="G1300" s="12">
        <f>SUM($D$7:D1300)</f>
        <v>9494258.2500000168</v>
      </c>
      <c r="H1300" s="11">
        <f t="shared" si="20"/>
        <v>0.89008521915466976</v>
      </c>
    </row>
    <row r="1301" spans="1:8" ht="15" customHeight="1" x14ac:dyDescent="0.25">
      <c r="A1301" s="5">
        <v>1295</v>
      </c>
      <c r="B1301" s="10" t="s">
        <v>2613</v>
      </c>
      <c r="C1301" s="10" t="s">
        <v>2614</v>
      </c>
      <c r="D1301" s="7">
        <v>1565.83</v>
      </c>
      <c r="E1301" s="5">
        <v>398</v>
      </c>
      <c r="F1301" s="5">
        <v>148</v>
      </c>
      <c r="G1301" s="12">
        <f>SUM($D$7:D1301)</f>
        <v>9495824.0800000168</v>
      </c>
      <c r="H1301" s="11">
        <f t="shared" si="20"/>
        <v>0.89023201547113917</v>
      </c>
    </row>
    <row r="1302" spans="1:8" ht="15" customHeight="1" x14ac:dyDescent="0.25">
      <c r="A1302" s="5">
        <v>1296</v>
      </c>
      <c r="B1302" s="10" t="s">
        <v>2615</v>
      </c>
      <c r="C1302" s="10" t="s">
        <v>2616</v>
      </c>
      <c r="D1302" s="7">
        <v>1565.67</v>
      </c>
      <c r="E1302" s="5">
        <v>547</v>
      </c>
      <c r="F1302" s="5">
        <v>110</v>
      </c>
      <c r="G1302" s="12">
        <f>SUM($D$7:D1302)</f>
        <v>9497389.7500000168</v>
      </c>
      <c r="H1302" s="11">
        <f t="shared" si="20"/>
        <v>0.89037879678763365</v>
      </c>
    </row>
    <row r="1303" spans="1:8" ht="15" customHeight="1" x14ac:dyDescent="0.25">
      <c r="A1303" s="5">
        <v>1297</v>
      </c>
      <c r="B1303" s="10" t="s">
        <v>2617</v>
      </c>
      <c r="C1303" s="10" t="s">
        <v>2618</v>
      </c>
      <c r="D1303" s="7">
        <v>1564.83</v>
      </c>
      <c r="E1303" s="5">
        <v>565</v>
      </c>
      <c r="F1303" s="5">
        <v>65</v>
      </c>
      <c r="G1303" s="12">
        <f>SUM($D$7:D1303)</f>
        <v>9498954.5800000168</v>
      </c>
      <c r="H1303" s="11">
        <f t="shared" si="20"/>
        <v>0.89052549935426017</v>
      </c>
    </row>
    <row r="1304" spans="1:8" ht="15" customHeight="1" x14ac:dyDescent="0.25">
      <c r="A1304" s="5">
        <v>1298</v>
      </c>
      <c r="B1304" s="10" t="s">
        <v>2619</v>
      </c>
      <c r="C1304" s="10" t="s">
        <v>2620</v>
      </c>
      <c r="D1304" s="7">
        <v>1563.55</v>
      </c>
      <c r="E1304" s="5">
        <v>531</v>
      </c>
      <c r="F1304" s="5">
        <v>127</v>
      </c>
      <c r="G1304" s="12">
        <f>SUM($D$7:D1304)</f>
        <v>9500518.1300000176</v>
      </c>
      <c r="H1304" s="11">
        <f t="shared" si="20"/>
        <v>0.89067208192108782</v>
      </c>
    </row>
    <row r="1305" spans="1:8" ht="15" customHeight="1" x14ac:dyDescent="0.25">
      <c r="A1305" s="5">
        <v>1299</v>
      </c>
      <c r="B1305" s="10" t="s">
        <v>2621</v>
      </c>
      <c r="C1305" s="10" t="s">
        <v>2622</v>
      </c>
      <c r="D1305" s="7">
        <v>1561.7</v>
      </c>
      <c r="E1305" s="5">
        <v>1786</v>
      </c>
      <c r="F1305" s="5">
        <v>172</v>
      </c>
      <c r="G1305" s="12">
        <f>SUM($D$7:D1305)</f>
        <v>9502079.8300000168</v>
      </c>
      <c r="H1305" s="11">
        <f t="shared" si="20"/>
        <v>0.8908184910507061</v>
      </c>
    </row>
    <row r="1306" spans="1:8" ht="15" customHeight="1" x14ac:dyDescent="0.25">
      <c r="A1306" s="5">
        <v>1300</v>
      </c>
      <c r="B1306" s="10" t="s">
        <v>2623</v>
      </c>
      <c r="C1306" s="10" t="s">
        <v>2624</v>
      </c>
      <c r="D1306" s="7">
        <v>1560.48</v>
      </c>
      <c r="E1306" s="5">
        <v>3657</v>
      </c>
      <c r="F1306" s="5">
        <v>244</v>
      </c>
      <c r="G1306" s="12">
        <f>SUM($D$7:D1306)</f>
        <v>9503640.3100000173</v>
      </c>
      <c r="H1306" s="11">
        <f t="shared" si="20"/>
        <v>0.89096478580551608</v>
      </c>
    </row>
    <row r="1307" spans="1:8" ht="15" customHeight="1" x14ac:dyDescent="0.25">
      <c r="A1307" s="5">
        <v>1301</v>
      </c>
      <c r="B1307" s="10" t="s">
        <v>2625</v>
      </c>
      <c r="C1307" s="10" t="s">
        <v>2626</v>
      </c>
      <c r="D1307" s="7">
        <v>1558.91</v>
      </c>
      <c r="E1307" s="5">
        <v>1243</v>
      </c>
      <c r="F1307" s="5">
        <v>164</v>
      </c>
      <c r="G1307" s="12">
        <f>SUM($D$7:D1307)</f>
        <v>9505199.2200000174</v>
      </c>
      <c r="H1307" s="11">
        <f t="shared" si="20"/>
        <v>0.89111093337307279</v>
      </c>
    </row>
    <row r="1308" spans="1:8" ht="15" customHeight="1" x14ac:dyDescent="0.25">
      <c r="A1308" s="5">
        <v>1302</v>
      </c>
      <c r="B1308" s="10" t="s">
        <v>2627</v>
      </c>
      <c r="C1308" s="10" t="s">
        <v>2628</v>
      </c>
      <c r="D1308" s="7">
        <v>1546.27</v>
      </c>
      <c r="E1308" s="5">
        <v>461</v>
      </c>
      <c r="F1308" s="5">
        <v>156</v>
      </c>
      <c r="G1308" s="12">
        <f>SUM($D$7:D1308)</f>
        <v>9506745.490000017</v>
      </c>
      <c r="H1308" s="11">
        <f t="shared" si="20"/>
        <v>0.89125589594261545</v>
      </c>
    </row>
    <row r="1309" spans="1:8" ht="15" customHeight="1" x14ac:dyDescent="0.25">
      <c r="A1309" s="5">
        <v>1303</v>
      </c>
      <c r="B1309" s="10" t="s">
        <v>2629</v>
      </c>
      <c r="C1309" s="10" t="s">
        <v>2630</v>
      </c>
      <c r="D1309" s="7">
        <v>1545.59</v>
      </c>
      <c r="E1309" s="5">
        <v>1183</v>
      </c>
      <c r="F1309" s="5">
        <v>131</v>
      </c>
      <c r="G1309" s="12">
        <f>SUM($D$7:D1309)</f>
        <v>9508291.0800000168</v>
      </c>
      <c r="H1309" s="11">
        <f t="shared" si="20"/>
        <v>0.89140079476226508</v>
      </c>
    </row>
    <row r="1310" spans="1:8" ht="15" customHeight="1" x14ac:dyDescent="0.25">
      <c r="A1310" s="5">
        <v>1304</v>
      </c>
      <c r="B1310" s="10" t="s">
        <v>2631</v>
      </c>
      <c r="C1310" s="10" t="s">
        <v>2632</v>
      </c>
      <c r="D1310" s="7">
        <v>1545.02</v>
      </c>
      <c r="E1310" s="5">
        <v>1155</v>
      </c>
      <c r="F1310" s="5">
        <v>212</v>
      </c>
      <c r="G1310" s="12">
        <f>SUM($D$7:D1310)</f>
        <v>9509836.1000000164</v>
      </c>
      <c r="H1310" s="11">
        <f t="shared" si="20"/>
        <v>0.89154564014450421</v>
      </c>
    </row>
    <row r="1311" spans="1:8" ht="15" customHeight="1" x14ac:dyDescent="0.25">
      <c r="A1311" s="5">
        <v>1305</v>
      </c>
      <c r="B1311" s="10" t="s">
        <v>2633</v>
      </c>
      <c r="C1311" s="10" t="s">
        <v>2634</v>
      </c>
      <c r="D1311" s="7">
        <v>1544.93</v>
      </c>
      <c r="E1311" s="5">
        <v>1700</v>
      </c>
      <c r="F1311" s="5">
        <v>193</v>
      </c>
      <c r="G1311" s="12">
        <f>SUM($D$7:D1311)</f>
        <v>9511381.0300000161</v>
      </c>
      <c r="H1311" s="11">
        <f t="shared" si="20"/>
        <v>0.89169047708925742</v>
      </c>
    </row>
    <row r="1312" spans="1:8" ht="15" customHeight="1" x14ac:dyDescent="0.25">
      <c r="A1312" s="5">
        <v>1306</v>
      </c>
      <c r="B1312" s="10" t="s">
        <v>2635</v>
      </c>
      <c r="C1312" s="10" t="s">
        <v>2043</v>
      </c>
      <c r="D1312" s="7">
        <v>1544.22</v>
      </c>
      <c r="E1312" s="5">
        <v>2867</v>
      </c>
      <c r="F1312" s="5">
        <v>196</v>
      </c>
      <c r="G1312" s="12">
        <f>SUM($D$7:D1312)</f>
        <v>9512925.2500000168</v>
      </c>
      <c r="H1312" s="11">
        <f t="shared" si="20"/>
        <v>0.89183524747162235</v>
      </c>
    </row>
    <row r="1313" spans="1:8" ht="15" customHeight="1" x14ac:dyDescent="0.25">
      <c r="A1313" s="5">
        <v>1307</v>
      </c>
      <c r="B1313" s="10" t="s">
        <v>2636</v>
      </c>
      <c r="C1313" s="10" t="s">
        <v>2637</v>
      </c>
      <c r="D1313" s="7">
        <v>1541.62</v>
      </c>
      <c r="E1313" s="5">
        <v>462</v>
      </c>
      <c r="F1313" s="5">
        <v>142</v>
      </c>
      <c r="G1313" s="12">
        <f>SUM($D$7:D1313)</f>
        <v>9514466.8700000159</v>
      </c>
      <c r="H1313" s="11">
        <f t="shared" si="20"/>
        <v>0.89197977410439555</v>
      </c>
    </row>
    <row r="1314" spans="1:8" ht="15" customHeight="1" x14ac:dyDescent="0.25">
      <c r="A1314" s="5">
        <v>1308</v>
      </c>
      <c r="B1314" s="10" t="s">
        <v>2638</v>
      </c>
      <c r="C1314" s="10" t="s">
        <v>2639</v>
      </c>
      <c r="D1314" s="7">
        <v>1541.11</v>
      </c>
      <c r="E1314" s="5">
        <v>493</v>
      </c>
      <c r="F1314" s="5">
        <v>25</v>
      </c>
      <c r="G1314" s="12">
        <f>SUM($D$7:D1314)</f>
        <v>9516007.9800000153</v>
      </c>
      <c r="H1314" s="11">
        <f t="shared" si="20"/>
        <v>0.89212425292474906</v>
      </c>
    </row>
    <row r="1315" spans="1:8" ht="15" customHeight="1" x14ac:dyDescent="0.25">
      <c r="A1315" s="5">
        <v>1309</v>
      </c>
      <c r="B1315" s="10" t="s">
        <v>2640</v>
      </c>
      <c r="C1315" s="10" t="s">
        <v>2641</v>
      </c>
      <c r="D1315" s="7">
        <v>1539.83</v>
      </c>
      <c r="E1315" s="5">
        <v>513</v>
      </c>
      <c r="F1315" s="5">
        <v>115</v>
      </c>
      <c r="G1315" s="12">
        <f>SUM($D$7:D1315)</f>
        <v>9517547.8100000154</v>
      </c>
      <c r="H1315" s="11">
        <f t="shared" si="20"/>
        <v>0.8922686117453037</v>
      </c>
    </row>
    <row r="1316" spans="1:8" ht="15" customHeight="1" x14ac:dyDescent="0.25">
      <c r="A1316" s="5">
        <v>1310</v>
      </c>
      <c r="B1316" s="10" t="s">
        <v>2642</v>
      </c>
      <c r="C1316" s="10" t="s">
        <v>2643</v>
      </c>
      <c r="D1316" s="7">
        <v>1536.91</v>
      </c>
      <c r="E1316" s="5">
        <v>322</v>
      </c>
      <c r="F1316" s="5">
        <v>107</v>
      </c>
      <c r="G1316" s="12">
        <f>SUM($D$7:D1316)</f>
        <v>9519084.7200000156</v>
      </c>
      <c r="H1316" s="11">
        <f t="shared" si="20"/>
        <v>0.89241269681631707</v>
      </c>
    </row>
    <row r="1317" spans="1:8" ht="15" customHeight="1" x14ac:dyDescent="0.25">
      <c r="A1317" s="5">
        <v>1311</v>
      </c>
      <c r="B1317" s="10" t="s">
        <v>2644</v>
      </c>
      <c r="C1317" s="10" t="s">
        <v>2645</v>
      </c>
      <c r="D1317" s="7">
        <v>1536.24</v>
      </c>
      <c r="E1317" s="5">
        <v>1172</v>
      </c>
      <c r="F1317" s="5">
        <v>143</v>
      </c>
      <c r="G1317" s="12">
        <f>SUM($D$7:D1317)</f>
        <v>9520620.9600000158</v>
      </c>
      <c r="H1317" s="11">
        <f t="shared" si="20"/>
        <v>0.89255671907493583</v>
      </c>
    </row>
    <row r="1318" spans="1:8" ht="15" customHeight="1" x14ac:dyDescent="0.25">
      <c r="A1318" s="5">
        <v>1312</v>
      </c>
      <c r="B1318" s="10" t="s">
        <v>2646</v>
      </c>
      <c r="C1318" s="10" t="s">
        <v>2647</v>
      </c>
      <c r="D1318" s="7">
        <v>1531.95</v>
      </c>
      <c r="E1318" s="5">
        <v>1202</v>
      </c>
      <c r="F1318" s="5">
        <v>108</v>
      </c>
      <c r="G1318" s="12">
        <f>SUM($D$7:D1318)</f>
        <v>9522152.9100000151</v>
      </c>
      <c r="H1318" s="11">
        <f t="shared" si="20"/>
        <v>0.89270033914672853</v>
      </c>
    </row>
    <row r="1319" spans="1:8" ht="15" customHeight="1" x14ac:dyDescent="0.25">
      <c r="A1319" s="5">
        <v>1313</v>
      </c>
      <c r="B1319" s="10" t="s">
        <v>2648</v>
      </c>
      <c r="C1319" s="10" t="s">
        <v>2649</v>
      </c>
      <c r="D1319" s="7">
        <v>1531.14</v>
      </c>
      <c r="E1319" s="5">
        <v>1119</v>
      </c>
      <c r="F1319" s="5">
        <v>75</v>
      </c>
      <c r="G1319" s="12">
        <f>SUM($D$7:D1319)</f>
        <v>9523684.0500000156</v>
      </c>
      <c r="H1319" s="11">
        <f t="shared" si="20"/>
        <v>0.89284388328114861</v>
      </c>
    </row>
    <row r="1320" spans="1:8" ht="15" customHeight="1" x14ac:dyDescent="0.25">
      <c r="A1320" s="5">
        <v>1314</v>
      </c>
      <c r="B1320" s="10" t="s">
        <v>2650</v>
      </c>
      <c r="C1320" s="10" t="s">
        <v>2651</v>
      </c>
      <c r="D1320" s="7">
        <v>1530</v>
      </c>
      <c r="E1320" s="5">
        <v>10</v>
      </c>
      <c r="F1320" s="5">
        <v>7</v>
      </c>
      <c r="G1320" s="12">
        <f>SUM($D$7:D1320)</f>
        <v>9525214.0500000156</v>
      </c>
      <c r="H1320" s="11">
        <f t="shared" si="20"/>
        <v>0.8929873205407477</v>
      </c>
    </row>
    <row r="1321" spans="1:8" ht="15" customHeight="1" x14ac:dyDescent="0.25">
      <c r="A1321" s="5">
        <v>1315</v>
      </c>
      <c r="B1321" s="10" t="s">
        <v>2652</v>
      </c>
      <c r="C1321" s="10" t="s">
        <v>2653</v>
      </c>
      <c r="D1321" s="7">
        <v>1522.53</v>
      </c>
      <c r="E1321" s="5">
        <v>132</v>
      </c>
      <c r="F1321" s="5">
        <v>44</v>
      </c>
      <c r="G1321" s="12">
        <f>SUM($D$7:D1321)</f>
        <v>9526736.580000015</v>
      </c>
      <c r="H1321" s="11">
        <f t="shared" si="20"/>
        <v>0.89313005748902052</v>
      </c>
    </row>
    <row r="1322" spans="1:8" ht="15" customHeight="1" x14ac:dyDescent="0.25">
      <c r="A1322" s="5">
        <v>1316</v>
      </c>
      <c r="B1322" s="10" t="s">
        <v>2654</v>
      </c>
      <c r="C1322" s="10" t="s">
        <v>2655</v>
      </c>
      <c r="D1322" s="7">
        <v>1518.19</v>
      </c>
      <c r="E1322" s="5">
        <v>1217</v>
      </c>
      <c r="F1322" s="5">
        <v>224</v>
      </c>
      <c r="G1322" s="12">
        <f>SUM($D$7:D1322)</f>
        <v>9528254.7700000145</v>
      </c>
      <c r="H1322" s="11">
        <f t="shared" si="20"/>
        <v>0.89327238756297533</v>
      </c>
    </row>
    <row r="1323" spans="1:8" ht="15" customHeight="1" x14ac:dyDescent="0.25">
      <c r="A1323" s="5">
        <v>1317</v>
      </c>
      <c r="B1323" s="10" t="s">
        <v>2656</v>
      </c>
      <c r="C1323" s="10" t="s">
        <v>2657</v>
      </c>
      <c r="D1323" s="7">
        <v>1517.72</v>
      </c>
      <c r="E1323" s="5">
        <v>3631</v>
      </c>
      <c r="F1323" s="5">
        <v>233</v>
      </c>
      <c r="G1323" s="12">
        <f>SUM($D$7:D1323)</f>
        <v>9529772.4900000151</v>
      </c>
      <c r="H1323" s="11">
        <f t="shared" si="20"/>
        <v>0.89341467357450399</v>
      </c>
    </row>
    <row r="1324" spans="1:8" ht="15" customHeight="1" x14ac:dyDescent="0.25">
      <c r="A1324" s="5">
        <v>1318</v>
      </c>
      <c r="B1324" s="10" t="s">
        <v>2658</v>
      </c>
      <c r="C1324" s="10" t="s">
        <v>2659</v>
      </c>
      <c r="D1324" s="7">
        <v>1515.68</v>
      </c>
      <c r="E1324" s="5">
        <v>94</v>
      </c>
      <c r="F1324" s="5">
        <v>62</v>
      </c>
      <c r="G1324" s="12">
        <f>SUM($D$7:D1324)</f>
        <v>9531288.1700000148</v>
      </c>
      <c r="H1324" s="11">
        <f t="shared" si="20"/>
        <v>0.89355676833635311</v>
      </c>
    </row>
    <row r="1325" spans="1:8" ht="15" customHeight="1" x14ac:dyDescent="0.25">
      <c r="A1325" s="5">
        <v>1319</v>
      </c>
      <c r="B1325" s="10" t="s">
        <v>2660</v>
      </c>
      <c r="C1325" s="10" t="s">
        <v>2661</v>
      </c>
      <c r="D1325" s="7">
        <v>1512.92</v>
      </c>
      <c r="E1325" s="5">
        <v>12979</v>
      </c>
      <c r="F1325" s="5">
        <v>215</v>
      </c>
      <c r="G1325" s="12">
        <f>SUM($D$7:D1325)</f>
        <v>9532801.0900000148</v>
      </c>
      <c r="H1325" s="11">
        <f t="shared" si="20"/>
        <v>0.89369860434863602</v>
      </c>
    </row>
    <row r="1326" spans="1:8" ht="15" customHeight="1" x14ac:dyDescent="0.25">
      <c r="A1326" s="5">
        <v>1320</v>
      </c>
      <c r="B1326" s="10" t="s">
        <v>2662</v>
      </c>
      <c r="C1326" s="10" t="s">
        <v>2663</v>
      </c>
      <c r="D1326" s="7">
        <v>1511.26</v>
      </c>
      <c r="E1326" s="5">
        <v>378</v>
      </c>
      <c r="F1326" s="5">
        <v>77</v>
      </c>
      <c r="G1326" s="12">
        <f>SUM($D$7:D1326)</f>
        <v>9534312.3500000145</v>
      </c>
      <c r="H1326" s="11">
        <f t="shared" si="20"/>
        <v>0.8938402847361796</v>
      </c>
    </row>
    <row r="1327" spans="1:8" ht="15" customHeight="1" x14ac:dyDescent="0.25">
      <c r="A1327" s="5">
        <v>1321</v>
      </c>
      <c r="B1327" s="10" t="s">
        <v>2664</v>
      </c>
      <c r="C1327" s="10" t="s">
        <v>2665</v>
      </c>
      <c r="D1327" s="7">
        <v>1509.41</v>
      </c>
      <c r="E1327" s="5">
        <v>413</v>
      </c>
      <c r="F1327" s="5">
        <v>86</v>
      </c>
      <c r="G1327" s="12">
        <f>SUM($D$7:D1327)</f>
        <v>9535821.7600000147</v>
      </c>
      <c r="H1327" s="11">
        <f t="shared" si="20"/>
        <v>0.89398179168651404</v>
      </c>
    </row>
    <row r="1328" spans="1:8" ht="15" customHeight="1" x14ac:dyDescent="0.25">
      <c r="A1328" s="5">
        <v>1322</v>
      </c>
      <c r="B1328" s="10" t="s">
        <v>2666</v>
      </c>
      <c r="C1328" s="10" t="s">
        <v>2667</v>
      </c>
      <c r="D1328" s="7">
        <v>1506.97</v>
      </c>
      <c r="E1328" s="5">
        <v>420</v>
      </c>
      <c r="F1328" s="5">
        <v>105</v>
      </c>
      <c r="G1328" s="12">
        <f>SUM($D$7:D1328)</f>
        <v>9537328.7300000153</v>
      </c>
      <c r="H1328" s="11">
        <f t="shared" si="20"/>
        <v>0.89412306988723178</v>
      </c>
    </row>
    <row r="1329" spans="1:8" ht="15" customHeight="1" x14ac:dyDescent="0.25">
      <c r="A1329" s="5">
        <v>1323</v>
      </c>
      <c r="B1329" s="10" t="s">
        <v>2668</v>
      </c>
      <c r="C1329" s="10" t="s">
        <v>2669</v>
      </c>
      <c r="D1329" s="7">
        <v>1505.96</v>
      </c>
      <c r="E1329" s="5">
        <v>106</v>
      </c>
      <c r="F1329" s="5">
        <v>69</v>
      </c>
      <c r="G1329" s="12">
        <f>SUM($D$7:D1329)</f>
        <v>9538834.6900000162</v>
      </c>
      <c r="H1329" s="11">
        <f t="shared" si="20"/>
        <v>0.89426425340060833</v>
      </c>
    </row>
    <row r="1330" spans="1:8" ht="15" customHeight="1" x14ac:dyDescent="0.25">
      <c r="A1330" s="5">
        <v>1324</v>
      </c>
      <c r="B1330" s="10" t="s">
        <v>2670</v>
      </c>
      <c r="C1330" s="10" t="s">
        <v>2671</v>
      </c>
      <c r="D1330" s="7">
        <v>1505.24</v>
      </c>
      <c r="E1330" s="5">
        <v>582</v>
      </c>
      <c r="F1330" s="5">
        <v>110</v>
      </c>
      <c r="G1330" s="12">
        <f>SUM($D$7:D1330)</f>
        <v>9540339.9300000165</v>
      </c>
      <c r="H1330" s="11">
        <f t="shared" si="20"/>
        <v>0.89440536941409787</v>
      </c>
    </row>
    <row r="1331" spans="1:8" ht="15" customHeight="1" x14ac:dyDescent="0.25">
      <c r="A1331" s="5">
        <v>1325</v>
      </c>
      <c r="B1331" s="10" t="s">
        <v>2672</v>
      </c>
      <c r="C1331" s="10" t="s">
        <v>2673</v>
      </c>
      <c r="D1331" s="7">
        <v>1501.03</v>
      </c>
      <c r="E1331" s="5">
        <v>1155</v>
      </c>
      <c r="F1331" s="5">
        <v>108</v>
      </c>
      <c r="G1331" s="12">
        <f>SUM($D$7:D1331)</f>
        <v>9541840.9600000158</v>
      </c>
      <c r="H1331" s="11">
        <f t="shared" si="20"/>
        <v>0.89454609074074887</v>
      </c>
    </row>
    <row r="1332" spans="1:8" ht="15" customHeight="1" x14ac:dyDescent="0.25">
      <c r="A1332" s="5">
        <v>1326</v>
      </c>
      <c r="B1332" s="10" t="s">
        <v>2674</v>
      </c>
      <c r="C1332" s="10" t="s">
        <v>2675</v>
      </c>
      <c r="D1332" s="7">
        <v>1497.72</v>
      </c>
      <c r="E1332" s="5">
        <v>344</v>
      </c>
      <c r="F1332" s="5">
        <v>76</v>
      </c>
      <c r="G1332" s="12">
        <f>SUM($D$7:D1332)</f>
        <v>9543338.6800000165</v>
      </c>
      <c r="H1332" s="11">
        <f t="shared" si="20"/>
        <v>0.89468650175542008</v>
      </c>
    </row>
    <row r="1333" spans="1:8" ht="15" customHeight="1" x14ac:dyDescent="0.25">
      <c r="A1333" s="5">
        <v>1327</v>
      </c>
      <c r="B1333" s="10" t="s">
        <v>2676</v>
      </c>
      <c r="C1333" s="10" t="s">
        <v>2677</v>
      </c>
      <c r="D1333" s="7">
        <v>1496.07</v>
      </c>
      <c r="E1333" s="5">
        <v>1868</v>
      </c>
      <c r="F1333" s="5">
        <v>152</v>
      </c>
      <c r="G1333" s="12">
        <f>SUM($D$7:D1333)</f>
        <v>9544834.7500000168</v>
      </c>
      <c r="H1333" s="11">
        <f t="shared" si="20"/>
        <v>0.8948267580828505</v>
      </c>
    </row>
    <row r="1334" spans="1:8" ht="15" customHeight="1" x14ac:dyDescent="0.25">
      <c r="A1334" s="5">
        <v>1328</v>
      </c>
      <c r="B1334" s="10" t="s">
        <v>2678</v>
      </c>
      <c r="C1334" s="10" t="s">
        <v>2679</v>
      </c>
      <c r="D1334" s="7">
        <v>1494.69</v>
      </c>
      <c r="E1334" s="5">
        <v>88</v>
      </c>
      <c r="F1334" s="5">
        <v>49</v>
      </c>
      <c r="G1334" s="12">
        <f>SUM($D$7:D1334)</f>
        <v>9546329.4400000162</v>
      </c>
      <c r="H1334" s="11">
        <f t="shared" si="20"/>
        <v>0.89496688503549771</v>
      </c>
    </row>
    <row r="1335" spans="1:8" ht="15" customHeight="1" x14ac:dyDescent="0.25">
      <c r="A1335" s="5">
        <v>1329</v>
      </c>
      <c r="B1335" s="10" t="s">
        <v>2680</v>
      </c>
      <c r="C1335" s="10" t="s">
        <v>2681</v>
      </c>
      <c r="D1335" s="7">
        <v>1491.75</v>
      </c>
      <c r="E1335" s="5">
        <v>2271</v>
      </c>
      <c r="F1335" s="5">
        <v>130</v>
      </c>
      <c r="G1335" s="12">
        <f>SUM($D$7:D1335)</f>
        <v>9547821.1900000162</v>
      </c>
      <c r="H1335" s="11">
        <f t="shared" si="20"/>
        <v>0.89510673636360683</v>
      </c>
    </row>
    <row r="1336" spans="1:8" ht="15" customHeight="1" x14ac:dyDescent="0.25">
      <c r="A1336" s="5">
        <v>1330</v>
      </c>
      <c r="B1336" s="10" t="s">
        <v>2682</v>
      </c>
      <c r="C1336" s="10" t="s">
        <v>2683</v>
      </c>
      <c r="D1336" s="7">
        <v>1490.89</v>
      </c>
      <c r="E1336" s="5">
        <v>731</v>
      </c>
      <c r="F1336" s="5">
        <v>114</v>
      </c>
      <c r="G1336" s="12">
        <f>SUM($D$7:D1336)</f>
        <v>9549312.0800000168</v>
      </c>
      <c r="H1336" s="11">
        <f t="shared" si="20"/>
        <v>0.89524650706685127</v>
      </c>
    </row>
    <row r="1337" spans="1:8" ht="15" customHeight="1" x14ac:dyDescent="0.25">
      <c r="A1337" s="5">
        <v>1331</v>
      </c>
      <c r="B1337" s="10" t="s">
        <v>2684</v>
      </c>
      <c r="C1337" s="10" t="s">
        <v>2685</v>
      </c>
      <c r="D1337" s="7">
        <v>1489.01</v>
      </c>
      <c r="E1337" s="5">
        <v>1570</v>
      </c>
      <c r="F1337" s="5">
        <v>109</v>
      </c>
      <c r="G1337" s="12">
        <f>SUM($D$7:D1337)</f>
        <v>9550801.0900000166</v>
      </c>
      <c r="H1337" s="11">
        <f t="shared" si="20"/>
        <v>0.89538610152039089</v>
      </c>
    </row>
    <row r="1338" spans="1:8" ht="15" customHeight="1" x14ac:dyDescent="0.25">
      <c r="A1338" s="5">
        <v>1332</v>
      </c>
      <c r="B1338" s="10" t="s">
        <v>2686</v>
      </c>
      <c r="C1338" s="10" t="s">
        <v>2687</v>
      </c>
      <c r="D1338" s="7">
        <v>1488.65</v>
      </c>
      <c r="E1338" s="5">
        <v>652</v>
      </c>
      <c r="F1338" s="5">
        <v>124</v>
      </c>
      <c r="G1338" s="12">
        <f>SUM($D$7:D1338)</f>
        <v>9552289.740000017</v>
      </c>
      <c r="H1338" s="11">
        <f t="shared" si="20"/>
        <v>0.89552566222398722</v>
      </c>
    </row>
    <row r="1339" spans="1:8" ht="15" customHeight="1" x14ac:dyDescent="0.25">
      <c r="A1339" s="5">
        <v>1333</v>
      </c>
      <c r="B1339" s="10" t="s">
        <v>2688</v>
      </c>
      <c r="C1339" s="10" t="s">
        <v>2689</v>
      </c>
      <c r="D1339" s="7">
        <v>1486.18</v>
      </c>
      <c r="E1339" s="5">
        <v>390</v>
      </c>
      <c r="F1339" s="5">
        <v>165</v>
      </c>
      <c r="G1339" s="12">
        <f>SUM($D$7:D1339)</f>
        <v>9553775.9200000167</v>
      </c>
      <c r="H1339" s="11">
        <f t="shared" si="20"/>
        <v>0.89566499136547151</v>
      </c>
    </row>
    <row r="1340" spans="1:8" ht="15" customHeight="1" x14ac:dyDescent="0.25">
      <c r="A1340" s="5">
        <v>1334</v>
      </c>
      <c r="B1340" s="10" t="s">
        <v>2690</v>
      </c>
      <c r="C1340" s="10" t="s">
        <v>2691</v>
      </c>
      <c r="D1340" s="7">
        <v>1486.1</v>
      </c>
      <c r="E1340" s="5">
        <v>1718</v>
      </c>
      <c r="F1340" s="5">
        <v>103</v>
      </c>
      <c r="G1340" s="12">
        <f>SUM($D$7:D1340)</f>
        <v>9555262.0200000163</v>
      </c>
      <c r="H1340" s="11">
        <f t="shared" si="20"/>
        <v>0.89580431300696839</v>
      </c>
    </row>
    <row r="1341" spans="1:8" ht="15" customHeight="1" x14ac:dyDescent="0.25">
      <c r="A1341" s="5">
        <v>1335</v>
      </c>
      <c r="B1341" s="10" t="s">
        <v>2692</v>
      </c>
      <c r="C1341" s="10" t="s">
        <v>2693</v>
      </c>
      <c r="D1341" s="7">
        <v>1485.43</v>
      </c>
      <c r="E1341" s="5">
        <v>667</v>
      </c>
      <c r="F1341" s="5">
        <v>113</v>
      </c>
      <c r="G1341" s="12">
        <f>SUM($D$7:D1341)</f>
        <v>9556747.450000016</v>
      </c>
      <c r="H1341" s="11">
        <f t="shared" si="20"/>
        <v>0.89594357183607054</v>
      </c>
    </row>
    <row r="1342" spans="1:8" ht="15" customHeight="1" x14ac:dyDescent="0.25">
      <c r="A1342" s="5">
        <v>1336</v>
      </c>
      <c r="B1342" s="10" t="s">
        <v>2694</v>
      </c>
      <c r="C1342" s="10" t="s">
        <v>2695</v>
      </c>
      <c r="D1342" s="7">
        <v>1484.3</v>
      </c>
      <c r="E1342" s="5">
        <v>820</v>
      </c>
      <c r="F1342" s="5">
        <v>72</v>
      </c>
      <c r="G1342" s="12">
        <f>SUM($D$7:D1342)</f>
        <v>9558231.7500000168</v>
      </c>
      <c r="H1342" s="11">
        <f t="shared" si="20"/>
        <v>0.89608272472785044</v>
      </c>
    </row>
    <row r="1343" spans="1:8" ht="15" customHeight="1" x14ac:dyDescent="0.25">
      <c r="A1343" s="5">
        <v>1337</v>
      </c>
      <c r="B1343" s="10" t="s">
        <v>2696</v>
      </c>
      <c r="C1343" s="10" t="s">
        <v>2697</v>
      </c>
      <c r="D1343" s="7">
        <v>1484.13</v>
      </c>
      <c r="E1343" s="5">
        <v>864</v>
      </c>
      <c r="F1343" s="5">
        <v>252</v>
      </c>
      <c r="G1343" s="12">
        <f>SUM($D$7:D1343)</f>
        <v>9559715.8800000176</v>
      </c>
      <c r="H1343" s="11">
        <f t="shared" si="20"/>
        <v>0.89622186168215701</v>
      </c>
    </row>
    <row r="1344" spans="1:8" ht="15" customHeight="1" x14ac:dyDescent="0.25">
      <c r="A1344" s="5">
        <v>1338</v>
      </c>
      <c r="B1344" s="10" t="s">
        <v>2698</v>
      </c>
      <c r="C1344" s="10" t="s">
        <v>2699</v>
      </c>
      <c r="D1344" s="7">
        <v>1483.42</v>
      </c>
      <c r="E1344" s="5">
        <v>6873</v>
      </c>
      <c r="F1344" s="5">
        <v>177</v>
      </c>
      <c r="G1344" s="12">
        <f>SUM($D$7:D1344)</f>
        <v>9561199.3000000175</v>
      </c>
      <c r="H1344" s="11">
        <f t="shared" si="20"/>
        <v>0.89636093207407497</v>
      </c>
    </row>
    <row r="1345" spans="1:8" ht="15" customHeight="1" x14ac:dyDescent="0.25">
      <c r="A1345" s="5">
        <v>1339</v>
      </c>
      <c r="B1345" s="10" t="s">
        <v>2700</v>
      </c>
      <c r="C1345" s="10" t="s">
        <v>2701</v>
      </c>
      <c r="D1345" s="7">
        <v>1483.13</v>
      </c>
      <c r="E1345" s="5">
        <v>403</v>
      </c>
      <c r="F1345" s="5">
        <v>145</v>
      </c>
      <c r="G1345" s="12">
        <f>SUM($D$7:D1345)</f>
        <v>9562682.4300000183</v>
      </c>
      <c r="H1345" s="11">
        <f t="shared" si="20"/>
        <v>0.89649997527853864</v>
      </c>
    </row>
    <row r="1346" spans="1:8" ht="15" customHeight="1" x14ac:dyDescent="0.25">
      <c r="A1346" s="5">
        <v>1340</v>
      </c>
      <c r="B1346" s="10" t="s">
        <v>2702</v>
      </c>
      <c r="C1346" s="10" t="s">
        <v>2703</v>
      </c>
      <c r="D1346" s="7">
        <v>1481.4</v>
      </c>
      <c r="E1346" s="5">
        <v>978</v>
      </c>
      <c r="F1346" s="5">
        <v>164</v>
      </c>
      <c r="G1346" s="12">
        <f>SUM($D$7:D1346)</f>
        <v>9564163.8300000187</v>
      </c>
      <c r="H1346" s="11">
        <f t="shared" si="20"/>
        <v>0.89663885629577411</v>
      </c>
    </row>
    <row r="1347" spans="1:8" ht="15" customHeight="1" x14ac:dyDescent="0.25">
      <c r="A1347" s="5">
        <v>1341</v>
      </c>
      <c r="B1347" s="10" t="s">
        <v>2704</v>
      </c>
      <c r="C1347" s="10" t="s">
        <v>2705</v>
      </c>
      <c r="D1347" s="7">
        <v>1478.1</v>
      </c>
      <c r="E1347" s="5">
        <v>969</v>
      </c>
      <c r="F1347" s="5">
        <v>148</v>
      </c>
      <c r="G1347" s="12">
        <f>SUM($D$7:D1347)</f>
        <v>9565641.9300000183</v>
      </c>
      <c r="H1347" s="11">
        <f t="shared" si="20"/>
        <v>0.89677742793852799</v>
      </c>
    </row>
    <row r="1348" spans="1:8" ht="15" customHeight="1" x14ac:dyDescent="0.25">
      <c r="A1348" s="5">
        <v>1342</v>
      </c>
      <c r="B1348" s="10" t="s">
        <v>2706</v>
      </c>
      <c r="C1348" s="10" t="s">
        <v>2707</v>
      </c>
      <c r="D1348" s="7">
        <v>1477.82</v>
      </c>
      <c r="E1348" s="5">
        <v>383</v>
      </c>
      <c r="F1348" s="5">
        <v>140</v>
      </c>
      <c r="G1348" s="12">
        <f>SUM($D$7:D1348)</f>
        <v>9567119.7500000186</v>
      </c>
      <c r="H1348" s="11">
        <f t="shared" si="20"/>
        <v>0.89691597333132589</v>
      </c>
    </row>
    <row r="1349" spans="1:8" ht="15" customHeight="1" x14ac:dyDescent="0.25">
      <c r="A1349" s="5">
        <v>1343</v>
      </c>
      <c r="B1349" s="10" t="s">
        <v>2708</v>
      </c>
      <c r="C1349" s="10" t="s">
        <v>2709</v>
      </c>
      <c r="D1349" s="7">
        <v>1472.85</v>
      </c>
      <c r="E1349" s="5">
        <v>713</v>
      </c>
      <c r="F1349" s="5">
        <v>162</v>
      </c>
      <c r="G1349" s="12">
        <f>SUM($D$7:D1349)</f>
        <v>9568592.6000000183</v>
      </c>
      <c r="H1349" s="11">
        <f t="shared" si="20"/>
        <v>0.89705405278740469</v>
      </c>
    </row>
    <row r="1350" spans="1:8" ht="15" customHeight="1" x14ac:dyDescent="0.25">
      <c r="A1350" s="5">
        <v>1344</v>
      </c>
      <c r="B1350" s="10" t="s">
        <v>2710</v>
      </c>
      <c r="C1350" s="10" t="s">
        <v>2711</v>
      </c>
      <c r="D1350" s="7">
        <v>1466.07</v>
      </c>
      <c r="E1350" s="5">
        <v>991</v>
      </c>
      <c r="F1350" s="5">
        <v>88</v>
      </c>
      <c r="G1350" s="12">
        <f>SUM($D$7:D1350)</f>
        <v>9570058.6700000186</v>
      </c>
      <c r="H1350" s="11">
        <f t="shared" si="20"/>
        <v>0.89719149661954889</v>
      </c>
    </row>
    <row r="1351" spans="1:8" ht="15" customHeight="1" x14ac:dyDescent="0.25">
      <c r="A1351" s="5">
        <v>1345</v>
      </c>
      <c r="B1351" s="10" t="s">
        <v>2712</v>
      </c>
      <c r="C1351" s="10" t="s">
        <v>2713</v>
      </c>
      <c r="D1351" s="7">
        <v>1464.38</v>
      </c>
      <c r="E1351" s="5">
        <v>1859</v>
      </c>
      <c r="F1351" s="5">
        <v>169</v>
      </c>
      <c r="G1351" s="12">
        <f>SUM($D$7:D1351)</f>
        <v>9571523.0500000194</v>
      </c>
      <c r="H1351" s="11">
        <f t="shared" ref="H1351:H1414" si="21">G1351/SUM($D$7:$D$4167)</f>
        <v>0.89732878201445865</v>
      </c>
    </row>
    <row r="1352" spans="1:8" ht="15" customHeight="1" x14ac:dyDescent="0.25">
      <c r="A1352" s="5">
        <v>1346</v>
      </c>
      <c r="B1352" s="10" t="s">
        <v>2714</v>
      </c>
      <c r="C1352" s="10" t="s">
        <v>2715</v>
      </c>
      <c r="D1352" s="7">
        <v>1462.56</v>
      </c>
      <c r="E1352" s="5">
        <v>3501</v>
      </c>
      <c r="F1352" s="5">
        <v>217</v>
      </c>
      <c r="G1352" s="12">
        <f>SUM($D$7:D1352)</f>
        <v>9572985.6100000199</v>
      </c>
      <c r="H1352" s="11">
        <f t="shared" si="21"/>
        <v>0.89746589678465438</v>
      </c>
    </row>
    <row r="1353" spans="1:8" ht="15" customHeight="1" x14ac:dyDescent="0.25">
      <c r="A1353" s="5">
        <v>1347</v>
      </c>
      <c r="B1353" s="10" t="s">
        <v>2716</v>
      </c>
      <c r="C1353" s="10" t="s">
        <v>2717</v>
      </c>
      <c r="D1353" s="7">
        <v>1462.17</v>
      </c>
      <c r="E1353" s="5">
        <v>1459</v>
      </c>
      <c r="F1353" s="5">
        <v>141</v>
      </c>
      <c r="G1353" s="12">
        <f>SUM($D$7:D1353)</f>
        <v>9574447.7800000198</v>
      </c>
      <c r="H1353" s="11">
        <f t="shared" si="21"/>
        <v>0.89760297499241126</v>
      </c>
    </row>
    <row r="1354" spans="1:8" ht="15" customHeight="1" x14ac:dyDescent="0.25">
      <c r="A1354" s="5">
        <v>1348</v>
      </c>
      <c r="B1354" s="10" t="s">
        <v>2718</v>
      </c>
      <c r="C1354" s="10" t="s">
        <v>2719</v>
      </c>
      <c r="D1354" s="7">
        <v>1461.6</v>
      </c>
      <c r="E1354" s="5">
        <v>1424</v>
      </c>
      <c r="F1354" s="5">
        <v>99</v>
      </c>
      <c r="G1354" s="12">
        <f>SUM($D$7:D1354)</f>
        <v>9575909.3800000194</v>
      </c>
      <c r="H1354" s="11">
        <f t="shared" si="21"/>
        <v>0.89773999976275765</v>
      </c>
    </row>
    <row r="1355" spans="1:8" ht="15" customHeight="1" x14ac:dyDescent="0.25">
      <c r="A1355" s="5">
        <v>1349</v>
      </c>
      <c r="B1355" s="10" t="s">
        <v>2720</v>
      </c>
      <c r="C1355" s="10" t="s">
        <v>2721</v>
      </c>
      <c r="D1355" s="7">
        <v>1460.5</v>
      </c>
      <c r="E1355" s="5">
        <v>232</v>
      </c>
      <c r="F1355" s="5">
        <v>84</v>
      </c>
      <c r="G1355" s="12">
        <f>SUM($D$7:D1355)</f>
        <v>9577369.8800000194</v>
      </c>
      <c r="H1355" s="11">
        <f t="shared" si="21"/>
        <v>0.89787692140827702</v>
      </c>
    </row>
    <row r="1356" spans="1:8" ht="15" customHeight="1" x14ac:dyDescent="0.25">
      <c r="A1356" s="5">
        <v>1350</v>
      </c>
      <c r="B1356" s="10" t="s">
        <v>2722</v>
      </c>
      <c r="C1356" s="10" t="s">
        <v>2723</v>
      </c>
      <c r="D1356" s="7">
        <v>1459.98</v>
      </c>
      <c r="E1356" s="5">
        <v>1296</v>
      </c>
      <c r="F1356" s="5">
        <v>142</v>
      </c>
      <c r="G1356" s="12">
        <f>SUM($D$7:D1356)</f>
        <v>9578829.8600000199</v>
      </c>
      <c r="H1356" s="11">
        <f t="shared" si="21"/>
        <v>0.89801379430387807</v>
      </c>
    </row>
    <row r="1357" spans="1:8" ht="15" customHeight="1" x14ac:dyDescent="0.25">
      <c r="A1357" s="5">
        <v>1351</v>
      </c>
      <c r="B1357" s="10" t="s">
        <v>2724</v>
      </c>
      <c r="C1357" s="10" t="s">
        <v>2725</v>
      </c>
      <c r="D1357" s="7">
        <v>1456.72</v>
      </c>
      <c r="E1357" s="5">
        <v>464</v>
      </c>
      <c r="F1357" s="5">
        <v>102</v>
      </c>
      <c r="G1357" s="12">
        <f>SUM($D$7:D1357)</f>
        <v>9580286.5800000206</v>
      </c>
      <c r="H1357" s="11">
        <f t="shared" si="21"/>
        <v>0.8981503615749914</v>
      </c>
    </row>
    <row r="1358" spans="1:8" ht="15" customHeight="1" x14ac:dyDescent="0.25">
      <c r="A1358" s="5">
        <v>1352</v>
      </c>
      <c r="B1358" s="10" t="s">
        <v>2726</v>
      </c>
      <c r="C1358" s="10" t="s">
        <v>2727</v>
      </c>
      <c r="D1358" s="7">
        <v>1456.69</v>
      </c>
      <c r="E1358" s="5">
        <v>287</v>
      </c>
      <c r="F1358" s="5">
        <v>80</v>
      </c>
      <c r="G1358" s="12">
        <f>SUM($D$7:D1358)</f>
        <v>9581743.27000002</v>
      </c>
      <c r="H1358" s="11">
        <f t="shared" si="21"/>
        <v>0.89828692603360927</v>
      </c>
    </row>
    <row r="1359" spans="1:8" ht="15" customHeight="1" x14ac:dyDescent="0.25">
      <c r="A1359" s="5">
        <v>1353</v>
      </c>
      <c r="B1359" s="10" t="s">
        <v>2728</v>
      </c>
      <c r="C1359" s="10" t="s">
        <v>2729</v>
      </c>
      <c r="D1359" s="7">
        <v>1456.45</v>
      </c>
      <c r="E1359" s="5">
        <v>731</v>
      </c>
      <c r="F1359" s="5">
        <v>151</v>
      </c>
      <c r="G1359" s="12">
        <f>SUM($D$7:D1359)</f>
        <v>9583199.7200000193</v>
      </c>
      <c r="H1359" s="11">
        <f t="shared" si="21"/>
        <v>0.89842346799226491</v>
      </c>
    </row>
    <row r="1360" spans="1:8" ht="15" customHeight="1" x14ac:dyDescent="0.25">
      <c r="A1360" s="5">
        <v>1354</v>
      </c>
      <c r="B1360" s="10" t="s">
        <v>2730</v>
      </c>
      <c r="C1360" s="10" t="s">
        <v>2731</v>
      </c>
      <c r="D1360" s="7">
        <v>1453.58</v>
      </c>
      <c r="E1360" s="5">
        <v>239</v>
      </c>
      <c r="F1360" s="5">
        <v>53</v>
      </c>
      <c r="G1360" s="12">
        <f>SUM($D$7:D1360)</f>
        <v>9584653.3000000194</v>
      </c>
      <c r="H1360" s="11">
        <f t="shared" si="21"/>
        <v>0.89855974088887158</v>
      </c>
    </row>
    <row r="1361" spans="1:8" ht="15" customHeight="1" x14ac:dyDescent="0.25">
      <c r="A1361" s="5">
        <v>1355</v>
      </c>
      <c r="B1361" s="10" t="s">
        <v>2732</v>
      </c>
      <c r="C1361" s="10" t="s">
        <v>2733</v>
      </c>
      <c r="D1361" s="7">
        <v>1451.99</v>
      </c>
      <c r="E1361" s="5">
        <v>897</v>
      </c>
      <c r="F1361" s="5">
        <v>165</v>
      </c>
      <c r="G1361" s="12">
        <f>SUM($D$7:D1361)</f>
        <v>9586105.2900000196</v>
      </c>
      <c r="H1361" s="11">
        <f t="shared" si="21"/>
        <v>0.89869586472322804</v>
      </c>
    </row>
    <row r="1362" spans="1:8" ht="15" customHeight="1" x14ac:dyDescent="0.25">
      <c r="A1362" s="5">
        <v>1356</v>
      </c>
      <c r="B1362" s="10" t="s">
        <v>2734</v>
      </c>
      <c r="C1362" s="10" t="s">
        <v>2735</v>
      </c>
      <c r="D1362" s="7">
        <v>1451.82</v>
      </c>
      <c r="E1362" s="5">
        <v>562</v>
      </c>
      <c r="F1362" s="5">
        <v>95</v>
      </c>
      <c r="G1362" s="12">
        <f>SUM($D$7:D1362)</f>
        <v>9587557.1100000199</v>
      </c>
      <c r="H1362" s="11">
        <f t="shared" si="21"/>
        <v>0.89883197262011127</v>
      </c>
    </row>
    <row r="1363" spans="1:8" ht="15" customHeight="1" x14ac:dyDescent="0.25">
      <c r="A1363" s="5">
        <v>1357</v>
      </c>
      <c r="B1363" s="10" t="s">
        <v>2736</v>
      </c>
      <c r="C1363" s="10" t="s">
        <v>2737</v>
      </c>
      <c r="D1363" s="7">
        <v>1445.18</v>
      </c>
      <c r="E1363" s="5">
        <v>1220</v>
      </c>
      <c r="F1363" s="5">
        <v>46</v>
      </c>
      <c r="G1363" s="12">
        <f>SUM($D$7:D1363)</f>
        <v>9589002.2900000196</v>
      </c>
      <c r="H1363" s="11">
        <f t="shared" si="21"/>
        <v>0.89896745801803768</v>
      </c>
    </row>
    <row r="1364" spans="1:8" ht="15" customHeight="1" x14ac:dyDescent="0.25">
      <c r="A1364" s="5">
        <v>1358</v>
      </c>
      <c r="B1364" s="10" t="s">
        <v>2738</v>
      </c>
      <c r="C1364" s="10" t="s">
        <v>2739</v>
      </c>
      <c r="D1364" s="7">
        <v>1440.37</v>
      </c>
      <c r="E1364" s="5">
        <v>304</v>
      </c>
      <c r="F1364" s="5">
        <v>143</v>
      </c>
      <c r="G1364" s="12">
        <f>SUM($D$7:D1364)</f>
        <v>9590442.6600000188</v>
      </c>
      <c r="H1364" s="11">
        <f t="shared" si="21"/>
        <v>0.89910249247921981</v>
      </c>
    </row>
    <row r="1365" spans="1:8" ht="15" customHeight="1" x14ac:dyDescent="0.25">
      <c r="A1365" s="5">
        <v>1359</v>
      </c>
      <c r="B1365" s="10" t="s">
        <v>2740</v>
      </c>
      <c r="C1365" s="10" t="s">
        <v>2741</v>
      </c>
      <c r="D1365" s="7">
        <v>1436.53</v>
      </c>
      <c r="E1365" s="5">
        <v>589</v>
      </c>
      <c r="F1365" s="5">
        <v>115</v>
      </c>
      <c r="G1365" s="12">
        <f>SUM($D$7:D1365)</f>
        <v>9591879.1900000181</v>
      </c>
      <c r="H1365" s="11">
        <f t="shared" si="21"/>
        <v>0.89923716694100542</v>
      </c>
    </row>
    <row r="1366" spans="1:8" ht="15" customHeight="1" x14ac:dyDescent="0.25">
      <c r="A1366" s="5">
        <v>1360</v>
      </c>
      <c r="B1366" s="10" t="s">
        <v>2742</v>
      </c>
      <c r="C1366" s="10" t="s">
        <v>2743</v>
      </c>
      <c r="D1366" s="7">
        <v>1435.82</v>
      </c>
      <c r="E1366" s="5">
        <v>698</v>
      </c>
      <c r="F1366" s="5">
        <v>38</v>
      </c>
      <c r="G1366" s="12">
        <f>SUM($D$7:D1366)</f>
        <v>9593315.0100000184</v>
      </c>
      <c r="H1366" s="11">
        <f t="shared" si="21"/>
        <v>0.89937177484040254</v>
      </c>
    </row>
    <row r="1367" spans="1:8" ht="15" customHeight="1" x14ac:dyDescent="0.25">
      <c r="A1367" s="5">
        <v>1361</v>
      </c>
      <c r="B1367" s="10" t="s">
        <v>2744</v>
      </c>
      <c r="C1367" s="10" t="s">
        <v>2745</v>
      </c>
      <c r="D1367" s="7">
        <v>1430.48</v>
      </c>
      <c r="E1367" s="5">
        <v>374</v>
      </c>
      <c r="F1367" s="5">
        <v>122</v>
      </c>
      <c r="G1367" s="12">
        <f>SUM($D$7:D1367)</f>
        <v>9594745.4900000188</v>
      </c>
      <c r="H1367" s="11">
        <f t="shared" si="21"/>
        <v>0.89950588211563876</v>
      </c>
    </row>
    <row r="1368" spans="1:8" ht="15" customHeight="1" x14ac:dyDescent="0.25">
      <c r="A1368" s="5">
        <v>1362</v>
      </c>
      <c r="B1368" s="10" t="s">
        <v>2746</v>
      </c>
      <c r="C1368" s="10" t="s">
        <v>2747</v>
      </c>
      <c r="D1368" s="7">
        <v>1429.82</v>
      </c>
      <c r="E1368" s="5">
        <v>240</v>
      </c>
      <c r="F1368" s="5">
        <v>72</v>
      </c>
      <c r="G1368" s="12">
        <f>SUM($D$7:D1368)</f>
        <v>9596175.3100000191</v>
      </c>
      <c r="H1368" s="11">
        <f t="shared" si="21"/>
        <v>0.89963992751597877</v>
      </c>
    </row>
    <row r="1369" spans="1:8" ht="15" customHeight="1" x14ac:dyDescent="0.25">
      <c r="A1369" s="5">
        <v>1363</v>
      </c>
      <c r="B1369" s="10" t="s">
        <v>2748</v>
      </c>
      <c r="C1369" s="10" t="s">
        <v>2749</v>
      </c>
      <c r="D1369" s="7">
        <v>1428.57</v>
      </c>
      <c r="E1369" s="5">
        <v>1174</v>
      </c>
      <c r="F1369" s="5">
        <v>111</v>
      </c>
      <c r="G1369" s="12">
        <f>SUM($D$7:D1369)</f>
        <v>9597603.8800000194</v>
      </c>
      <c r="H1369" s="11">
        <f t="shared" si="21"/>
        <v>0.89977385572901514</v>
      </c>
    </row>
    <row r="1370" spans="1:8" ht="15" customHeight="1" x14ac:dyDescent="0.25">
      <c r="A1370" s="5">
        <v>1364</v>
      </c>
      <c r="B1370" s="10" t="s">
        <v>2750</v>
      </c>
      <c r="C1370" s="10" t="s">
        <v>2751</v>
      </c>
      <c r="D1370" s="7">
        <v>1426.1</v>
      </c>
      <c r="E1370" s="5">
        <v>842</v>
      </c>
      <c r="F1370" s="5">
        <v>80</v>
      </c>
      <c r="G1370" s="12">
        <f>SUM($D$7:D1370)</f>
        <v>9599029.9800000191</v>
      </c>
      <c r="H1370" s="11">
        <f t="shared" si="21"/>
        <v>0.89990755237993947</v>
      </c>
    </row>
    <row r="1371" spans="1:8" ht="15" customHeight="1" x14ac:dyDescent="0.25">
      <c r="A1371" s="5">
        <v>1365</v>
      </c>
      <c r="B1371" s="10" t="s">
        <v>2752</v>
      </c>
      <c r="C1371" s="10" t="s">
        <v>2753</v>
      </c>
      <c r="D1371" s="7">
        <v>1422.9</v>
      </c>
      <c r="E1371" s="5">
        <v>1587</v>
      </c>
      <c r="F1371" s="5">
        <v>102</v>
      </c>
      <c r="G1371" s="12">
        <f>SUM($D$7:D1371)</f>
        <v>9600452.8800000194</v>
      </c>
      <c r="H1371" s="11">
        <f t="shared" si="21"/>
        <v>0.90004094903136667</v>
      </c>
    </row>
    <row r="1372" spans="1:8" ht="15" customHeight="1" x14ac:dyDescent="0.25">
      <c r="A1372" s="5">
        <v>1366</v>
      </c>
      <c r="B1372" s="10" t="s">
        <v>2754</v>
      </c>
      <c r="C1372" s="10" t="s">
        <v>2755</v>
      </c>
      <c r="D1372" s="7">
        <v>1421.83</v>
      </c>
      <c r="E1372" s="5">
        <v>523</v>
      </c>
      <c r="F1372" s="5">
        <v>23</v>
      </c>
      <c r="G1372" s="12">
        <f>SUM($D$7:D1372)</f>
        <v>9601874.7100000195</v>
      </c>
      <c r="H1372" s="11">
        <f t="shared" si="21"/>
        <v>0.90017424537046209</v>
      </c>
    </row>
    <row r="1373" spans="1:8" ht="15" customHeight="1" x14ac:dyDescent="0.25">
      <c r="A1373" s="5">
        <v>1367</v>
      </c>
      <c r="B1373" s="10" t="s">
        <v>2756</v>
      </c>
      <c r="C1373" s="10" t="s">
        <v>2757</v>
      </c>
      <c r="D1373" s="7">
        <v>1421.11</v>
      </c>
      <c r="E1373" s="5">
        <v>290</v>
      </c>
      <c r="F1373" s="5">
        <v>138</v>
      </c>
      <c r="G1373" s="12">
        <f>SUM($D$7:D1373)</f>
        <v>9603295.8200000189</v>
      </c>
      <c r="H1373" s="11">
        <f t="shared" si="21"/>
        <v>0.9003074742096705</v>
      </c>
    </row>
    <row r="1374" spans="1:8" ht="15" customHeight="1" x14ac:dyDescent="0.25">
      <c r="A1374" s="5">
        <v>1368</v>
      </c>
      <c r="B1374" s="10" t="s">
        <v>2758</v>
      </c>
      <c r="C1374" s="10" t="s">
        <v>2759</v>
      </c>
      <c r="D1374" s="7">
        <v>1420.47</v>
      </c>
      <c r="E1374" s="5">
        <v>829</v>
      </c>
      <c r="F1374" s="5">
        <v>114</v>
      </c>
      <c r="G1374" s="12">
        <f>SUM($D$7:D1374)</f>
        <v>9604716.2900000196</v>
      </c>
      <c r="H1374" s="11">
        <f t="shared" si="21"/>
        <v>0.90044064304897953</v>
      </c>
    </row>
    <row r="1375" spans="1:8" ht="15" customHeight="1" x14ac:dyDescent="0.25">
      <c r="A1375" s="5">
        <v>1369</v>
      </c>
      <c r="B1375" s="10" t="s">
        <v>2760</v>
      </c>
      <c r="C1375" s="10" t="s">
        <v>2761</v>
      </c>
      <c r="D1375" s="7">
        <v>1420.26</v>
      </c>
      <c r="E1375" s="5">
        <v>1091</v>
      </c>
      <c r="F1375" s="5">
        <v>143</v>
      </c>
      <c r="G1375" s="12">
        <f>SUM($D$7:D1375)</f>
        <v>9606136.5500000194</v>
      </c>
      <c r="H1375" s="11">
        <f t="shared" si="21"/>
        <v>0.90057379220082157</v>
      </c>
    </row>
    <row r="1376" spans="1:8" ht="15" customHeight="1" x14ac:dyDescent="0.25">
      <c r="A1376" s="5">
        <v>1370</v>
      </c>
      <c r="B1376" s="10" t="s">
        <v>2762</v>
      </c>
      <c r="C1376" s="10" t="s">
        <v>2763</v>
      </c>
      <c r="D1376" s="7">
        <v>1415.73</v>
      </c>
      <c r="E1376" s="5">
        <v>3487</v>
      </c>
      <c r="F1376" s="5">
        <v>225</v>
      </c>
      <c r="G1376" s="12">
        <f>SUM($D$7:D1376)</f>
        <v>9607552.2800000198</v>
      </c>
      <c r="H1376" s="11">
        <f t="shared" si="21"/>
        <v>0.90070651666587542</v>
      </c>
    </row>
    <row r="1377" spans="1:8" ht="15" customHeight="1" x14ac:dyDescent="0.25">
      <c r="A1377" s="5">
        <v>1371</v>
      </c>
      <c r="B1377" s="10" t="s">
        <v>2764</v>
      </c>
      <c r="C1377" s="10" t="s">
        <v>2765</v>
      </c>
      <c r="D1377" s="7">
        <v>1415.31</v>
      </c>
      <c r="E1377" s="5">
        <v>1539</v>
      </c>
      <c r="F1377" s="5">
        <v>173</v>
      </c>
      <c r="G1377" s="12">
        <f>SUM($D$7:D1377)</f>
        <v>9608967.5900000203</v>
      </c>
      <c r="H1377" s="11">
        <f t="shared" si="21"/>
        <v>0.90083920175599519</v>
      </c>
    </row>
    <row r="1378" spans="1:8" ht="15" customHeight="1" x14ac:dyDescent="0.25">
      <c r="A1378" s="5">
        <v>1372</v>
      </c>
      <c r="B1378" s="10" t="s">
        <v>2766</v>
      </c>
      <c r="C1378" s="10" t="s">
        <v>2767</v>
      </c>
      <c r="D1378" s="7">
        <v>1415.09</v>
      </c>
      <c r="E1378" s="5">
        <v>2711</v>
      </c>
      <c r="F1378" s="5">
        <v>174</v>
      </c>
      <c r="G1378" s="12">
        <f>SUM($D$7:D1378)</f>
        <v>9610382.6800000202</v>
      </c>
      <c r="H1378" s="11">
        <f t="shared" si="21"/>
        <v>0.90097186622114955</v>
      </c>
    </row>
    <row r="1379" spans="1:8" ht="15" customHeight="1" x14ac:dyDescent="0.25">
      <c r="A1379" s="5">
        <v>1373</v>
      </c>
      <c r="B1379" s="10" t="s">
        <v>2768</v>
      </c>
      <c r="C1379" s="10" t="s">
        <v>2769</v>
      </c>
      <c r="D1379" s="7">
        <v>1413.84</v>
      </c>
      <c r="E1379" s="5">
        <v>245</v>
      </c>
      <c r="F1379" s="5">
        <v>125</v>
      </c>
      <c r="G1379" s="12">
        <f>SUM($D$7:D1379)</f>
        <v>9611796.52000002</v>
      </c>
      <c r="H1379" s="11">
        <f t="shared" si="21"/>
        <v>0.90110441349900028</v>
      </c>
    </row>
    <row r="1380" spans="1:8" ht="15" customHeight="1" x14ac:dyDescent="0.25">
      <c r="A1380" s="5">
        <v>1374</v>
      </c>
      <c r="B1380" s="10" t="s">
        <v>2770</v>
      </c>
      <c r="C1380" s="10" t="s">
        <v>2771</v>
      </c>
      <c r="D1380" s="7">
        <v>1413.25</v>
      </c>
      <c r="E1380" s="5">
        <v>3384</v>
      </c>
      <c r="F1380" s="5">
        <v>200</v>
      </c>
      <c r="G1380" s="12">
        <f>SUM($D$7:D1380)</f>
        <v>9613209.77000002</v>
      </c>
      <c r="H1380" s="11">
        <f t="shared" si="21"/>
        <v>0.90123690546444379</v>
      </c>
    </row>
    <row r="1381" spans="1:8" ht="15" customHeight="1" x14ac:dyDescent="0.25">
      <c r="A1381" s="5">
        <v>1375</v>
      </c>
      <c r="B1381" s="10" t="s">
        <v>2772</v>
      </c>
      <c r="C1381" s="10" t="s">
        <v>2773</v>
      </c>
      <c r="D1381" s="7">
        <v>1412.27</v>
      </c>
      <c r="E1381" s="5">
        <v>713</v>
      </c>
      <c r="F1381" s="5">
        <v>291</v>
      </c>
      <c r="G1381" s="12">
        <f>SUM($D$7:D1381)</f>
        <v>9614622.0400000196</v>
      </c>
      <c r="H1381" s="11">
        <f t="shared" si="21"/>
        <v>0.90136930555504113</v>
      </c>
    </row>
    <row r="1382" spans="1:8" ht="15" customHeight="1" x14ac:dyDescent="0.25">
      <c r="A1382" s="5">
        <v>1376</v>
      </c>
      <c r="B1382" s="10" t="s">
        <v>2774</v>
      </c>
      <c r="C1382" s="10" t="s">
        <v>2775</v>
      </c>
      <c r="D1382" s="7">
        <v>1412.16</v>
      </c>
      <c r="E1382" s="5">
        <v>2155</v>
      </c>
      <c r="F1382" s="5">
        <v>163</v>
      </c>
      <c r="G1382" s="12">
        <f>SUM($D$7:D1382)</f>
        <v>9616034.2000000197</v>
      </c>
      <c r="H1382" s="11">
        <f t="shared" si="21"/>
        <v>0.90150169533315594</v>
      </c>
    </row>
    <row r="1383" spans="1:8" ht="15" customHeight="1" x14ac:dyDescent="0.25">
      <c r="A1383" s="5">
        <v>1377</v>
      </c>
      <c r="B1383" s="10" t="s">
        <v>2776</v>
      </c>
      <c r="C1383" s="10" t="s">
        <v>2777</v>
      </c>
      <c r="D1383" s="7">
        <v>1409.9</v>
      </c>
      <c r="E1383" s="5">
        <v>3138</v>
      </c>
      <c r="F1383" s="5">
        <v>341</v>
      </c>
      <c r="G1383" s="12">
        <f>SUM($D$7:D1383)</f>
        <v>9617444.1000000201</v>
      </c>
      <c r="H1383" s="11">
        <f t="shared" si="21"/>
        <v>0.9016338732366258</v>
      </c>
    </row>
    <row r="1384" spans="1:8" ht="15" customHeight="1" x14ac:dyDescent="0.25">
      <c r="A1384" s="5">
        <v>1378</v>
      </c>
      <c r="B1384" s="10" t="s">
        <v>2778</v>
      </c>
      <c r="C1384" s="10" t="s">
        <v>2779</v>
      </c>
      <c r="D1384" s="7">
        <v>1406.42</v>
      </c>
      <c r="E1384" s="5">
        <v>3152</v>
      </c>
      <c r="F1384" s="5">
        <v>184</v>
      </c>
      <c r="G1384" s="12">
        <f>SUM($D$7:D1384)</f>
        <v>9618850.52000002</v>
      </c>
      <c r="H1384" s="11">
        <f t="shared" si="21"/>
        <v>0.90176572489064244</v>
      </c>
    </row>
    <row r="1385" spans="1:8" ht="15" customHeight="1" x14ac:dyDescent="0.25">
      <c r="A1385" s="5">
        <v>1379</v>
      </c>
      <c r="B1385" s="10" t="s">
        <v>2780</v>
      </c>
      <c r="C1385" s="10" t="s">
        <v>2781</v>
      </c>
      <c r="D1385" s="7">
        <v>1402.32</v>
      </c>
      <c r="E1385" s="5">
        <v>2283</v>
      </c>
      <c r="F1385" s="5">
        <v>151</v>
      </c>
      <c r="G1385" s="12">
        <f>SUM($D$7:D1385)</f>
        <v>9620252.8400000203</v>
      </c>
      <c r="H1385" s="11">
        <f t="shared" si="21"/>
        <v>0.90189719217030329</v>
      </c>
    </row>
    <row r="1386" spans="1:8" ht="15" customHeight="1" x14ac:dyDescent="0.25">
      <c r="A1386" s="5">
        <v>1380</v>
      </c>
      <c r="B1386" s="10" t="s">
        <v>2782</v>
      </c>
      <c r="C1386" s="10" t="s">
        <v>2783</v>
      </c>
      <c r="D1386" s="7">
        <v>1401.43</v>
      </c>
      <c r="E1386" s="5">
        <v>658</v>
      </c>
      <c r="F1386" s="5">
        <v>38</v>
      </c>
      <c r="G1386" s="12">
        <f>SUM($D$7:D1386)</f>
        <v>9621654.27000002</v>
      </c>
      <c r="H1386" s="11">
        <f t="shared" si="21"/>
        <v>0.90202857601260389</v>
      </c>
    </row>
    <row r="1387" spans="1:8" ht="15" customHeight="1" x14ac:dyDescent="0.25">
      <c r="A1387" s="5">
        <v>1381</v>
      </c>
      <c r="B1387" s="10" t="s">
        <v>2784</v>
      </c>
      <c r="C1387" s="10" t="s">
        <v>2785</v>
      </c>
      <c r="D1387" s="7">
        <v>1401.02</v>
      </c>
      <c r="E1387" s="5">
        <v>346</v>
      </c>
      <c r="F1387" s="5">
        <v>70</v>
      </c>
      <c r="G1387" s="12">
        <f>SUM($D$7:D1387)</f>
        <v>9623055.2900000196</v>
      </c>
      <c r="H1387" s="11">
        <f t="shared" si="21"/>
        <v>0.90215992141746904</v>
      </c>
    </row>
    <row r="1388" spans="1:8" ht="15" customHeight="1" x14ac:dyDescent="0.25">
      <c r="A1388" s="5">
        <v>1382</v>
      </c>
      <c r="B1388" s="10" t="s">
        <v>2786</v>
      </c>
      <c r="C1388" s="10" t="s">
        <v>2787</v>
      </c>
      <c r="D1388" s="7">
        <v>1399.69</v>
      </c>
      <c r="E1388" s="5">
        <v>165</v>
      </c>
      <c r="F1388" s="5">
        <v>90</v>
      </c>
      <c r="G1388" s="12">
        <f>SUM($D$7:D1388)</f>
        <v>9624454.9800000191</v>
      </c>
      <c r="H1388" s="11">
        <f t="shared" si="21"/>
        <v>0.90229114213504302</v>
      </c>
    </row>
    <row r="1389" spans="1:8" ht="15" customHeight="1" x14ac:dyDescent="0.25">
      <c r="A1389" s="5">
        <v>1383</v>
      </c>
      <c r="B1389" s="10" t="s">
        <v>2788</v>
      </c>
      <c r="C1389" s="10" t="s">
        <v>2789</v>
      </c>
      <c r="D1389" s="7">
        <v>1394.5</v>
      </c>
      <c r="E1389" s="5">
        <v>3425</v>
      </c>
      <c r="F1389" s="5">
        <v>106</v>
      </c>
      <c r="G1389" s="12">
        <f>SUM($D$7:D1389)</f>
        <v>9625849.4800000191</v>
      </c>
      <c r="H1389" s="11">
        <f t="shared" si="21"/>
        <v>0.90242187629093262</v>
      </c>
    </row>
    <row r="1390" spans="1:8" ht="15" customHeight="1" x14ac:dyDescent="0.25">
      <c r="A1390" s="5">
        <v>1384</v>
      </c>
      <c r="B1390" s="10" t="s">
        <v>2790</v>
      </c>
      <c r="C1390" s="10" t="s">
        <v>2791</v>
      </c>
      <c r="D1390" s="7">
        <v>1393.79</v>
      </c>
      <c r="E1390" s="5">
        <v>166</v>
      </c>
      <c r="F1390" s="5">
        <v>38</v>
      </c>
      <c r="G1390" s="12">
        <f>SUM($D$7:D1390)</f>
        <v>9627243.2700000182</v>
      </c>
      <c r="H1390" s="11">
        <f t="shared" si="21"/>
        <v>0.90255254388443362</v>
      </c>
    </row>
    <row r="1391" spans="1:8" ht="15" customHeight="1" x14ac:dyDescent="0.25">
      <c r="A1391" s="5">
        <v>1385</v>
      </c>
      <c r="B1391" s="10" t="s">
        <v>2792</v>
      </c>
      <c r="C1391" s="10" t="s">
        <v>2793</v>
      </c>
      <c r="D1391" s="7">
        <v>1392.21</v>
      </c>
      <c r="E1391" s="5">
        <v>333</v>
      </c>
      <c r="F1391" s="5">
        <v>61</v>
      </c>
      <c r="G1391" s="12">
        <f>SUM($D$7:D1391)</f>
        <v>9628635.4800000191</v>
      </c>
      <c r="H1391" s="11">
        <f t="shared" si="21"/>
        <v>0.90268306335318305</v>
      </c>
    </row>
    <row r="1392" spans="1:8" ht="15" customHeight="1" x14ac:dyDescent="0.25">
      <c r="A1392" s="5">
        <v>1386</v>
      </c>
      <c r="B1392" s="10" t="s">
        <v>2794</v>
      </c>
      <c r="C1392" s="10" t="s">
        <v>2795</v>
      </c>
      <c r="D1392" s="7">
        <v>1390.64</v>
      </c>
      <c r="E1392" s="5">
        <v>176</v>
      </c>
      <c r="F1392" s="5">
        <v>48</v>
      </c>
      <c r="G1392" s="12">
        <f>SUM($D$7:D1392)</f>
        <v>9630026.1200000197</v>
      </c>
      <c r="H1392" s="11">
        <f t="shared" si="21"/>
        <v>0.9028134356346792</v>
      </c>
    </row>
    <row r="1393" spans="1:8" ht="15" customHeight="1" x14ac:dyDescent="0.25">
      <c r="A1393" s="5">
        <v>1387</v>
      </c>
      <c r="B1393" s="10" t="s">
        <v>2796</v>
      </c>
      <c r="C1393" s="10" t="s">
        <v>2797</v>
      </c>
      <c r="D1393" s="7">
        <v>1389.59</v>
      </c>
      <c r="E1393" s="5">
        <v>3051</v>
      </c>
      <c r="F1393" s="5">
        <v>155</v>
      </c>
      <c r="G1393" s="12">
        <f>SUM($D$7:D1393)</f>
        <v>9631415.7100000195</v>
      </c>
      <c r="H1393" s="11">
        <f t="shared" si="21"/>
        <v>0.90294370947884017</v>
      </c>
    </row>
    <row r="1394" spans="1:8" ht="15" customHeight="1" x14ac:dyDescent="0.25">
      <c r="A1394" s="5">
        <v>1388</v>
      </c>
      <c r="B1394" s="10" t="s">
        <v>2798</v>
      </c>
      <c r="C1394" s="10" t="s">
        <v>2799</v>
      </c>
      <c r="D1394" s="7">
        <v>1389.22</v>
      </c>
      <c r="E1394" s="5">
        <v>3299</v>
      </c>
      <c r="F1394" s="5">
        <v>246</v>
      </c>
      <c r="G1394" s="12">
        <f>SUM($D$7:D1394)</f>
        <v>9632804.9300000202</v>
      </c>
      <c r="H1394" s="11">
        <f t="shared" si="21"/>
        <v>0.90307394863555945</v>
      </c>
    </row>
    <row r="1395" spans="1:8" ht="15" customHeight="1" x14ac:dyDescent="0.25">
      <c r="A1395" s="5">
        <v>1389</v>
      </c>
      <c r="B1395" s="10" t="s">
        <v>2800</v>
      </c>
      <c r="C1395" s="10" t="s">
        <v>2801</v>
      </c>
      <c r="D1395" s="7">
        <v>1389.08</v>
      </c>
      <c r="E1395" s="5">
        <v>1148</v>
      </c>
      <c r="F1395" s="5">
        <v>128</v>
      </c>
      <c r="G1395" s="12">
        <f>SUM($D$7:D1395)</f>
        <v>9634194.0100000203</v>
      </c>
      <c r="H1395" s="11">
        <f t="shared" si="21"/>
        <v>0.90320417466730063</v>
      </c>
    </row>
    <row r="1396" spans="1:8" ht="15" customHeight="1" x14ac:dyDescent="0.25">
      <c r="A1396" s="5">
        <v>1390</v>
      </c>
      <c r="B1396" s="10" t="s">
        <v>2802</v>
      </c>
      <c r="C1396" s="10" t="s">
        <v>2803</v>
      </c>
      <c r="D1396" s="7">
        <v>1389.07</v>
      </c>
      <c r="E1396" s="5">
        <v>1001</v>
      </c>
      <c r="F1396" s="5">
        <v>188</v>
      </c>
      <c r="G1396" s="12">
        <f>SUM($D$7:D1396)</f>
        <v>9635583.0800000206</v>
      </c>
      <c r="H1396" s="11">
        <f t="shared" si="21"/>
        <v>0.90333439976154339</v>
      </c>
    </row>
    <row r="1397" spans="1:8" ht="15" customHeight="1" x14ac:dyDescent="0.25">
      <c r="A1397" s="5">
        <v>1391</v>
      </c>
      <c r="B1397" s="10" t="s">
        <v>2804</v>
      </c>
      <c r="C1397" s="10" t="s">
        <v>2805</v>
      </c>
      <c r="D1397" s="7">
        <v>1388.1</v>
      </c>
      <c r="E1397" s="5">
        <v>590</v>
      </c>
      <c r="F1397" s="5">
        <v>120</v>
      </c>
      <c r="G1397" s="12">
        <f>SUM($D$7:D1397)</f>
        <v>9636971.1800000202</v>
      </c>
      <c r="H1397" s="11">
        <f t="shared" si="21"/>
        <v>0.90346453391843851</v>
      </c>
    </row>
    <row r="1398" spans="1:8" ht="15" customHeight="1" x14ac:dyDescent="0.25">
      <c r="A1398" s="5">
        <v>1392</v>
      </c>
      <c r="B1398" s="10" t="s">
        <v>2806</v>
      </c>
      <c r="C1398" s="10" t="s">
        <v>2807</v>
      </c>
      <c r="D1398" s="7">
        <v>1388.05</v>
      </c>
      <c r="E1398" s="5">
        <v>730</v>
      </c>
      <c r="F1398" s="5">
        <v>86</v>
      </c>
      <c r="G1398" s="12">
        <f>SUM($D$7:D1398)</f>
        <v>9638359.2300000209</v>
      </c>
      <c r="H1398" s="11">
        <f t="shared" si="21"/>
        <v>0.90359466338784156</v>
      </c>
    </row>
    <row r="1399" spans="1:8" ht="15" customHeight="1" x14ac:dyDescent="0.25">
      <c r="A1399" s="5">
        <v>1393</v>
      </c>
      <c r="B1399" s="10" t="s">
        <v>2808</v>
      </c>
      <c r="C1399" s="10" t="s">
        <v>2809</v>
      </c>
      <c r="D1399" s="7">
        <v>1387.46</v>
      </c>
      <c r="E1399" s="5">
        <v>746</v>
      </c>
      <c r="F1399" s="5">
        <v>136</v>
      </c>
      <c r="G1399" s="12">
        <f>SUM($D$7:D1399)</f>
        <v>9639746.6900000218</v>
      </c>
      <c r="H1399" s="11">
        <f t="shared" si="21"/>
        <v>0.9037247375448374</v>
      </c>
    </row>
    <row r="1400" spans="1:8" ht="15" customHeight="1" x14ac:dyDescent="0.25">
      <c r="A1400" s="5">
        <v>1394</v>
      </c>
      <c r="B1400" s="10" t="s">
        <v>2810</v>
      </c>
      <c r="C1400" s="10" t="s">
        <v>2811</v>
      </c>
      <c r="D1400" s="7">
        <v>1386.97</v>
      </c>
      <c r="E1400" s="5">
        <v>1379</v>
      </c>
      <c r="F1400" s="5">
        <v>80</v>
      </c>
      <c r="G1400" s="12">
        <f>SUM($D$7:D1400)</f>
        <v>9641133.6600000225</v>
      </c>
      <c r="H1400" s="11">
        <f t="shared" si="21"/>
        <v>0.90385476576441015</v>
      </c>
    </row>
    <row r="1401" spans="1:8" ht="15" customHeight="1" x14ac:dyDescent="0.25">
      <c r="A1401" s="5">
        <v>1395</v>
      </c>
      <c r="B1401" s="10" t="s">
        <v>2812</v>
      </c>
      <c r="C1401" s="10" t="s">
        <v>2813</v>
      </c>
      <c r="D1401" s="7">
        <v>1385.28</v>
      </c>
      <c r="E1401" s="5">
        <v>995</v>
      </c>
      <c r="F1401" s="5">
        <v>177</v>
      </c>
      <c r="G1401" s="12">
        <f>SUM($D$7:D1401)</f>
        <v>9642518.9400000218</v>
      </c>
      <c r="H1401" s="11">
        <f t="shared" si="21"/>
        <v>0.90398463554674835</v>
      </c>
    </row>
    <row r="1402" spans="1:8" ht="15" customHeight="1" x14ac:dyDescent="0.25">
      <c r="A1402" s="5">
        <v>1396</v>
      </c>
      <c r="B1402" s="10" t="s">
        <v>2814</v>
      </c>
      <c r="C1402" s="10" t="s">
        <v>2815</v>
      </c>
      <c r="D1402" s="7">
        <v>1383.75</v>
      </c>
      <c r="E1402" s="5">
        <v>481</v>
      </c>
      <c r="F1402" s="5">
        <v>81</v>
      </c>
      <c r="G1402" s="12">
        <f>SUM($D$7:D1402)</f>
        <v>9643902.6900000218</v>
      </c>
      <c r="H1402" s="11">
        <f t="shared" si="21"/>
        <v>0.90411436189182692</v>
      </c>
    </row>
    <row r="1403" spans="1:8" ht="15" customHeight="1" x14ac:dyDescent="0.25">
      <c r="A1403" s="5">
        <v>1397</v>
      </c>
      <c r="B1403" s="10" t="s">
        <v>2816</v>
      </c>
      <c r="C1403" s="10" t="s">
        <v>2817</v>
      </c>
      <c r="D1403" s="7">
        <v>1383.34</v>
      </c>
      <c r="E1403" s="5">
        <v>1145</v>
      </c>
      <c r="F1403" s="5">
        <v>154</v>
      </c>
      <c r="G1403" s="12">
        <f>SUM($D$7:D1403)</f>
        <v>9645286.0300000217</v>
      </c>
      <c r="H1403" s="11">
        <f t="shared" si="21"/>
        <v>0.90424404979947004</v>
      </c>
    </row>
    <row r="1404" spans="1:8" ht="15" customHeight="1" x14ac:dyDescent="0.25">
      <c r="A1404" s="5">
        <v>1398</v>
      </c>
      <c r="B1404" s="10" t="s">
        <v>2818</v>
      </c>
      <c r="C1404" s="10" t="s">
        <v>2819</v>
      </c>
      <c r="D1404" s="7">
        <v>1381.78</v>
      </c>
      <c r="E1404" s="5">
        <v>5946</v>
      </c>
      <c r="F1404" s="5">
        <v>155</v>
      </c>
      <c r="G1404" s="12">
        <f>SUM($D$7:D1404)</f>
        <v>9646667.810000021</v>
      </c>
      <c r="H1404" s="11">
        <f t="shared" si="21"/>
        <v>0.90437359145735807</v>
      </c>
    </row>
    <row r="1405" spans="1:8" ht="15" customHeight="1" x14ac:dyDescent="0.25">
      <c r="A1405" s="5">
        <v>1399</v>
      </c>
      <c r="B1405" s="10" t="s">
        <v>2820</v>
      </c>
      <c r="C1405" s="10" t="s">
        <v>2821</v>
      </c>
      <c r="D1405" s="7">
        <v>1380.42</v>
      </c>
      <c r="E1405" s="5">
        <v>116</v>
      </c>
      <c r="F1405" s="5">
        <v>45</v>
      </c>
      <c r="G1405" s="12">
        <f>SUM($D$7:D1405)</f>
        <v>9648048.2300000209</v>
      </c>
      <c r="H1405" s="11">
        <f t="shared" si="21"/>
        <v>0.90450300561546004</v>
      </c>
    </row>
    <row r="1406" spans="1:8" ht="15" customHeight="1" x14ac:dyDescent="0.25">
      <c r="A1406" s="5">
        <v>1400</v>
      </c>
      <c r="B1406" s="10" t="s">
        <v>2822</v>
      </c>
      <c r="C1406" s="10" t="s">
        <v>2823</v>
      </c>
      <c r="D1406" s="7">
        <v>1379.72</v>
      </c>
      <c r="E1406" s="5">
        <v>332</v>
      </c>
      <c r="F1406" s="5">
        <v>90</v>
      </c>
      <c r="G1406" s="12">
        <f>SUM($D$7:D1406)</f>
        <v>9649427.9500000216</v>
      </c>
      <c r="H1406" s="11">
        <f t="shared" si="21"/>
        <v>0.90463235414867194</v>
      </c>
    </row>
    <row r="1407" spans="1:8" ht="15" customHeight="1" x14ac:dyDescent="0.25">
      <c r="A1407" s="5">
        <v>1401</v>
      </c>
      <c r="B1407" s="10" t="s">
        <v>2824</v>
      </c>
      <c r="C1407" s="10" t="s">
        <v>2825</v>
      </c>
      <c r="D1407" s="7">
        <v>1378.75</v>
      </c>
      <c r="E1407" s="5">
        <v>141</v>
      </c>
      <c r="F1407" s="5">
        <v>64</v>
      </c>
      <c r="G1407" s="12">
        <f>SUM($D$7:D1407)</f>
        <v>9650806.7000000216</v>
      </c>
      <c r="H1407" s="11">
        <f t="shared" si="21"/>
        <v>0.90476161174453618</v>
      </c>
    </row>
    <row r="1408" spans="1:8" ht="15" customHeight="1" x14ac:dyDescent="0.25">
      <c r="A1408" s="5">
        <v>1402</v>
      </c>
      <c r="B1408" s="10" t="s">
        <v>2826</v>
      </c>
      <c r="C1408" s="10" t="s">
        <v>2827</v>
      </c>
      <c r="D1408" s="7">
        <v>1375.5</v>
      </c>
      <c r="E1408" s="5">
        <v>3275</v>
      </c>
      <c r="F1408" s="5">
        <v>120</v>
      </c>
      <c r="G1408" s="12">
        <f>SUM($D$7:D1408)</f>
        <v>9652182.2000000216</v>
      </c>
      <c r="H1408" s="11">
        <f t="shared" si="21"/>
        <v>0.90489056465341111</v>
      </c>
    </row>
    <row r="1409" spans="1:8" ht="15" customHeight="1" x14ac:dyDescent="0.25">
      <c r="A1409" s="5">
        <v>1403</v>
      </c>
      <c r="B1409" s="10" t="s">
        <v>2160</v>
      </c>
      <c r="C1409" s="10" t="s">
        <v>2828</v>
      </c>
      <c r="D1409" s="7">
        <v>1369.71</v>
      </c>
      <c r="E1409" s="5">
        <v>240</v>
      </c>
      <c r="F1409" s="5">
        <v>67</v>
      </c>
      <c r="G1409" s="12">
        <f>SUM($D$7:D1409)</f>
        <v>9653551.9100000225</v>
      </c>
      <c r="H1409" s="11">
        <f t="shared" si="21"/>
        <v>0.90501897475069581</v>
      </c>
    </row>
    <row r="1410" spans="1:8" ht="15" customHeight="1" x14ac:dyDescent="0.25">
      <c r="A1410" s="5">
        <v>1404</v>
      </c>
      <c r="B1410" s="10" t="s">
        <v>2829</v>
      </c>
      <c r="C1410" s="10" t="s">
        <v>2830</v>
      </c>
      <c r="D1410" s="7">
        <v>1369.12</v>
      </c>
      <c r="E1410" s="5">
        <v>3171</v>
      </c>
      <c r="F1410" s="5">
        <v>278</v>
      </c>
      <c r="G1410" s="12">
        <f>SUM($D$7:D1410)</f>
        <v>9654921.0300000217</v>
      </c>
      <c r="H1410" s="11">
        <f t="shared" si="21"/>
        <v>0.9051473295355732</v>
      </c>
    </row>
    <row r="1411" spans="1:8" ht="15" customHeight="1" x14ac:dyDescent="0.25">
      <c r="A1411" s="5">
        <v>1405</v>
      </c>
      <c r="B1411" s="10" t="s">
        <v>2831</v>
      </c>
      <c r="C1411" s="10" t="s">
        <v>2832</v>
      </c>
      <c r="D1411" s="7">
        <v>1368.75</v>
      </c>
      <c r="E1411" s="5">
        <v>1488</v>
      </c>
      <c r="F1411" s="5">
        <v>223</v>
      </c>
      <c r="G1411" s="12">
        <f>SUM($D$7:D1411)</f>
        <v>9656289.7800000217</v>
      </c>
      <c r="H1411" s="11">
        <f t="shared" si="21"/>
        <v>0.90527564963300866</v>
      </c>
    </row>
    <row r="1412" spans="1:8" ht="15" customHeight="1" x14ac:dyDescent="0.25">
      <c r="A1412" s="5">
        <v>1406</v>
      </c>
      <c r="B1412" s="10" t="s">
        <v>2833</v>
      </c>
      <c r="C1412" s="10" t="s">
        <v>2834</v>
      </c>
      <c r="D1412" s="7">
        <v>1368.18</v>
      </c>
      <c r="E1412" s="5">
        <v>767</v>
      </c>
      <c r="F1412" s="5">
        <v>61</v>
      </c>
      <c r="G1412" s="12">
        <f>SUM($D$7:D1412)</f>
        <v>9657657.9600000214</v>
      </c>
      <c r="H1412" s="11">
        <f t="shared" si="21"/>
        <v>0.90540391629303374</v>
      </c>
    </row>
    <row r="1413" spans="1:8" ht="15" customHeight="1" x14ac:dyDescent="0.25">
      <c r="A1413" s="5">
        <v>1407</v>
      </c>
      <c r="B1413" s="10" t="s">
        <v>2835</v>
      </c>
      <c r="C1413" s="10" t="s">
        <v>2836</v>
      </c>
      <c r="D1413" s="7">
        <v>1365.95</v>
      </c>
      <c r="E1413" s="5">
        <v>3213</v>
      </c>
      <c r="F1413" s="5">
        <v>288</v>
      </c>
      <c r="G1413" s="12">
        <f>SUM($D$7:D1413)</f>
        <v>9659023.9100000206</v>
      </c>
      <c r="H1413" s="11">
        <f t="shared" si="21"/>
        <v>0.90553197389090911</v>
      </c>
    </row>
    <row r="1414" spans="1:8" ht="15" customHeight="1" x14ac:dyDescent="0.25">
      <c r="A1414" s="5">
        <v>1408</v>
      </c>
      <c r="B1414" s="10" t="s">
        <v>2837</v>
      </c>
      <c r="C1414" s="10" t="s">
        <v>2838</v>
      </c>
      <c r="D1414" s="7">
        <v>1365.29</v>
      </c>
      <c r="E1414" s="5">
        <v>923</v>
      </c>
      <c r="F1414" s="5">
        <v>90</v>
      </c>
      <c r="G1414" s="12">
        <f>SUM($D$7:D1414)</f>
        <v>9660389.2000000197</v>
      </c>
      <c r="H1414" s="11">
        <f t="shared" si="21"/>
        <v>0.90565996961388817</v>
      </c>
    </row>
    <row r="1415" spans="1:8" ht="15" customHeight="1" x14ac:dyDescent="0.25">
      <c r="A1415" s="5">
        <v>1409</v>
      </c>
      <c r="B1415" s="10" t="s">
        <v>2839</v>
      </c>
      <c r="C1415" s="10" t="s">
        <v>2840</v>
      </c>
      <c r="D1415" s="7">
        <v>1363.87</v>
      </c>
      <c r="E1415" s="5">
        <v>1537</v>
      </c>
      <c r="F1415" s="5">
        <v>145</v>
      </c>
      <c r="G1415" s="12">
        <f>SUM($D$7:D1415)</f>
        <v>9661753.0700000189</v>
      </c>
      <c r="H1415" s="11">
        <f t="shared" ref="H1415:H1478" si="22">G1415/SUM($D$7:$D$4167)</f>
        <v>0.90578783221209047</v>
      </c>
    </row>
    <row r="1416" spans="1:8" ht="15" customHeight="1" x14ac:dyDescent="0.25">
      <c r="A1416" s="5">
        <v>1410</v>
      </c>
      <c r="B1416" s="10" t="s">
        <v>2841</v>
      </c>
      <c r="C1416" s="10" t="s">
        <v>2842</v>
      </c>
      <c r="D1416" s="7">
        <v>1361.25</v>
      </c>
      <c r="E1416" s="5">
        <v>275</v>
      </c>
      <c r="F1416" s="5">
        <v>13</v>
      </c>
      <c r="G1416" s="12">
        <f>SUM($D$7:D1416)</f>
        <v>9663114.3200000189</v>
      </c>
      <c r="H1416" s="11">
        <f t="shared" si="22"/>
        <v>0.90591544918570432</v>
      </c>
    </row>
    <row r="1417" spans="1:8" ht="15" customHeight="1" x14ac:dyDescent="0.25">
      <c r="A1417" s="5">
        <v>1411</v>
      </c>
      <c r="B1417" s="10" t="s">
        <v>2843</v>
      </c>
      <c r="C1417" s="10" t="s">
        <v>2844</v>
      </c>
      <c r="D1417" s="7">
        <v>1361.04</v>
      </c>
      <c r="E1417" s="5">
        <v>464</v>
      </c>
      <c r="F1417" s="5">
        <v>94</v>
      </c>
      <c r="G1417" s="12">
        <f>SUM($D$7:D1417)</f>
        <v>9664475.360000018</v>
      </c>
      <c r="H1417" s="11">
        <f t="shared" si="22"/>
        <v>0.90604304647185119</v>
      </c>
    </row>
    <row r="1418" spans="1:8" ht="15" customHeight="1" x14ac:dyDescent="0.25">
      <c r="A1418" s="5">
        <v>1412</v>
      </c>
      <c r="B1418" s="10" t="s">
        <v>2845</v>
      </c>
      <c r="C1418" s="10" t="s">
        <v>2846</v>
      </c>
      <c r="D1418" s="7">
        <v>1355.24</v>
      </c>
      <c r="E1418" s="5">
        <v>332</v>
      </c>
      <c r="F1418" s="5">
        <v>72</v>
      </c>
      <c r="G1418" s="12">
        <f>SUM($D$7:D1418)</f>
        <v>9665830.6000000183</v>
      </c>
      <c r="H1418" s="11">
        <f t="shared" si="22"/>
        <v>0.90617010000890952</v>
      </c>
    </row>
    <row r="1419" spans="1:8" ht="15" customHeight="1" x14ac:dyDescent="0.25">
      <c r="A1419" s="5">
        <v>1413</v>
      </c>
      <c r="B1419" s="10" t="s">
        <v>2847</v>
      </c>
      <c r="C1419" s="10" t="s">
        <v>2848</v>
      </c>
      <c r="D1419" s="7">
        <v>1353.69</v>
      </c>
      <c r="E1419" s="5">
        <v>523</v>
      </c>
      <c r="F1419" s="5">
        <v>90</v>
      </c>
      <c r="G1419" s="12">
        <f>SUM($D$7:D1419)</f>
        <v>9667184.2900000177</v>
      </c>
      <c r="H1419" s="11">
        <f t="shared" si="22"/>
        <v>0.90629700823371129</v>
      </c>
    </row>
    <row r="1420" spans="1:8" ht="15" customHeight="1" x14ac:dyDescent="0.25">
      <c r="A1420" s="5">
        <v>1414</v>
      </c>
      <c r="B1420" s="10" t="s">
        <v>2849</v>
      </c>
      <c r="C1420" s="10" t="s">
        <v>2850</v>
      </c>
      <c r="D1420" s="7">
        <v>1352.17</v>
      </c>
      <c r="E1420" s="5">
        <v>1953</v>
      </c>
      <c r="F1420" s="5">
        <v>266</v>
      </c>
      <c r="G1420" s="12">
        <f>SUM($D$7:D1420)</f>
        <v>9668536.4600000177</v>
      </c>
      <c r="H1420" s="11">
        <f t="shared" si="22"/>
        <v>0.90642377395875195</v>
      </c>
    </row>
    <row r="1421" spans="1:8" ht="15" customHeight="1" x14ac:dyDescent="0.25">
      <c r="A1421" s="5">
        <v>1415</v>
      </c>
      <c r="B1421" s="10" t="s">
        <v>2851</v>
      </c>
      <c r="C1421" s="10" t="s">
        <v>2852</v>
      </c>
      <c r="D1421" s="7">
        <v>1351.64</v>
      </c>
      <c r="E1421" s="5">
        <v>35</v>
      </c>
      <c r="F1421" s="5">
        <v>20</v>
      </c>
      <c r="G1421" s="12">
        <f>SUM($D$7:D1421)</f>
        <v>9669888.1000000183</v>
      </c>
      <c r="H1421" s="11">
        <f t="shared" si="22"/>
        <v>0.90655048999637589</v>
      </c>
    </row>
    <row r="1422" spans="1:8" ht="15" customHeight="1" x14ac:dyDescent="0.25">
      <c r="A1422" s="5">
        <v>1416</v>
      </c>
      <c r="B1422" s="10" t="s">
        <v>2853</v>
      </c>
      <c r="C1422" s="10" t="s">
        <v>2854</v>
      </c>
      <c r="D1422" s="7">
        <v>1349.17</v>
      </c>
      <c r="E1422" s="5">
        <v>892</v>
      </c>
      <c r="F1422" s="5">
        <v>135</v>
      </c>
      <c r="G1422" s="12">
        <f>SUM($D$7:D1422)</f>
        <v>9671237.2700000182</v>
      </c>
      <c r="H1422" s="11">
        <f t="shared" si="22"/>
        <v>0.90667697447188789</v>
      </c>
    </row>
    <row r="1423" spans="1:8" ht="15" customHeight="1" x14ac:dyDescent="0.25">
      <c r="A1423" s="5">
        <v>1417</v>
      </c>
      <c r="B1423" s="10" t="s">
        <v>2855</v>
      </c>
      <c r="C1423" s="10" t="s">
        <v>2856</v>
      </c>
      <c r="D1423" s="7">
        <v>1347.52</v>
      </c>
      <c r="E1423" s="5">
        <v>2598</v>
      </c>
      <c r="F1423" s="5">
        <v>213</v>
      </c>
      <c r="G1423" s="12">
        <f>SUM($D$7:D1423)</f>
        <v>9672584.7900000177</v>
      </c>
      <c r="H1423" s="11">
        <f t="shared" si="22"/>
        <v>0.9068033042601592</v>
      </c>
    </row>
    <row r="1424" spans="1:8" ht="15" customHeight="1" x14ac:dyDescent="0.25">
      <c r="A1424" s="5">
        <v>1418</v>
      </c>
      <c r="B1424" s="10" t="s">
        <v>2857</v>
      </c>
      <c r="C1424" s="10" t="s">
        <v>2858</v>
      </c>
      <c r="D1424" s="7">
        <v>1347.08</v>
      </c>
      <c r="E1424" s="5">
        <v>1152</v>
      </c>
      <c r="F1424" s="5">
        <v>98</v>
      </c>
      <c r="G1424" s="12">
        <f>SUM($D$7:D1424)</f>
        <v>9673931.8700000178</v>
      </c>
      <c r="H1424" s="11">
        <f t="shared" si="22"/>
        <v>0.90692959279849961</v>
      </c>
    </row>
    <row r="1425" spans="1:8" ht="15" customHeight="1" x14ac:dyDescent="0.25">
      <c r="A1425" s="5">
        <v>1419</v>
      </c>
      <c r="B1425" s="10" t="s">
        <v>2859</v>
      </c>
      <c r="C1425" s="10" t="s">
        <v>2860</v>
      </c>
      <c r="D1425" s="7">
        <v>1346.65</v>
      </c>
      <c r="E1425" s="5">
        <v>2113</v>
      </c>
      <c r="F1425" s="5">
        <v>171</v>
      </c>
      <c r="G1425" s="12">
        <f>SUM($D$7:D1425)</f>
        <v>9675278.5200000182</v>
      </c>
      <c r="H1425" s="11">
        <f t="shared" si="22"/>
        <v>0.90705584102440762</v>
      </c>
    </row>
    <row r="1426" spans="1:8" ht="15" customHeight="1" x14ac:dyDescent="0.25">
      <c r="A1426" s="5">
        <v>1420</v>
      </c>
      <c r="B1426" s="10" t="s">
        <v>2861</v>
      </c>
      <c r="C1426" s="10" t="s">
        <v>2862</v>
      </c>
      <c r="D1426" s="7">
        <v>1344.77</v>
      </c>
      <c r="E1426" s="5">
        <v>1944</v>
      </c>
      <c r="F1426" s="5">
        <v>240</v>
      </c>
      <c r="G1426" s="12">
        <f>SUM($D$7:D1426)</f>
        <v>9676623.2900000177</v>
      </c>
      <c r="H1426" s="11">
        <f t="shared" si="22"/>
        <v>0.90718191300061091</v>
      </c>
    </row>
    <row r="1427" spans="1:8" ht="15" customHeight="1" x14ac:dyDescent="0.25">
      <c r="A1427" s="5">
        <v>1421</v>
      </c>
      <c r="B1427" s="10" t="s">
        <v>2863</v>
      </c>
      <c r="C1427" s="10" t="s">
        <v>2864</v>
      </c>
      <c r="D1427" s="7">
        <v>1343.64</v>
      </c>
      <c r="E1427" s="5">
        <v>336</v>
      </c>
      <c r="F1427" s="5">
        <v>69</v>
      </c>
      <c r="G1427" s="12">
        <f>SUM($D$7:D1427)</f>
        <v>9677966.9300000183</v>
      </c>
      <c r="H1427" s="11">
        <f t="shared" si="22"/>
        <v>0.90730787903949184</v>
      </c>
    </row>
    <row r="1428" spans="1:8" ht="15" customHeight="1" x14ac:dyDescent="0.25">
      <c r="A1428" s="5">
        <v>1422</v>
      </c>
      <c r="B1428" s="10" t="s">
        <v>2865</v>
      </c>
      <c r="C1428" s="10" t="s">
        <v>2866</v>
      </c>
      <c r="D1428" s="7">
        <v>1342.39</v>
      </c>
      <c r="E1428" s="5">
        <v>287</v>
      </c>
      <c r="F1428" s="5">
        <v>100</v>
      </c>
      <c r="G1428" s="12">
        <f>SUM($D$7:D1428)</f>
        <v>9679309.3200000189</v>
      </c>
      <c r="H1428" s="11">
        <f t="shared" si="22"/>
        <v>0.90743372789106924</v>
      </c>
    </row>
    <row r="1429" spans="1:8" ht="15" customHeight="1" x14ac:dyDescent="0.25">
      <c r="A1429" s="5">
        <v>1423</v>
      </c>
      <c r="B1429" s="10" t="s">
        <v>2867</v>
      </c>
      <c r="C1429" s="10" t="s">
        <v>2868</v>
      </c>
      <c r="D1429" s="7">
        <v>1341.67</v>
      </c>
      <c r="E1429" s="5">
        <v>907</v>
      </c>
      <c r="F1429" s="5">
        <v>122</v>
      </c>
      <c r="G1429" s="12">
        <f>SUM($D$7:D1429)</f>
        <v>9680650.9900000188</v>
      </c>
      <c r="H1429" s="11">
        <f t="shared" si="22"/>
        <v>0.90755950924275974</v>
      </c>
    </row>
    <row r="1430" spans="1:8" ht="15" customHeight="1" x14ac:dyDescent="0.25">
      <c r="A1430" s="5">
        <v>1424</v>
      </c>
      <c r="B1430" s="10" t="s">
        <v>2869</v>
      </c>
      <c r="C1430" s="10" t="s">
        <v>2870</v>
      </c>
      <c r="D1430" s="7">
        <v>1341.37</v>
      </c>
      <c r="E1430" s="5">
        <v>962</v>
      </c>
      <c r="F1430" s="5">
        <v>153</v>
      </c>
      <c r="G1430" s="12">
        <f>SUM($D$7:D1430)</f>
        <v>9681992.360000018</v>
      </c>
      <c r="H1430" s="11">
        <f t="shared" si="22"/>
        <v>0.90768526246949721</v>
      </c>
    </row>
    <row r="1431" spans="1:8" ht="15" customHeight="1" x14ac:dyDescent="0.25">
      <c r="A1431" s="5">
        <v>1425</v>
      </c>
      <c r="B1431" s="10" t="s">
        <v>2096</v>
      </c>
      <c r="C1431" s="10" t="s">
        <v>2871</v>
      </c>
      <c r="D1431" s="7">
        <v>1338</v>
      </c>
      <c r="E1431" s="5">
        <v>3300</v>
      </c>
      <c r="F1431" s="5">
        <v>104</v>
      </c>
      <c r="G1431" s="12">
        <f>SUM($D$7:D1431)</f>
        <v>9683330.360000018</v>
      </c>
      <c r="H1431" s="11">
        <f t="shared" si="22"/>
        <v>0.90781069975926432</v>
      </c>
    </row>
    <row r="1432" spans="1:8" ht="15" customHeight="1" x14ac:dyDescent="0.25">
      <c r="A1432" s="5">
        <v>1426</v>
      </c>
      <c r="B1432" s="10" t="s">
        <v>2872</v>
      </c>
      <c r="C1432" s="10" t="s">
        <v>2873</v>
      </c>
      <c r="D1432" s="7">
        <v>1337.51</v>
      </c>
      <c r="E1432" s="5">
        <v>217</v>
      </c>
      <c r="F1432" s="5">
        <v>95</v>
      </c>
      <c r="G1432" s="12">
        <f>SUM($D$7:D1432)</f>
        <v>9684667.8700000178</v>
      </c>
      <c r="H1432" s="11">
        <f t="shared" si="22"/>
        <v>0.90793609111160833</v>
      </c>
    </row>
    <row r="1433" spans="1:8" ht="15" customHeight="1" x14ac:dyDescent="0.25">
      <c r="A1433" s="5">
        <v>1427</v>
      </c>
      <c r="B1433" s="10" t="s">
        <v>2874</v>
      </c>
      <c r="C1433" s="10" t="s">
        <v>2875</v>
      </c>
      <c r="D1433" s="7">
        <v>1336.78</v>
      </c>
      <c r="E1433" s="5">
        <v>286</v>
      </c>
      <c r="F1433" s="5">
        <v>96</v>
      </c>
      <c r="G1433" s="12">
        <f>SUM($D$7:D1433)</f>
        <v>9686004.6500000171</v>
      </c>
      <c r="H1433" s="11">
        <f t="shared" si="22"/>
        <v>0.90806141402656715</v>
      </c>
    </row>
    <row r="1434" spans="1:8" ht="15" customHeight="1" x14ac:dyDescent="0.25">
      <c r="A1434" s="5">
        <v>1428</v>
      </c>
      <c r="B1434" s="10" t="s">
        <v>2876</v>
      </c>
      <c r="C1434" s="10" t="s">
        <v>2877</v>
      </c>
      <c r="D1434" s="7">
        <v>1334.49</v>
      </c>
      <c r="E1434" s="5">
        <v>332</v>
      </c>
      <c r="F1434" s="5">
        <v>32</v>
      </c>
      <c r="G1434" s="12">
        <f>SUM($D$7:D1434)</f>
        <v>9687339.1400000174</v>
      </c>
      <c r="H1434" s="11">
        <f t="shared" si="22"/>
        <v>0.90818652225438579</v>
      </c>
    </row>
    <row r="1435" spans="1:8" ht="15" customHeight="1" x14ac:dyDescent="0.25">
      <c r="A1435" s="5">
        <v>1429</v>
      </c>
      <c r="B1435" s="10" t="s">
        <v>2878</v>
      </c>
      <c r="C1435" s="10" t="s">
        <v>2879</v>
      </c>
      <c r="D1435" s="7">
        <v>1334.16</v>
      </c>
      <c r="E1435" s="5">
        <v>324</v>
      </c>
      <c r="F1435" s="5">
        <v>63</v>
      </c>
      <c r="G1435" s="12">
        <f>SUM($D$7:D1435)</f>
        <v>9688673.3000000175</v>
      </c>
      <c r="H1435" s="11">
        <f t="shared" si="22"/>
        <v>0.90831159954475627</v>
      </c>
    </row>
    <row r="1436" spans="1:8" ht="15" customHeight="1" x14ac:dyDescent="0.25">
      <c r="A1436" s="5">
        <v>1430</v>
      </c>
      <c r="B1436" s="10" t="s">
        <v>2880</v>
      </c>
      <c r="C1436" s="10" t="s">
        <v>2881</v>
      </c>
      <c r="D1436" s="7">
        <v>1333.75</v>
      </c>
      <c r="E1436" s="5">
        <v>860</v>
      </c>
      <c r="F1436" s="5">
        <v>143</v>
      </c>
      <c r="G1436" s="12">
        <f>SUM($D$7:D1436)</f>
        <v>9690007.0500000175</v>
      </c>
      <c r="H1436" s="11">
        <f t="shared" si="22"/>
        <v>0.90843663839769107</v>
      </c>
    </row>
    <row r="1437" spans="1:8" ht="15" customHeight="1" x14ac:dyDescent="0.25">
      <c r="A1437" s="5">
        <v>1431</v>
      </c>
      <c r="B1437" s="10" t="s">
        <v>2882</v>
      </c>
      <c r="C1437" s="10" t="s">
        <v>2883</v>
      </c>
      <c r="D1437" s="7">
        <v>1333.21</v>
      </c>
      <c r="E1437" s="5">
        <v>643</v>
      </c>
      <c r="F1437" s="5">
        <v>101</v>
      </c>
      <c r="G1437" s="12">
        <f>SUM($D$7:D1437)</f>
        <v>9691340.2600000184</v>
      </c>
      <c r="H1437" s="11">
        <f t="shared" si="22"/>
        <v>0.90856162662571094</v>
      </c>
    </row>
    <row r="1438" spans="1:8" ht="15" customHeight="1" x14ac:dyDescent="0.25">
      <c r="A1438" s="5">
        <v>1432</v>
      </c>
      <c r="B1438" s="10" t="s">
        <v>2884</v>
      </c>
      <c r="C1438" s="10" t="s">
        <v>2885</v>
      </c>
      <c r="D1438" s="7">
        <v>1329.44</v>
      </c>
      <c r="E1438" s="5">
        <v>408</v>
      </c>
      <c r="F1438" s="5">
        <v>133</v>
      </c>
      <c r="G1438" s="12">
        <f>SUM($D$7:D1438)</f>
        <v>9692669.7000000179</v>
      </c>
      <c r="H1438" s="11">
        <f t="shared" si="22"/>
        <v>0.90868626141682296</v>
      </c>
    </row>
    <row r="1439" spans="1:8" ht="15" customHeight="1" x14ac:dyDescent="0.25">
      <c r="A1439" s="5">
        <v>1433</v>
      </c>
      <c r="B1439" s="10" t="s">
        <v>2886</v>
      </c>
      <c r="C1439" s="10" t="s">
        <v>2887</v>
      </c>
      <c r="D1439" s="7">
        <v>1325.03</v>
      </c>
      <c r="E1439" s="5">
        <v>241</v>
      </c>
      <c r="F1439" s="5">
        <v>37</v>
      </c>
      <c r="G1439" s="12">
        <f>SUM($D$7:D1439)</f>
        <v>9693994.7300000172</v>
      </c>
      <c r="H1439" s="11">
        <f t="shared" si="22"/>
        <v>0.90881048277112786</v>
      </c>
    </row>
    <row r="1440" spans="1:8" ht="15" customHeight="1" x14ac:dyDescent="0.25">
      <c r="A1440" s="5">
        <v>1434</v>
      </c>
      <c r="B1440" s="10" t="s">
        <v>2888</v>
      </c>
      <c r="C1440" s="10" t="s">
        <v>2889</v>
      </c>
      <c r="D1440" s="7">
        <v>1323.37</v>
      </c>
      <c r="E1440" s="5">
        <v>996</v>
      </c>
      <c r="F1440" s="5">
        <v>118</v>
      </c>
      <c r="G1440" s="12">
        <f>SUM($D$7:D1440)</f>
        <v>9695318.1000000164</v>
      </c>
      <c r="H1440" s="11">
        <f t="shared" si="22"/>
        <v>0.90893454850069366</v>
      </c>
    </row>
    <row r="1441" spans="1:8" ht="15" customHeight="1" x14ac:dyDescent="0.25">
      <c r="A1441" s="5">
        <v>1435</v>
      </c>
      <c r="B1441" s="10" t="s">
        <v>2890</v>
      </c>
      <c r="C1441" s="10" t="s">
        <v>2891</v>
      </c>
      <c r="D1441" s="7">
        <v>1321.38</v>
      </c>
      <c r="E1441" s="5">
        <v>254</v>
      </c>
      <c r="F1441" s="5">
        <v>70</v>
      </c>
      <c r="G1441" s="12">
        <f>SUM($D$7:D1441)</f>
        <v>9696639.4800000172</v>
      </c>
      <c r="H1441" s="11">
        <f t="shared" si="22"/>
        <v>0.90905842766807221</v>
      </c>
    </row>
    <row r="1442" spans="1:8" ht="15" customHeight="1" x14ac:dyDescent="0.25">
      <c r="A1442" s="5">
        <v>1436</v>
      </c>
      <c r="B1442" s="10" t="s">
        <v>2892</v>
      </c>
      <c r="C1442" s="10" t="s">
        <v>2893</v>
      </c>
      <c r="D1442" s="7">
        <v>1316.16</v>
      </c>
      <c r="E1442" s="5">
        <v>1908</v>
      </c>
      <c r="F1442" s="5">
        <v>237</v>
      </c>
      <c r="G1442" s="12">
        <f>SUM($D$7:D1442)</f>
        <v>9697955.6400000174</v>
      </c>
      <c r="H1442" s="11">
        <f t="shared" si="22"/>
        <v>0.90918181746127102</v>
      </c>
    </row>
    <row r="1443" spans="1:8" ht="15" customHeight="1" x14ac:dyDescent="0.25">
      <c r="A1443" s="5">
        <v>1437</v>
      </c>
      <c r="B1443" s="10" t="s">
        <v>2894</v>
      </c>
      <c r="C1443" s="10" t="s">
        <v>2895</v>
      </c>
      <c r="D1443" s="7">
        <v>1315.43</v>
      </c>
      <c r="E1443" s="5">
        <v>1942</v>
      </c>
      <c r="F1443" s="5">
        <v>266</v>
      </c>
      <c r="G1443" s="12">
        <f>SUM($D$7:D1443)</f>
        <v>9699271.0700000171</v>
      </c>
      <c r="H1443" s="11">
        <f t="shared" si="22"/>
        <v>0.90930513881708441</v>
      </c>
    </row>
    <row r="1444" spans="1:8" ht="15" customHeight="1" x14ac:dyDescent="0.25">
      <c r="A1444" s="5">
        <v>1438</v>
      </c>
      <c r="B1444" s="10" t="s">
        <v>2896</v>
      </c>
      <c r="C1444" s="10" t="s">
        <v>2897</v>
      </c>
      <c r="D1444" s="7">
        <v>1313.39</v>
      </c>
      <c r="E1444" s="5">
        <v>1608</v>
      </c>
      <c r="F1444" s="5">
        <v>100</v>
      </c>
      <c r="G1444" s="12">
        <f>SUM($D$7:D1444)</f>
        <v>9700584.4600000177</v>
      </c>
      <c r="H1444" s="11">
        <f t="shared" si="22"/>
        <v>0.90942826892321837</v>
      </c>
    </row>
    <row r="1445" spans="1:8" ht="15" customHeight="1" x14ac:dyDescent="0.25">
      <c r="A1445" s="5">
        <v>1439</v>
      </c>
      <c r="B1445" s="10" t="s">
        <v>2898</v>
      </c>
      <c r="C1445" s="10" t="s">
        <v>2899</v>
      </c>
      <c r="D1445" s="7">
        <v>1313.28</v>
      </c>
      <c r="E1445" s="5">
        <v>820</v>
      </c>
      <c r="F1445" s="5">
        <v>115</v>
      </c>
      <c r="G1445" s="12">
        <f>SUM($D$7:D1445)</f>
        <v>9701897.740000017</v>
      </c>
      <c r="H1445" s="11">
        <f t="shared" si="22"/>
        <v>0.90955138871686947</v>
      </c>
    </row>
    <row r="1446" spans="1:8" ht="15" customHeight="1" x14ac:dyDescent="0.25">
      <c r="A1446" s="5">
        <v>1440</v>
      </c>
      <c r="B1446" s="10" t="s">
        <v>2900</v>
      </c>
      <c r="C1446" s="10" t="s">
        <v>2901</v>
      </c>
      <c r="D1446" s="7">
        <v>1311.36</v>
      </c>
      <c r="E1446" s="5">
        <v>1008</v>
      </c>
      <c r="F1446" s="5">
        <v>22</v>
      </c>
      <c r="G1446" s="12">
        <f>SUM($D$7:D1446)</f>
        <v>9703209.1000000164</v>
      </c>
      <c r="H1446" s="11">
        <f t="shared" si="22"/>
        <v>0.90967432851082242</v>
      </c>
    </row>
    <row r="1447" spans="1:8" ht="15" customHeight="1" x14ac:dyDescent="0.25">
      <c r="A1447" s="5">
        <v>1441</v>
      </c>
      <c r="B1447" s="10" t="s">
        <v>2902</v>
      </c>
      <c r="C1447" s="10" t="s">
        <v>2903</v>
      </c>
      <c r="D1447" s="7">
        <v>1309.18</v>
      </c>
      <c r="E1447" s="5">
        <v>3054</v>
      </c>
      <c r="F1447" s="5">
        <v>262</v>
      </c>
      <c r="G1447" s="12">
        <f>SUM($D$7:D1447)</f>
        <v>9704518.2800000161</v>
      </c>
      <c r="H1447" s="11">
        <f t="shared" si="22"/>
        <v>0.90979706393011772</v>
      </c>
    </row>
    <row r="1448" spans="1:8" ht="15" customHeight="1" x14ac:dyDescent="0.25">
      <c r="A1448" s="5">
        <v>1442</v>
      </c>
      <c r="B1448" s="10" t="s">
        <v>2904</v>
      </c>
      <c r="C1448" s="10" t="s">
        <v>2905</v>
      </c>
      <c r="D1448" s="7">
        <v>1308.56</v>
      </c>
      <c r="E1448" s="5">
        <v>693</v>
      </c>
      <c r="F1448" s="5">
        <v>80</v>
      </c>
      <c r="G1448" s="12">
        <f>SUM($D$7:D1448)</f>
        <v>9705826.8400000166</v>
      </c>
      <c r="H1448" s="11">
        <f t="shared" si="22"/>
        <v>0.90991974122451069</v>
      </c>
    </row>
    <row r="1449" spans="1:8" ht="15" customHeight="1" x14ac:dyDescent="0.25">
      <c r="A1449" s="5">
        <v>1443</v>
      </c>
      <c r="B1449" s="10" t="s">
        <v>2906</v>
      </c>
      <c r="C1449" s="10" t="s">
        <v>2907</v>
      </c>
      <c r="D1449" s="7">
        <v>1308.3800000000001</v>
      </c>
      <c r="E1449" s="5">
        <v>993</v>
      </c>
      <c r="F1449" s="5">
        <v>158</v>
      </c>
      <c r="G1449" s="12">
        <f>SUM($D$7:D1449)</f>
        <v>9707135.2200000174</v>
      </c>
      <c r="H1449" s="11">
        <f t="shared" si="22"/>
        <v>0.91004240164393191</v>
      </c>
    </row>
    <row r="1450" spans="1:8" ht="15" customHeight="1" x14ac:dyDescent="0.25">
      <c r="A1450" s="5">
        <v>1444</v>
      </c>
      <c r="B1450" s="10" t="s">
        <v>2908</v>
      </c>
      <c r="C1450" s="10" t="s">
        <v>2909</v>
      </c>
      <c r="D1450" s="7">
        <v>1305.25</v>
      </c>
      <c r="E1450" s="5">
        <v>2667</v>
      </c>
      <c r="F1450" s="5">
        <v>261</v>
      </c>
      <c r="G1450" s="12">
        <f>SUM($D$7:D1450)</f>
        <v>9708440.4700000174</v>
      </c>
      <c r="H1450" s="11">
        <f t="shared" si="22"/>
        <v>0.91016476862634488</v>
      </c>
    </row>
    <row r="1451" spans="1:8" ht="15" customHeight="1" x14ac:dyDescent="0.25">
      <c r="A1451" s="5">
        <v>1445</v>
      </c>
      <c r="B1451" s="10" t="s">
        <v>2910</v>
      </c>
      <c r="C1451" s="10" t="s">
        <v>2911</v>
      </c>
      <c r="D1451" s="7">
        <v>1301.55</v>
      </c>
      <c r="E1451" s="5">
        <v>301</v>
      </c>
      <c r="F1451" s="5">
        <v>101</v>
      </c>
      <c r="G1451" s="12">
        <f>SUM($D$7:D1451)</f>
        <v>9709742.0200000182</v>
      </c>
      <c r="H1451" s="11">
        <f t="shared" si="22"/>
        <v>0.91028678873433921</v>
      </c>
    </row>
    <row r="1452" spans="1:8" ht="15" customHeight="1" x14ac:dyDescent="0.25">
      <c r="A1452" s="5">
        <v>1446</v>
      </c>
      <c r="B1452" s="10" t="s">
        <v>2912</v>
      </c>
      <c r="C1452" s="10" t="s">
        <v>2913</v>
      </c>
      <c r="D1452" s="7">
        <v>1299.83</v>
      </c>
      <c r="E1452" s="5">
        <v>63</v>
      </c>
      <c r="F1452" s="5">
        <v>47</v>
      </c>
      <c r="G1452" s="12">
        <f>SUM($D$7:D1452)</f>
        <v>9711041.8500000183</v>
      </c>
      <c r="H1452" s="11">
        <f t="shared" si="22"/>
        <v>0.91040864759260376</v>
      </c>
    </row>
    <row r="1453" spans="1:8" ht="15" customHeight="1" x14ac:dyDescent="0.25">
      <c r="A1453" s="5">
        <v>1447</v>
      </c>
      <c r="B1453" s="10" t="s">
        <v>2914</v>
      </c>
      <c r="C1453" s="10" t="s">
        <v>2915</v>
      </c>
      <c r="D1453" s="7">
        <v>1297.1199999999999</v>
      </c>
      <c r="E1453" s="5">
        <v>1904</v>
      </c>
      <c r="F1453" s="5">
        <v>197</v>
      </c>
      <c r="G1453" s="12">
        <f>SUM($D$7:D1453)</f>
        <v>9712338.9700000174</v>
      </c>
      <c r="H1453" s="11">
        <f t="shared" si="22"/>
        <v>0.91053025238879404</v>
      </c>
    </row>
    <row r="1454" spans="1:8" ht="15" customHeight="1" x14ac:dyDescent="0.25">
      <c r="A1454" s="5">
        <v>1448</v>
      </c>
      <c r="B1454" s="10" t="s">
        <v>2916</v>
      </c>
      <c r="C1454" s="10" t="s">
        <v>2917</v>
      </c>
      <c r="D1454" s="7">
        <v>1296.6099999999999</v>
      </c>
      <c r="E1454" s="5">
        <v>304</v>
      </c>
      <c r="F1454" s="5">
        <v>74</v>
      </c>
      <c r="G1454" s="12">
        <f>SUM($D$7:D1454)</f>
        <v>9713635.5800000168</v>
      </c>
      <c r="H1454" s="11">
        <f t="shared" si="22"/>
        <v>0.91065180937256451</v>
      </c>
    </row>
    <row r="1455" spans="1:8" ht="15" customHeight="1" x14ac:dyDescent="0.25">
      <c r="A1455" s="5">
        <v>1449</v>
      </c>
      <c r="B1455" s="10" t="s">
        <v>2918</v>
      </c>
      <c r="C1455" s="10" t="s">
        <v>2919</v>
      </c>
      <c r="D1455" s="7">
        <v>1296.23</v>
      </c>
      <c r="E1455" s="5">
        <v>668</v>
      </c>
      <c r="F1455" s="5">
        <v>109</v>
      </c>
      <c r="G1455" s="12">
        <f>SUM($D$7:D1455)</f>
        <v>9714931.8100000173</v>
      </c>
      <c r="H1455" s="11">
        <f t="shared" si="22"/>
        <v>0.91077333073139477</v>
      </c>
    </row>
    <row r="1456" spans="1:8" ht="15" customHeight="1" x14ac:dyDescent="0.25">
      <c r="A1456" s="5">
        <v>1450</v>
      </c>
      <c r="B1456" s="10" t="s">
        <v>2920</v>
      </c>
      <c r="C1456" s="10" t="s">
        <v>2921</v>
      </c>
      <c r="D1456" s="7">
        <v>1296.1300000000001</v>
      </c>
      <c r="E1456" s="5">
        <v>750</v>
      </c>
      <c r="F1456" s="5">
        <v>193</v>
      </c>
      <c r="G1456" s="12">
        <f>SUM($D$7:D1456)</f>
        <v>9716227.9400000181</v>
      </c>
      <c r="H1456" s="11">
        <f t="shared" si="22"/>
        <v>0.91089484271524068</v>
      </c>
    </row>
    <row r="1457" spans="1:8" ht="15" customHeight="1" x14ac:dyDescent="0.25">
      <c r="A1457" s="5">
        <v>1451</v>
      </c>
      <c r="B1457" s="10" t="s">
        <v>2922</v>
      </c>
      <c r="C1457" s="10" t="s">
        <v>2923</v>
      </c>
      <c r="D1457" s="7">
        <v>1295.21</v>
      </c>
      <c r="E1457" s="5">
        <v>289</v>
      </c>
      <c r="F1457" s="5">
        <v>117</v>
      </c>
      <c r="G1457" s="12">
        <f>SUM($D$7:D1457)</f>
        <v>9717523.150000019</v>
      </c>
      <c r="H1457" s="11">
        <f t="shared" si="22"/>
        <v>0.91101626844923123</v>
      </c>
    </row>
    <row r="1458" spans="1:8" ht="15" customHeight="1" x14ac:dyDescent="0.25">
      <c r="A1458" s="5">
        <v>1452</v>
      </c>
      <c r="B1458" s="10" t="s">
        <v>2924</v>
      </c>
      <c r="C1458" s="10" t="s">
        <v>2925</v>
      </c>
      <c r="D1458" s="7">
        <v>1295</v>
      </c>
      <c r="E1458" s="5">
        <v>1607</v>
      </c>
      <c r="F1458" s="5">
        <v>63</v>
      </c>
      <c r="G1458" s="12">
        <f>SUM($D$7:D1458)</f>
        <v>9718818.150000019</v>
      </c>
      <c r="H1458" s="11">
        <f t="shared" si="22"/>
        <v>0.91113767449575478</v>
      </c>
    </row>
    <row r="1459" spans="1:8" ht="15" customHeight="1" x14ac:dyDescent="0.25">
      <c r="A1459" s="5">
        <v>1453</v>
      </c>
      <c r="B1459" s="10" t="s">
        <v>2926</v>
      </c>
      <c r="C1459" s="10" t="s">
        <v>2927</v>
      </c>
      <c r="D1459" s="7">
        <v>1289.49</v>
      </c>
      <c r="E1459" s="5">
        <v>279</v>
      </c>
      <c r="F1459" s="5">
        <v>147</v>
      </c>
      <c r="G1459" s="12">
        <f>SUM($D$7:D1459)</f>
        <v>9720107.6400000192</v>
      </c>
      <c r="H1459" s="11">
        <f t="shared" si="22"/>
        <v>0.91125856398064398</v>
      </c>
    </row>
    <row r="1460" spans="1:8" ht="15" customHeight="1" x14ac:dyDescent="0.25">
      <c r="A1460" s="5">
        <v>1454</v>
      </c>
      <c r="B1460" s="10" t="s">
        <v>2928</v>
      </c>
      <c r="C1460" s="10" t="s">
        <v>2929</v>
      </c>
      <c r="D1460" s="7">
        <v>1288.3399999999999</v>
      </c>
      <c r="E1460" s="5">
        <v>822</v>
      </c>
      <c r="F1460" s="5">
        <v>138</v>
      </c>
      <c r="G1460" s="12">
        <f>SUM($D$7:D1460)</f>
        <v>9721395.9800000191</v>
      </c>
      <c r="H1460" s="11">
        <f t="shared" si="22"/>
        <v>0.91137934565321388</v>
      </c>
    </row>
    <row r="1461" spans="1:8" ht="15" customHeight="1" x14ac:dyDescent="0.25">
      <c r="A1461" s="5">
        <v>1455</v>
      </c>
      <c r="B1461" s="10" t="s">
        <v>2930</v>
      </c>
      <c r="C1461" s="10" t="s">
        <v>2931</v>
      </c>
      <c r="D1461" s="7">
        <v>1283.99</v>
      </c>
      <c r="E1461" s="5">
        <v>1265</v>
      </c>
      <c r="F1461" s="5">
        <v>115</v>
      </c>
      <c r="G1461" s="12">
        <f>SUM($D$7:D1461)</f>
        <v>9722679.9700000193</v>
      </c>
      <c r="H1461" s="11">
        <f t="shared" si="22"/>
        <v>0.91149971951396735</v>
      </c>
    </row>
    <row r="1462" spans="1:8" ht="15" customHeight="1" x14ac:dyDescent="0.25">
      <c r="A1462" s="5">
        <v>1456</v>
      </c>
      <c r="B1462" s="10" t="s">
        <v>2932</v>
      </c>
      <c r="C1462" s="10" t="s">
        <v>2933</v>
      </c>
      <c r="D1462" s="7">
        <v>1280.49</v>
      </c>
      <c r="E1462" s="5">
        <v>1832</v>
      </c>
      <c r="F1462" s="5">
        <v>308</v>
      </c>
      <c r="G1462" s="12">
        <f>SUM($D$7:D1462)</f>
        <v>9723960.4600000195</v>
      </c>
      <c r="H1462" s="11">
        <f t="shared" si="22"/>
        <v>0.91161976525027066</v>
      </c>
    </row>
    <row r="1463" spans="1:8" ht="15" customHeight="1" x14ac:dyDescent="0.25">
      <c r="A1463" s="5">
        <v>1457</v>
      </c>
      <c r="B1463" s="10" t="s">
        <v>2934</v>
      </c>
      <c r="C1463" s="10" t="s">
        <v>2935</v>
      </c>
      <c r="D1463" s="7">
        <v>1280.18</v>
      </c>
      <c r="E1463" s="5">
        <v>973</v>
      </c>
      <c r="F1463" s="5">
        <v>113</v>
      </c>
      <c r="G1463" s="12">
        <f>SUM($D$7:D1463)</f>
        <v>9725240.6400000192</v>
      </c>
      <c r="H1463" s="11">
        <f t="shared" si="22"/>
        <v>0.91173978192412275</v>
      </c>
    </row>
    <row r="1464" spans="1:8" ht="15" customHeight="1" x14ac:dyDescent="0.25">
      <c r="A1464" s="5">
        <v>1458</v>
      </c>
      <c r="B1464" s="10" t="s">
        <v>2936</v>
      </c>
      <c r="C1464" s="10" t="s">
        <v>2937</v>
      </c>
      <c r="D1464" s="7">
        <v>1278.5999999999999</v>
      </c>
      <c r="E1464" s="5">
        <v>1874</v>
      </c>
      <c r="F1464" s="5">
        <v>238</v>
      </c>
      <c r="G1464" s="12">
        <f>SUM($D$7:D1464)</f>
        <v>9726519.2400000188</v>
      </c>
      <c r="H1464" s="11">
        <f t="shared" si="22"/>
        <v>0.91185965047322293</v>
      </c>
    </row>
    <row r="1465" spans="1:8" ht="15" customHeight="1" x14ac:dyDescent="0.25">
      <c r="A1465" s="5">
        <v>1459</v>
      </c>
      <c r="B1465" s="10" t="s">
        <v>2938</v>
      </c>
      <c r="C1465" s="10" t="s">
        <v>2939</v>
      </c>
      <c r="D1465" s="7">
        <v>1278.23</v>
      </c>
      <c r="E1465" s="5">
        <v>2421</v>
      </c>
      <c r="F1465" s="5">
        <v>217</v>
      </c>
      <c r="G1465" s="12">
        <f>SUM($D$7:D1465)</f>
        <v>9727797.4700000193</v>
      </c>
      <c r="H1465" s="11">
        <f t="shared" si="22"/>
        <v>0.91197948433488152</v>
      </c>
    </row>
    <row r="1466" spans="1:8" ht="15" customHeight="1" x14ac:dyDescent="0.25">
      <c r="A1466" s="5">
        <v>1460</v>
      </c>
      <c r="B1466" s="10" t="s">
        <v>2940</v>
      </c>
      <c r="C1466" s="10" t="s">
        <v>2941</v>
      </c>
      <c r="D1466" s="7">
        <v>1277.47</v>
      </c>
      <c r="E1466" s="5">
        <v>748</v>
      </c>
      <c r="F1466" s="5">
        <v>86</v>
      </c>
      <c r="G1466" s="12">
        <f>SUM($D$7:D1466)</f>
        <v>9729074.94000002</v>
      </c>
      <c r="H1466" s="11">
        <f t="shared" si="22"/>
        <v>0.91209924694665934</v>
      </c>
    </row>
    <row r="1467" spans="1:8" ht="15" customHeight="1" x14ac:dyDescent="0.25">
      <c r="A1467" s="5">
        <v>1461</v>
      </c>
      <c r="B1467" s="10" t="s">
        <v>2942</v>
      </c>
      <c r="C1467" s="10" t="s">
        <v>2943</v>
      </c>
      <c r="D1467" s="7">
        <v>1273.76</v>
      </c>
      <c r="E1467" s="5">
        <v>334</v>
      </c>
      <c r="F1467" s="5">
        <v>30</v>
      </c>
      <c r="G1467" s="12">
        <f>SUM($D$7:D1467)</f>
        <v>9730348.7000000197</v>
      </c>
      <c r="H1467" s="11">
        <f t="shared" si="22"/>
        <v>0.91221866174652011</v>
      </c>
    </row>
    <row r="1468" spans="1:8" ht="15" customHeight="1" x14ac:dyDescent="0.25">
      <c r="A1468" s="5">
        <v>1462</v>
      </c>
      <c r="B1468" s="10" t="s">
        <v>2944</v>
      </c>
      <c r="C1468" s="10" t="s">
        <v>2945</v>
      </c>
      <c r="D1468" s="7">
        <v>1273.1099999999999</v>
      </c>
      <c r="E1468" s="5">
        <v>411</v>
      </c>
      <c r="F1468" s="5">
        <v>128</v>
      </c>
      <c r="G1468" s="12">
        <f>SUM($D$7:D1468)</f>
        <v>9731621.8100000191</v>
      </c>
      <c r="H1468" s="11">
        <f t="shared" si="22"/>
        <v>0.91233801560898309</v>
      </c>
    </row>
    <row r="1469" spans="1:8" ht="15" customHeight="1" x14ac:dyDescent="0.25">
      <c r="A1469" s="5">
        <v>1463</v>
      </c>
      <c r="B1469" s="10" t="s">
        <v>2946</v>
      </c>
      <c r="C1469" s="10" t="s">
        <v>2947</v>
      </c>
      <c r="D1469" s="7">
        <v>1271.52</v>
      </c>
      <c r="E1469" s="5">
        <v>884</v>
      </c>
      <c r="F1469" s="5">
        <v>103</v>
      </c>
      <c r="G1469" s="12">
        <f>SUM($D$7:D1469)</f>
        <v>9732893.3300000187</v>
      </c>
      <c r="H1469" s="11">
        <f t="shared" si="22"/>
        <v>0.91245722040919575</v>
      </c>
    </row>
    <row r="1470" spans="1:8" ht="15" customHeight="1" x14ac:dyDescent="0.25">
      <c r="A1470" s="5">
        <v>1464</v>
      </c>
      <c r="B1470" s="10" t="s">
        <v>2948</v>
      </c>
      <c r="C1470" s="10" t="s">
        <v>2949</v>
      </c>
      <c r="D1470" s="7">
        <v>1270.82</v>
      </c>
      <c r="E1470" s="5">
        <v>1975</v>
      </c>
      <c r="F1470" s="5">
        <v>210</v>
      </c>
      <c r="G1470" s="12">
        <f>SUM($D$7:D1470)</f>
        <v>9734164.150000019</v>
      </c>
      <c r="H1470" s="11">
        <f t="shared" si="22"/>
        <v>0.91257635958451855</v>
      </c>
    </row>
    <row r="1471" spans="1:8" ht="15" customHeight="1" x14ac:dyDescent="0.25">
      <c r="A1471" s="5">
        <v>1465</v>
      </c>
      <c r="B1471" s="10" t="s">
        <v>2950</v>
      </c>
      <c r="C1471" s="10" t="s">
        <v>2951</v>
      </c>
      <c r="D1471" s="7">
        <v>1268.19</v>
      </c>
      <c r="E1471" s="5">
        <v>405</v>
      </c>
      <c r="F1471" s="5">
        <v>3</v>
      </c>
      <c r="G1471" s="12">
        <f>SUM($D$7:D1471)</f>
        <v>9735432.3400000185</v>
      </c>
      <c r="H1471" s="11">
        <f t="shared" si="22"/>
        <v>0.91269525219775449</v>
      </c>
    </row>
    <row r="1472" spans="1:8" ht="15" customHeight="1" x14ac:dyDescent="0.25">
      <c r="A1472" s="5">
        <v>1466</v>
      </c>
      <c r="B1472" s="10" t="s">
        <v>2952</v>
      </c>
      <c r="C1472" s="10" t="s">
        <v>2953</v>
      </c>
      <c r="D1472" s="7">
        <v>1264.2</v>
      </c>
      <c r="E1472" s="5">
        <v>2758</v>
      </c>
      <c r="F1472" s="5">
        <v>163</v>
      </c>
      <c r="G1472" s="12">
        <f>SUM($D$7:D1472)</f>
        <v>9736696.5400000177</v>
      </c>
      <c r="H1472" s="11">
        <f t="shared" si="22"/>
        <v>0.91281377074911729</v>
      </c>
    </row>
    <row r="1473" spans="1:8" ht="15" customHeight="1" x14ac:dyDescent="0.25">
      <c r="A1473" s="5">
        <v>1467</v>
      </c>
      <c r="B1473" s="10" t="s">
        <v>2954</v>
      </c>
      <c r="C1473" s="10" t="s">
        <v>2955</v>
      </c>
      <c r="D1473" s="7">
        <v>1256.17</v>
      </c>
      <c r="E1473" s="5">
        <v>573</v>
      </c>
      <c r="F1473" s="5">
        <v>98</v>
      </c>
      <c r="G1473" s="12">
        <f>SUM($D$7:D1473)</f>
        <v>9737952.7100000177</v>
      </c>
      <c r="H1473" s="11">
        <f t="shared" si="22"/>
        <v>0.91293153648924186</v>
      </c>
    </row>
    <row r="1474" spans="1:8" ht="15" customHeight="1" x14ac:dyDescent="0.25">
      <c r="A1474" s="5">
        <v>1468</v>
      </c>
      <c r="B1474" s="10" t="s">
        <v>2956</v>
      </c>
      <c r="C1474" s="10" t="s">
        <v>2957</v>
      </c>
      <c r="D1474" s="7">
        <v>1255.72</v>
      </c>
      <c r="E1474" s="5">
        <v>1393</v>
      </c>
      <c r="F1474" s="5">
        <v>179</v>
      </c>
      <c r="G1474" s="12">
        <f>SUM($D$7:D1474)</f>
        <v>9739208.4300000183</v>
      </c>
      <c r="H1474" s="11">
        <f t="shared" si="22"/>
        <v>0.91304926004193732</v>
      </c>
    </row>
    <row r="1475" spans="1:8" ht="15" customHeight="1" x14ac:dyDescent="0.25">
      <c r="A1475" s="5">
        <v>1469</v>
      </c>
      <c r="B1475" s="10" t="s">
        <v>2958</v>
      </c>
      <c r="C1475" s="10" t="s">
        <v>2959</v>
      </c>
      <c r="D1475" s="7">
        <v>1253.8599999999999</v>
      </c>
      <c r="E1475" s="5">
        <v>951</v>
      </c>
      <c r="F1475" s="5">
        <v>135</v>
      </c>
      <c r="G1475" s="12">
        <f>SUM($D$7:D1475)</f>
        <v>9740462.2900000177</v>
      </c>
      <c r="H1475" s="11">
        <f t="shared" si="22"/>
        <v>0.91316680921992477</v>
      </c>
    </row>
    <row r="1476" spans="1:8" ht="15" customHeight="1" x14ac:dyDescent="0.25">
      <c r="A1476" s="5">
        <v>1470</v>
      </c>
      <c r="B1476" s="10" t="s">
        <v>1644</v>
      </c>
      <c r="C1476" s="10" t="s">
        <v>2960</v>
      </c>
      <c r="D1476" s="7">
        <v>1253.78</v>
      </c>
      <c r="E1476" s="5">
        <v>306</v>
      </c>
      <c r="F1476" s="5">
        <v>54</v>
      </c>
      <c r="G1476" s="12">
        <f>SUM($D$7:D1476)</f>
        <v>9741716.0700000171</v>
      </c>
      <c r="H1476" s="11">
        <f t="shared" si="22"/>
        <v>0.91328435089792492</v>
      </c>
    </row>
    <row r="1477" spans="1:8" ht="15" customHeight="1" x14ac:dyDescent="0.25">
      <c r="A1477" s="5">
        <v>1471</v>
      </c>
      <c r="B1477" s="10" t="s">
        <v>2961</v>
      </c>
      <c r="C1477" s="10" t="s">
        <v>2962</v>
      </c>
      <c r="D1477" s="7">
        <v>1249.1099999999999</v>
      </c>
      <c r="E1477" s="5">
        <v>297</v>
      </c>
      <c r="F1477" s="5">
        <v>78</v>
      </c>
      <c r="G1477" s="12">
        <f>SUM($D$7:D1477)</f>
        <v>9742965.1800000165</v>
      </c>
      <c r="H1477" s="11">
        <f t="shared" si="22"/>
        <v>0.91340145476415879</v>
      </c>
    </row>
    <row r="1478" spans="1:8" ht="15" customHeight="1" x14ac:dyDescent="0.25">
      <c r="A1478" s="5">
        <v>1472</v>
      </c>
      <c r="B1478" s="10" t="s">
        <v>2963</v>
      </c>
      <c r="C1478" s="10" t="s">
        <v>2964</v>
      </c>
      <c r="D1478" s="7">
        <v>1244.95</v>
      </c>
      <c r="E1478" s="5">
        <v>239</v>
      </c>
      <c r="F1478" s="5">
        <v>47</v>
      </c>
      <c r="G1478" s="12">
        <f>SUM($D$7:D1478)</f>
        <v>9744210.1300000157</v>
      </c>
      <c r="H1478" s="11">
        <f t="shared" si="22"/>
        <v>0.91351816863104629</v>
      </c>
    </row>
    <row r="1479" spans="1:8" ht="15" customHeight="1" x14ac:dyDescent="0.25">
      <c r="A1479" s="5">
        <v>1473</v>
      </c>
      <c r="B1479" s="10" t="s">
        <v>2965</v>
      </c>
      <c r="C1479" s="10" t="s">
        <v>2966</v>
      </c>
      <c r="D1479" s="7">
        <v>1242.5999999999999</v>
      </c>
      <c r="E1479" s="5">
        <v>318</v>
      </c>
      <c r="F1479" s="5">
        <v>18</v>
      </c>
      <c r="G1479" s="12">
        <f>SUM($D$7:D1479)</f>
        <v>9745452.7300000153</v>
      </c>
      <c r="H1479" s="11">
        <f t="shared" ref="H1479:H1542" si="23">G1479/SUM($D$7:$D$4167)</f>
        <v>0.91363466218580303</v>
      </c>
    </row>
    <row r="1480" spans="1:8" ht="15" customHeight="1" x14ac:dyDescent="0.25">
      <c r="A1480" s="5">
        <v>1474</v>
      </c>
      <c r="B1480" s="10" t="s">
        <v>2967</v>
      </c>
      <c r="C1480" s="10" t="s">
        <v>2968</v>
      </c>
      <c r="D1480" s="7">
        <v>1242.06</v>
      </c>
      <c r="E1480" s="5">
        <v>335</v>
      </c>
      <c r="F1480" s="5">
        <v>78</v>
      </c>
      <c r="G1480" s="12">
        <f>SUM($D$7:D1480)</f>
        <v>9746694.7900000159</v>
      </c>
      <c r="H1480" s="11">
        <f t="shared" si="23"/>
        <v>0.91375110511564472</v>
      </c>
    </row>
    <row r="1481" spans="1:8" ht="15" customHeight="1" x14ac:dyDescent="0.25">
      <c r="A1481" s="5">
        <v>1475</v>
      </c>
      <c r="B1481" s="10" t="s">
        <v>2969</v>
      </c>
      <c r="C1481" s="10" t="s">
        <v>2970</v>
      </c>
      <c r="D1481" s="7">
        <v>1241.32</v>
      </c>
      <c r="E1481" s="5">
        <v>1403</v>
      </c>
      <c r="F1481" s="5">
        <v>199</v>
      </c>
      <c r="G1481" s="12">
        <f>SUM($D$7:D1481)</f>
        <v>9747936.1100000162</v>
      </c>
      <c r="H1481" s="11">
        <f t="shared" si="23"/>
        <v>0.9138674786706027</v>
      </c>
    </row>
    <row r="1482" spans="1:8" ht="15" customHeight="1" x14ac:dyDescent="0.25">
      <c r="A1482" s="5">
        <v>1476</v>
      </c>
      <c r="B1482" s="10" t="s">
        <v>2971</v>
      </c>
      <c r="C1482" s="10" t="s">
        <v>2972</v>
      </c>
      <c r="D1482" s="7">
        <v>1241.3</v>
      </c>
      <c r="E1482" s="5">
        <v>296</v>
      </c>
      <c r="F1482" s="5">
        <v>78</v>
      </c>
      <c r="G1482" s="12">
        <f>SUM($D$7:D1482)</f>
        <v>9749177.4100000169</v>
      </c>
      <c r="H1482" s="11">
        <f t="shared" si="23"/>
        <v>0.91398385035056384</v>
      </c>
    </row>
    <row r="1483" spans="1:8" ht="15" customHeight="1" x14ac:dyDescent="0.25">
      <c r="A1483" s="5">
        <v>1477</v>
      </c>
      <c r="B1483" s="10" t="s">
        <v>2973</v>
      </c>
      <c r="C1483" s="10" t="s">
        <v>2974</v>
      </c>
      <c r="D1483" s="7">
        <v>1238.76</v>
      </c>
      <c r="E1483" s="5">
        <v>884</v>
      </c>
      <c r="F1483" s="5">
        <v>82</v>
      </c>
      <c r="G1483" s="12">
        <f>SUM($D$7:D1483)</f>
        <v>9750416.1700000167</v>
      </c>
      <c r="H1483" s="11">
        <f t="shared" si="23"/>
        <v>0.91409998390592395</v>
      </c>
    </row>
    <row r="1484" spans="1:8" ht="15" customHeight="1" x14ac:dyDescent="0.25">
      <c r="A1484" s="5">
        <v>1478</v>
      </c>
      <c r="B1484" s="10" t="s">
        <v>154</v>
      </c>
      <c r="C1484" s="10" t="s">
        <v>2975</v>
      </c>
      <c r="D1484" s="7">
        <v>1237.5</v>
      </c>
      <c r="E1484" s="5">
        <v>498</v>
      </c>
      <c r="F1484" s="5">
        <v>50</v>
      </c>
      <c r="G1484" s="12">
        <f>SUM($D$7:D1484)</f>
        <v>9751653.6700000167</v>
      </c>
      <c r="H1484" s="11">
        <f t="shared" si="23"/>
        <v>0.91421599933648212</v>
      </c>
    </row>
    <row r="1485" spans="1:8" ht="15" customHeight="1" x14ac:dyDescent="0.25">
      <c r="A1485" s="5">
        <v>1479</v>
      </c>
      <c r="B1485" s="10" t="s">
        <v>2976</v>
      </c>
      <c r="C1485" s="10" t="s">
        <v>2977</v>
      </c>
      <c r="D1485" s="7">
        <v>1237.08</v>
      </c>
      <c r="E1485" s="5">
        <v>1389</v>
      </c>
      <c r="F1485" s="5">
        <v>171</v>
      </c>
      <c r="G1485" s="12">
        <f>SUM($D$7:D1485)</f>
        <v>9752890.7500000168</v>
      </c>
      <c r="H1485" s="11">
        <f t="shared" si="23"/>
        <v>0.9143319753921062</v>
      </c>
    </row>
    <row r="1486" spans="1:8" ht="15" customHeight="1" x14ac:dyDescent="0.25">
      <c r="A1486" s="5">
        <v>1480</v>
      </c>
      <c r="B1486" s="10" t="s">
        <v>2978</v>
      </c>
      <c r="C1486" s="10" t="s">
        <v>2979</v>
      </c>
      <c r="D1486" s="7">
        <v>1234.67</v>
      </c>
      <c r="E1486" s="5">
        <v>4683</v>
      </c>
      <c r="F1486" s="5">
        <v>180</v>
      </c>
      <c r="G1486" s="12">
        <f>SUM($D$7:D1486)</f>
        <v>9754125.4200000167</v>
      </c>
      <c r="H1486" s="11">
        <f t="shared" si="23"/>
        <v>0.91444772551060904</v>
      </c>
    </row>
    <row r="1487" spans="1:8" ht="15" customHeight="1" x14ac:dyDescent="0.25">
      <c r="A1487" s="5">
        <v>1481</v>
      </c>
      <c r="B1487" s="10" t="s">
        <v>2980</v>
      </c>
      <c r="C1487" s="10" t="s">
        <v>2981</v>
      </c>
      <c r="D1487" s="7">
        <v>1232.27</v>
      </c>
      <c r="E1487" s="5">
        <v>1212</v>
      </c>
      <c r="F1487" s="5">
        <v>161</v>
      </c>
      <c r="G1487" s="12">
        <f>SUM($D$7:D1487)</f>
        <v>9755357.6900000162</v>
      </c>
      <c r="H1487" s="11">
        <f t="shared" si="23"/>
        <v>0.91456325062948884</v>
      </c>
    </row>
    <row r="1488" spans="1:8" ht="15" customHeight="1" x14ac:dyDescent="0.25">
      <c r="A1488" s="5">
        <v>1482</v>
      </c>
      <c r="B1488" s="10" t="s">
        <v>2982</v>
      </c>
      <c r="C1488" s="10" t="s">
        <v>2983</v>
      </c>
      <c r="D1488" s="7">
        <v>1224.46</v>
      </c>
      <c r="E1488" s="5">
        <v>1757</v>
      </c>
      <c r="F1488" s="5">
        <v>240</v>
      </c>
      <c r="G1488" s="12">
        <f>SUM($D$7:D1488)</f>
        <v>9756582.1500000171</v>
      </c>
      <c r="H1488" s="11">
        <f t="shared" si="23"/>
        <v>0.91467804356209603</v>
      </c>
    </row>
    <row r="1489" spans="1:8" ht="15" customHeight="1" x14ac:dyDescent="0.25">
      <c r="A1489" s="5">
        <v>1483</v>
      </c>
      <c r="B1489" s="10" t="s">
        <v>2984</v>
      </c>
      <c r="C1489" s="10" t="s">
        <v>2985</v>
      </c>
      <c r="D1489" s="7">
        <v>1222.6099999999999</v>
      </c>
      <c r="E1489" s="5">
        <v>1538</v>
      </c>
      <c r="F1489" s="5">
        <v>145</v>
      </c>
      <c r="G1489" s="12">
        <f>SUM($D$7:D1489)</f>
        <v>9757804.7600000165</v>
      </c>
      <c r="H1489" s="11">
        <f t="shared" si="23"/>
        <v>0.91479266305749363</v>
      </c>
    </row>
    <row r="1490" spans="1:8" ht="15" customHeight="1" x14ac:dyDescent="0.25">
      <c r="A1490" s="5">
        <v>1484</v>
      </c>
      <c r="B1490" s="10" t="s">
        <v>2986</v>
      </c>
      <c r="C1490" s="10" t="s">
        <v>2987</v>
      </c>
      <c r="D1490" s="7">
        <v>1222.07</v>
      </c>
      <c r="E1490" s="5">
        <v>639</v>
      </c>
      <c r="F1490" s="5">
        <v>90</v>
      </c>
      <c r="G1490" s="12">
        <f>SUM($D$7:D1490)</f>
        <v>9759026.8300000168</v>
      </c>
      <c r="H1490" s="11">
        <f t="shared" si="23"/>
        <v>0.91490723192797629</v>
      </c>
    </row>
    <row r="1491" spans="1:8" ht="15" customHeight="1" x14ac:dyDescent="0.25">
      <c r="A1491" s="5">
        <v>1485</v>
      </c>
      <c r="B1491" s="10" t="s">
        <v>2988</v>
      </c>
      <c r="C1491" s="10" t="s">
        <v>2989</v>
      </c>
      <c r="D1491" s="7">
        <v>1221.43</v>
      </c>
      <c r="E1491" s="5">
        <v>918</v>
      </c>
      <c r="F1491" s="5">
        <v>172</v>
      </c>
      <c r="G1491" s="12">
        <f>SUM($D$7:D1491)</f>
        <v>9760248.2600000165</v>
      </c>
      <c r="H1491" s="11">
        <f t="shared" si="23"/>
        <v>0.91502174079855936</v>
      </c>
    </row>
    <row r="1492" spans="1:8" ht="15" customHeight="1" x14ac:dyDescent="0.25">
      <c r="A1492" s="5">
        <v>1486</v>
      </c>
      <c r="B1492" s="10" t="s">
        <v>2990</v>
      </c>
      <c r="C1492" s="10" t="s">
        <v>2991</v>
      </c>
      <c r="D1492" s="7">
        <v>1220.82</v>
      </c>
      <c r="E1492" s="5">
        <v>121</v>
      </c>
      <c r="F1492" s="5">
        <v>40</v>
      </c>
      <c r="G1492" s="12">
        <f>SUM($D$7:D1492)</f>
        <v>9761469.0800000168</v>
      </c>
      <c r="H1492" s="11">
        <f t="shared" si="23"/>
        <v>0.91513619248173839</v>
      </c>
    </row>
    <row r="1493" spans="1:8" ht="15" customHeight="1" x14ac:dyDescent="0.25">
      <c r="A1493" s="5">
        <v>1487</v>
      </c>
      <c r="B1493" s="10" t="s">
        <v>2992</v>
      </c>
      <c r="C1493" s="10" t="s">
        <v>2993</v>
      </c>
      <c r="D1493" s="7">
        <v>1218.95</v>
      </c>
      <c r="E1493" s="5">
        <v>2060</v>
      </c>
      <c r="F1493" s="5">
        <v>305</v>
      </c>
      <c r="G1493" s="12">
        <f>SUM($D$7:D1493)</f>
        <v>9762688.0300000161</v>
      </c>
      <c r="H1493" s="11">
        <f t="shared" si="23"/>
        <v>0.91525046885271111</v>
      </c>
    </row>
    <row r="1494" spans="1:8" ht="15" customHeight="1" x14ac:dyDescent="0.25">
      <c r="A1494" s="5">
        <v>1488</v>
      </c>
      <c r="B1494" s="10" t="s">
        <v>2994</v>
      </c>
      <c r="C1494" s="10" t="s">
        <v>2995</v>
      </c>
      <c r="D1494" s="7">
        <v>1218.48</v>
      </c>
      <c r="E1494" s="5">
        <v>428</v>
      </c>
      <c r="F1494" s="5">
        <v>47</v>
      </c>
      <c r="G1494" s="12">
        <f>SUM($D$7:D1494)</f>
        <v>9763906.5100000165</v>
      </c>
      <c r="H1494" s="11">
        <f t="shared" si="23"/>
        <v>0.91536470116125779</v>
      </c>
    </row>
    <row r="1495" spans="1:8" ht="15" customHeight="1" x14ac:dyDescent="0.25">
      <c r="A1495" s="5">
        <v>1489</v>
      </c>
      <c r="B1495" s="10" t="s">
        <v>2996</v>
      </c>
      <c r="C1495" s="10" t="s">
        <v>2997</v>
      </c>
      <c r="D1495" s="7">
        <v>1217.73</v>
      </c>
      <c r="E1495" s="5">
        <v>508</v>
      </c>
      <c r="F1495" s="5">
        <v>141</v>
      </c>
      <c r="G1495" s="12">
        <f>SUM($D$7:D1495)</f>
        <v>9765124.240000017</v>
      </c>
      <c r="H1495" s="11">
        <f t="shared" si="23"/>
        <v>0.91547886315742233</v>
      </c>
    </row>
    <row r="1496" spans="1:8" ht="15" customHeight="1" x14ac:dyDescent="0.25">
      <c r="A1496" s="5">
        <v>1490</v>
      </c>
      <c r="B1496" s="10" t="s">
        <v>2998</v>
      </c>
      <c r="C1496" s="10" t="s">
        <v>2999</v>
      </c>
      <c r="D1496" s="7">
        <v>1213.3399999999999</v>
      </c>
      <c r="E1496" s="5">
        <v>2927</v>
      </c>
      <c r="F1496" s="5">
        <v>103</v>
      </c>
      <c r="G1496" s="12">
        <f>SUM($D$7:D1496)</f>
        <v>9766337.5800000168</v>
      </c>
      <c r="H1496" s="11">
        <f t="shared" si="23"/>
        <v>0.91559261359177657</v>
      </c>
    </row>
    <row r="1497" spans="1:8" ht="15" customHeight="1" x14ac:dyDescent="0.25">
      <c r="A1497" s="5">
        <v>1491</v>
      </c>
      <c r="B1497" s="10" t="s">
        <v>3000</v>
      </c>
      <c r="C1497" s="10" t="s">
        <v>3001</v>
      </c>
      <c r="D1497" s="7">
        <v>1213.29</v>
      </c>
      <c r="E1497" s="5">
        <v>541</v>
      </c>
      <c r="F1497" s="5">
        <v>136</v>
      </c>
      <c r="G1497" s="12">
        <f>SUM($D$7:D1497)</f>
        <v>9767550.8700000159</v>
      </c>
      <c r="H1497" s="11">
        <f t="shared" si="23"/>
        <v>0.91570635933863864</v>
      </c>
    </row>
    <row r="1498" spans="1:8" ht="15" customHeight="1" x14ac:dyDescent="0.25">
      <c r="A1498" s="5">
        <v>1492</v>
      </c>
      <c r="B1498" s="10" t="s">
        <v>3002</v>
      </c>
      <c r="C1498" s="10" t="s">
        <v>3003</v>
      </c>
      <c r="D1498" s="7">
        <v>1212.82</v>
      </c>
      <c r="E1498" s="5">
        <v>379</v>
      </c>
      <c r="F1498" s="5">
        <v>79</v>
      </c>
      <c r="G1498" s="12">
        <f>SUM($D$7:D1498)</f>
        <v>9768763.6900000162</v>
      </c>
      <c r="H1498" s="11">
        <f t="shared" si="23"/>
        <v>0.91582006102307467</v>
      </c>
    </row>
    <row r="1499" spans="1:8" ht="15" customHeight="1" x14ac:dyDescent="0.25">
      <c r="A1499" s="5">
        <v>1493</v>
      </c>
      <c r="B1499" s="10" t="s">
        <v>3004</v>
      </c>
      <c r="C1499" s="10" t="s">
        <v>3005</v>
      </c>
      <c r="D1499" s="7">
        <v>1206.97</v>
      </c>
      <c r="E1499" s="5">
        <v>424</v>
      </c>
      <c r="F1499" s="5">
        <v>103</v>
      </c>
      <c r="G1499" s="12">
        <f>SUM($D$7:D1499)</f>
        <v>9769970.6600000169</v>
      </c>
      <c r="H1499" s="11">
        <f t="shared" si="23"/>
        <v>0.91593321427092989</v>
      </c>
    </row>
    <row r="1500" spans="1:8" ht="15" customHeight="1" x14ac:dyDescent="0.25">
      <c r="A1500" s="5">
        <v>1494</v>
      </c>
      <c r="B1500" s="10" t="s">
        <v>3006</v>
      </c>
      <c r="C1500" s="10" t="s">
        <v>3007</v>
      </c>
      <c r="D1500" s="7">
        <v>1205.3</v>
      </c>
      <c r="E1500" s="5">
        <v>143</v>
      </c>
      <c r="F1500" s="5">
        <v>76</v>
      </c>
      <c r="G1500" s="12">
        <f>SUM($D$7:D1500)</f>
        <v>9771175.9600000177</v>
      </c>
      <c r="H1500" s="11">
        <f t="shared" si="23"/>
        <v>0.91604621095654748</v>
      </c>
    </row>
    <row r="1501" spans="1:8" ht="15" customHeight="1" x14ac:dyDescent="0.25">
      <c r="A1501" s="5">
        <v>1495</v>
      </c>
      <c r="B1501" s="10" t="s">
        <v>3008</v>
      </c>
      <c r="C1501" s="10" t="s">
        <v>3009</v>
      </c>
      <c r="D1501" s="7">
        <v>1201.9100000000001</v>
      </c>
      <c r="E1501" s="5">
        <v>301</v>
      </c>
      <c r="F1501" s="5">
        <v>78</v>
      </c>
      <c r="G1501" s="12">
        <f>SUM($D$7:D1501)</f>
        <v>9772377.8700000178</v>
      </c>
      <c r="H1501" s="11">
        <f t="shared" si="23"/>
        <v>0.91615888983019766</v>
      </c>
    </row>
    <row r="1502" spans="1:8" ht="15" customHeight="1" x14ac:dyDescent="0.25">
      <c r="A1502" s="5">
        <v>1496</v>
      </c>
      <c r="B1502" s="10" t="s">
        <v>3010</v>
      </c>
      <c r="C1502" s="10" t="s">
        <v>3011</v>
      </c>
      <c r="D1502" s="7">
        <v>1201.04</v>
      </c>
      <c r="E1502" s="5">
        <v>557</v>
      </c>
      <c r="F1502" s="5">
        <v>62</v>
      </c>
      <c r="G1502" s="12">
        <f>SUM($D$7:D1502)</f>
        <v>9773578.9100000169</v>
      </c>
      <c r="H1502" s="11">
        <f t="shared" si="23"/>
        <v>0.91627148714148454</v>
      </c>
    </row>
    <row r="1503" spans="1:8" ht="15" customHeight="1" x14ac:dyDescent="0.25">
      <c r="A1503" s="5">
        <v>1497</v>
      </c>
      <c r="B1503" s="10" t="s">
        <v>3012</v>
      </c>
      <c r="C1503" s="10" t="s">
        <v>3013</v>
      </c>
      <c r="D1503" s="7">
        <v>1200</v>
      </c>
      <c r="E1503" s="5">
        <v>79</v>
      </c>
      <c r="F1503" s="5">
        <v>79</v>
      </c>
      <c r="G1503" s="12">
        <f>SUM($D$7:D1503)</f>
        <v>9774778.9100000169</v>
      </c>
      <c r="H1503" s="11">
        <f t="shared" si="23"/>
        <v>0.91638398695293488</v>
      </c>
    </row>
    <row r="1504" spans="1:8" ht="15" customHeight="1" x14ac:dyDescent="0.25">
      <c r="A1504" s="5">
        <v>1498</v>
      </c>
      <c r="B1504" s="10" t="s">
        <v>3014</v>
      </c>
      <c r="C1504" s="10" t="s">
        <v>3015</v>
      </c>
      <c r="D1504" s="7">
        <v>1199.75</v>
      </c>
      <c r="E1504" s="5">
        <v>19</v>
      </c>
      <c r="F1504" s="5">
        <v>13</v>
      </c>
      <c r="G1504" s="12">
        <f>SUM($D$7:D1504)</f>
        <v>9775978.6600000169</v>
      </c>
      <c r="H1504" s="11">
        <f t="shared" si="23"/>
        <v>0.91649646332692447</v>
      </c>
    </row>
    <row r="1505" spans="1:8" ht="15" customHeight="1" x14ac:dyDescent="0.25">
      <c r="A1505" s="5">
        <v>1499</v>
      </c>
      <c r="B1505" s="10" t="s">
        <v>3016</v>
      </c>
      <c r="C1505" s="10" t="s">
        <v>3017</v>
      </c>
      <c r="D1505" s="7">
        <v>1197.73</v>
      </c>
      <c r="E1505" s="5">
        <v>4067</v>
      </c>
      <c r="F1505" s="5">
        <v>189</v>
      </c>
      <c r="G1505" s="12">
        <f>SUM($D$7:D1505)</f>
        <v>9777176.3900000174</v>
      </c>
      <c r="H1505" s="11">
        <f t="shared" si="23"/>
        <v>0.91660875032623146</v>
      </c>
    </row>
    <row r="1506" spans="1:8" ht="15" customHeight="1" x14ac:dyDescent="0.25">
      <c r="A1506" s="5">
        <v>1500</v>
      </c>
      <c r="B1506" s="10" t="s">
        <v>3018</v>
      </c>
      <c r="C1506" s="10" t="s">
        <v>3019</v>
      </c>
      <c r="D1506" s="7">
        <v>1193.46</v>
      </c>
      <c r="E1506" s="5">
        <v>1904</v>
      </c>
      <c r="F1506" s="5">
        <v>131</v>
      </c>
      <c r="G1506" s="12">
        <f>SUM($D$7:D1506)</f>
        <v>9778369.8500000183</v>
      </c>
      <c r="H1506" s="11">
        <f t="shared" si="23"/>
        <v>0.91672063701370943</v>
      </c>
    </row>
    <row r="1507" spans="1:8" ht="15" customHeight="1" x14ac:dyDescent="0.25">
      <c r="A1507" s="5">
        <v>1501</v>
      </c>
      <c r="B1507" s="10" t="s">
        <v>3020</v>
      </c>
      <c r="C1507" s="10" t="s">
        <v>3021</v>
      </c>
      <c r="D1507" s="7">
        <v>1193</v>
      </c>
      <c r="E1507" s="5">
        <v>654</v>
      </c>
      <c r="F1507" s="5">
        <v>138</v>
      </c>
      <c r="G1507" s="12">
        <f>SUM($D$7:D1507)</f>
        <v>9779562.8500000183</v>
      </c>
      <c r="H1507" s="11">
        <f t="shared" si="23"/>
        <v>0.91683248057625966</v>
      </c>
    </row>
    <row r="1508" spans="1:8" ht="15" customHeight="1" x14ac:dyDescent="0.25">
      <c r="A1508" s="5">
        <v>1502</v>
      </c>
      <c r="B1508" s="10" t="s">
        <v>3022</v>
      </c>
      <c r="C1508" s="10" t="s">
        <v>3023</v>
      </c>
      <c r="D1508" s="7">
        <v>1191.69</v>
      </c>
      <c r="E1508" s="5">
        <v>444</v>
      </c>
      <c r="F1508" s="5">
        <v>78</v>
      </c>
      <c r="G1508" s="12">
        <f>SUM($D$7:D1508)</f>
        <v>9780754.5400000177</v>
      </c>
      <c r="H1508" s="11">
        <f t="shared" si="23"/>
        <v>0.91694420132651566</v>
      </c>
    </row>
    <row r="1509" spans="1:8" ht="15" customHeight="1" x14ac:dyDescent="0.25">
      <c r="A1509" s="5">
        <v>1503</v>
      </c>
      <c r="B1509" s="10" t="s">
        <v>3024</v>
      </c>
      <c r="C1509" s="10" t="s">
        <v>3025</v>
      </c>
      <c r="D1509" s="7">
        <v>1190.51</v>
      </c>
      <c r="E1509" s="5">
        <v>1690</v>
      </c>
      <c r="F1509" s="5">
        <v>251</v>
      </c>
      <c r="G1509" s="12">
        <f>SUM($D$7:D1509)</f>
        <v>9781945.0500000175</v>
      </c>
      <c r="H1509" s="11">
        <f t="shared" si="23"/>
        <v>0.91705581145195703</v>
      </c>
    </row>
    <row r="1510" spans="1:8" ht="15" customHeight="1" x14ac:dyDescent="0.25">
      <c r="A1510" s="5">
        <v>1504</v>
      </c>
      <c r="B1510" s="10" t="s">
        <v>3026</v>
      </c>
      <c r="C1510" s="10" t="s">
        <v>3027</v>
      </c>
      <c r="D1510" s="7">
        <v>1186.23</v>
      </c>
      <c r="E1510" s="5">
        <v>1107</v>
      </c>
      <c r="F1510" s="5">
        <v>107</v>
      </c>
      <c r="G1510" s="12">
        <f>SUM($D$7:D1510)</f>
        <v>9783131.280000018</v>
      </c>
      <c r="H1510" s="11">
        <f t="shared" si="23"/>
        <v>0.91716702032807096</v>
      </c>
    </row>
    <row r="1511" spans="1:8" ht="15" customHeight="1" x14ac:dyDescent="0.25">
      <c r="A1511" s="5">
        <v>1505</v>
      </c>
      <c r="B1511" s="10" t="s">
        <v>3028</v>
      </c>
      <c r="C1511" s="10" t="s">
        <v>3029</v>
      </c>
      <c r="D1511" s="7">
        <v>1184.1199999999999</v>
      </c>
      <c r="E1511" s="5">
        <v>1721</v>
      </c>
      <c r="F1511" s="5">
        <v>209</v>
      </c>
      <c r="G1511" s="12">
        <f>SUM($D$7:D1511)</f>
        <v>9784315.4000000171</v>
      </c>
      <c r="H1511" s="11">
        <f t="shared" si="23"/>
        <v>0.91727803139201636</v>
      </c>
    </row>
    <row r="1512" spans="1:8" ht="15" customHeight="1" x14ac:dyDescent="0.25">
      <c r="A1512" s="5">
        <v>1506</v>
      </c>
      <c r="B1512" s="10" t="s">
        <v>3030</v>
      </c>
      <c r="C1512" s="10" t="s">
        <v>3031</v>
      </c>
      <c r="D1512" s="7">
        <v>1180.3499999999999</v>
      </c>
      <c r="E1512" s="5">
        <v>239</v>
      </c>
      <c r="F1512" s="5">
        <v>39</v>
      </c>
      <c r="G1512" s="12">
        <f>SUM($D$7:D1512)</f>
        <v>9785495.7500000168</v>
      </c>
      <c r="H1512" s="11">
        <f t="shared" si="23"/>
        <v>0.91738868901905413</v>
      </c>
    </row>
    <row r="1513" spans="1:8" ht="15" customHeight="1" x14ac:dyDescent="0.25">
      <c r="A1513" s="5">
        <v>1507</v>
      </c>
      <c r="B1513" s="10" t="s">
        <v>3032</v>
      </c>
      <c r="C1513" s="10" t="s">
        <v>3033</v>
      </c>
      <c r="D1513" s="7">
        <v>1179.8800000000001</v>
      </c>
      <c r="E1513" s="5">
        <v>2764</v>
      </c>
      <c r="F1513" s="5">
        <v>176</v>
      </c>
      <c r="G1513" s="12">
        <f>SUM($D$7:D1513)</f>
        <v>9786675.6300000176</v>
      </c>
      <c r="H1513" s="11">
        <f t="shared" si="23"/>
        <v>0.91749930258366585</v>
      </c>
    </row>
    <row r="1514" spans="1:8" ht="15" customHeight="1" x14ac:dyDescent="0.25">
      <c r="A1514" s="5">
        <v>1508</v>
      </c>
      <c r="B1514" s="10" t="s">
        <v>3034</v>
      </c>
      <c r="C1514" s="10" t="s">
        <v>3035</v>
      </c>
      <c r="D1514" s="7">
        <v>1177</v>
      </c>
      <c r="E1514" s="5">
        <v>1356</v>
      </c>
      <c r="F1514" s="5">
        <v>88</v>
      </c>
      <c r="G1514" s="12">
        <f>SUM($D$7:D1514)</f>
        <v>9787852.6300000176</v>
      </c>
      <c r="H1514" s="11">
        <f t="shared" si="23"/>
        <v>0.91760964614873008</v>
      </c>
    </row>
    <row r="1515" spans="1:8" ht="15" customHeight="1" x14ac:dyDescent="0.25">
      <c r="A1515" s="5">
        <v>1509</v>
      </c>
      <c r="B1515" s="10" t="s">
        <v>3036</v>
      </c>
      <c r="C1515" s="10" t="s">
        <v>3037</v>
      </c>
      <c r="D1515" s="7">
        <v>1176.5999999999999</v>
      </c>
      <c r="E1515" s="5">
        <v>64</v>
      </c>
      <c r="F1515" s="5">
        <v>33</v>
      </c>
      <c r="G1515" s="12">
        <f>SUM($D$7:D1515)</f>
        <v>9789029.2300000172</v>
      </c>
      <c r="H1515" s="11">
        <f t="shared" si="23"/>
        <v>0.91771995221385705</v>
      </c>
    </row>
    <row r="1516" spans="1:8" ht="15" customHeight="1" x14ac:dyDescent="0.25">
      <c r="A1516" s="5">
        <v>1510</v>
      </c>
      <c r="B1516" s="10" t="s">
        <v>3038</v>
      </c>
      <c r="C1516" s="10" t="s">
        <v>3039</v>
      </c>
      <c r="D1516" s="7">
        <v>1175.3800000000001</v>
      </c>
      <c r="E1516" s="5">
        <v>1454</v>
      </c>
      <c r="F1516" s="5">
        <v>72</v>
      </c>
      <c r="G1516" s="12">
        <f>SUM($D$7:D1516)</f>
        <v>9790204.610000018</v>
      </c>
      <c r="H1516" s="11">
        <f t="shared" si="23"/>
        <v>0.91783014390417583</v>
      </c>
    </row>
    <row r="1517" spans="1:8" ht="15" customHeight="1" x14ac:dyDescent="0.25">
      <c r="A1517" s="5">
        <v>1511</v>
      </c>
      <c r="B1517" s="10" t="s">
        <v>3040</v>
      </c>
      <c r="C1517" s="10" t="s">
        <v>3041</v>
      </c>
      <c r="D1517" s="7">
        <v>1174.6300000000001</v>
      </c>
      <c r="E1517" s="5">
        <v>806</v>
      </c>
      <c r="F1517" s="5">
        <v>172</v>
      </c>
      <c r="G1517" s="12">
        <f>SUM($D$7:D1517)</f>
        <v>9791379.2400000188</v>
      </c>
      <c r="H1517" s="11">
        <f t="shared" si="23"/>
        <v>0.91794026528211248</v>
      </c>
    </row>
    <row r="1518" spans="1:8" ht="15" customHeight="1" x14ac:dyDescent="0.25">
      <c r="A1518" s="5">
        <v>1512</v>
      </c>
      <c r="B1518" s="10" t="s">
        <v>3042</v>
      </c>
      <c r="C1518" s="10" t="s">
        <v>3043</v>
      </c>
      <c r="D1518" s="7">
        <v>1173.9000000000001</v>
      </c>
      <c r="E1518" s="5">
        <v>3812</v>
      </c>
      <c r="F1518" s="5">
        <v>170</v>
      </c>
      <c r="G1518" s="12">
        <f>SUM($D$7:D1518)</f>
        <v>9792553.1400000192</v>
      </c>
      <c r="H1518" s="11">
        <f t="shared" si="23"/>
        <v>0.91805031822266381</v>
      </c>
    </row>
    <row r="1519" spans="1:8" ht="15" customHeight="1" x14ac:dyDescent="0.25">
      <c r="A1519" s="5">
        <v>1513</v>
      </c>
      <c r="B1519" s="10" t="s">
        <v>3044</v>
      </c>
      <c r="C1519" s="10" t="s">
        <v>3045</v>
      </c>
      <c r="D1519" s="7">
        <v>1173.53</v>
      </c>
      <c r="E1519" s="5">
        <v>195</v>
      </c>
      <c r="F1519" s="5">
        <v>91</v>
      </c>
      <c r="G1519" s="12">
        <f>SUM($D$7:D1519)</f>
        <v>9793726.6700000186</v>
      </c>
      <c r="H1519" s="11">
        <f t="shared" si="23"/>
        <v>0.91816033647577322</v>
      </c>
    </row>
    <row r="1520" spans="1:8" ht="15" customHeight="1" x14ac:dyDescent="0.25">
      <c r="A1520" s="5">
        <v>1514</v>
      </c>
      <c r="B1520" s="10" t="s">
        <v>3046</v>
      </c>
      <c r="C1520" s="10" t="s">
        <v>3047</v>
      </c>
      <c r="D1520" s="7">
        <v>1172.48</v>
      </c>
      <c r="E1520" s="5">
        <v>564</v>
      </c>
      <c r="F1520" s="5">
        <v>90</v>
      </c>
      <c r="G1520" s="12">
        <f>SUM($D$7:D1520)</f>
        <v>9794899.150000019</v>
      </c>
      <c r="H1520" s="11">
        <f t="shared" si="23"/>
        <v>0.91827025629154757</v>
      </c>
    </row>
    <row r="1521" spans="1:8" ht="15" customHeight="1" x14ac:dyDescent="0.25">
      <c r="A1521" s="5">
        <v>1515</v>
      </c>
      <c r="B1521" s="10" t="s">
        <v>3048</v>
      </c>
      <c r="C1521" s="10" t="s">
        <v>3049</v>
      </c>
      <c r="D1521" s="7">
        <v>1169.9000000000001</v>
      </c>
      <c r="E1521" s="5">
        <v>1313</v>
      </c>
      <c r="F1521" s="5">
        <v>87</v>
      </c>
      <c r="G1521" s="12">
        <f>SUM($D$7:D1521)</f>
        <v>9796069.0500000194</v>
      </c>
      <c r="H1521" s="11">
        <f t="shared" si="23"/>
        <v>0.91837993423272746</v>
      </c>
    </row>
    <row r="1522" spans="1:8" ht="15" customHeight="1" x14ac:dyDescent="0.25">
      <c r="A1522" s="5">
        <v>1516</v>
      </c>
      <c r="B1522" s="10" t="s">
        <v>3050</v>
      </c>
      <c r="C1522" s="10" t="s">
        <v>3051</v>
      </c>
      <c r="D1522" s="7">
        <v>1168.99</v>
      </c>
      <c r="E1522" s="5">
        <v>1097</v>
      </c>
      <c r="F1522" s="5">
        <v>163</v>
      </c>
      <c r="G1522" s="12">
        <f>SUM($D$7:D1522)</f>
        <v>9797238.0400000196</v>
      </c>
      <c r="H1522" s="11">
        <f t="shared" si="23"/>
        <v>0.91848952686155017</v>
      </c>
    </row>
    <row r="1523" spans="1:8" ht="15" customHeight="1" x14ac:dyDescent="0.25">
      <c r="A1523" s="5">
        <v>1517</v>
      </c>
      <c r="B1523" s="10" t="s">
        <v>3052</v>
      </c>
      <c r="C1523" s="10" t="s">
        <v>3053</v>
      </c>
      <c r="D1523" s="7">
        <v>1168.08</v>
      </c>
      <c r="E1523" s="5">
        <v>558</v>
      </c>
      <c r="F1523" s="5">
        <v>79</v>
      </c>
      <c r="G1523" s="12">
        <f>SUM($D$7:D1523)</f>
        <v>9798406.1200000197</v>
      </c>
      <c r="H1523" s="11">
        <f t="shared" si="23"/>
        <v>0.91859903417801592</v>
      </c>
    </row>
    <row r="1524" spans="1:8" ht="15" customHeight="1" x14ac:dyDescent="0.25">
      <c r="A1524" s="5">
        <v>1518</v>
      </c>
      <c r="B1524" s="10" t="s">
        <v>3054</v>
      </c>
      <c r="C1524" s="10" t="s">
        <v>3055</v>
      </c>
      <c r="D1524" s="7">
        <v>1165.9100000000001</v>
      </c>
      <c r="E1524" s="5">
        <v>504</v>
      </c>
      <c r="F1524" s="5">
        <v>43</v>
      </c>
      <c r="G1524" s="12">
        <f>SUM($D$7:D1524)</f>
        <v>9799572.0300000198</v>
      </c>
      <c r="H1524" s="11">
        <f t="shared" si="23"/>
        <v>0.91870833805732266</v>
      </c>
    </row>
    <row r="1525" spans="1:8" ht="15" customHeight="1" x14ac:dyDescent="0.25">
      <c r="A1525" s="5">
        <v>1519</v>
      </c>
      <c r="B1525" s="10" t="s">
        <v>3056</v>
      </c>
      <c r="C1525" s="10" t="s">
        <v>3057</v>
      </c>
      <c r="D1525" s="7">
        <v>1165.1300000000001</v>
      </c>
      <c r="E1525" s="5">
        <v>2631</v>
      </c>
      <c r="F1525" s="5">
        <v>120</v>
      </c>
      <c r="G1525" s="12">
        <f>SUM($D$7:D1525)</f>
        <v>9800737.1600000206</v>
      </c>
      <c r="H1525" s="11">
        <f t="shared" si="23"/>
        <v>0.91881756881175203</v>
      </c>
    </row>
    <row r="1526" spans="1:8" ht="15" customHeight="1" x14ac:dyDescent="0.25">
      <c r="A1526" s="5">
        <v>1520</v>
      </c>
      <c r="B1526" s="10" t="s">
        <v>3058</v>
      </c>
      <c r="C1526" s="10" t="s">
        <v>3059</v>
      </c>
      <c r="D1526" s="7">
        <v>1164.98</v>
      </c>
      <c r="E1526" s="5">
        <v>579</v>
      </c>
      <c r="F1526" s="5">
        <v>71</v>
      </c>
      <c r="G1526" s="12">
        <f>SUM($D$7:D1526)</f>
        <v>9801902.1400000211</v>
      </c>
      <c r="H1526" s="11">
        <f t="shared" si="23"/>
        <v>0.91892678550370488</v>
      </c>
    </row>
    <row r="1527" spans="1:8" ht="15" customHeight="1" x14ac:dyDescent="0.25">
      <c r="A1527" s="5">
        <v>1521</v>
      </c>
      <c r="B1527" s="10" t="s">
        <v>3060</v>
      </c>
      <c r="C1527" s="10" t="s">
        <v>3061</v>
      </c>
      <c r="D1527" s="7">
        <v>1163.1300000000001</v>
      </c>
      <c r="E1527" s="5">
        <v>786</v>
      </c>
      <c r="F1527" s="5">
        <v>94</v>
      </c>
      <c r="G1527" s="12">
        <f>SUM($D$7:D1527)</f>
        <v>9803065.2700000219</v>
      </c>
      <c r="H1527" s="11">
        <f t="shared" si="23"/>
        <v>0.91903582875844847</v>
      </c>
    </row>
    <row r="1528" spans="1:8" ht="15" customHeight="1" x14ac:dyDescent="0.25">
      <c r="A1528" s="5">
        <v>1522</v>
      </c>
      <c r="B1528" s="10" t="s">
        <v>3062</v>
      </c>
      <c r="C1528" s="10" t="s">
        <v>3063</v>
      </c>
      <c r="D1528" s="7">
        <v>1160.71</v>
      </c>
      <c r="E1528" s="5">
        <v>707</v>
      </c>
      <c r="F1528" s="5">
        <v>101</v>
      </c>
      <c r="G1528" s="12">
        <f>SUM($D$7:D1528)</f>
        <v>9804225.9800000228</v>
      </c>
      <c r="H1528" s="11">
        <f t="shared" si="23"/>
        <v>0.9191446451385723</v>
      </c>
    </row>
    <row r="1529" spans="1:8" ht="15" customHeight="1" x14ac:dyDescent="0.25">
      <c r="A1529" s="5">
        <v>1523</v>
      </c>
      <c r="B1529" s="10" t="s">
        <v>3064</v>
      </c>
      <c r="C1529" s="10" t="s">
        <v>3065</v>
      </c>
      <c r="D1529" s="7">
        <v>1160.29</v>
      </c>
      <c r="E1529" s="5">
        <v>844</v>
      </c>
      <c r="F1529" s="5">
        <v>153</v>
      </c>
      <c r="G1529" s="12">
        <f>SUM($D$7:D1529)</f>
        <v>9805386.2700000219</v>
      </c>
      <c r="H1529" s="11">
        <f t="shared" si="23"/>
        <v>0.91925342214376193</v>
      </c>
    </row>
    <row r="1530" spans="1:8" ht="15" customHeight="1" x14ac:dyDescent="0.25">
      <c r="A1530" s="5">
        <v>1524</v>
      </c>
      <c r="B1530" s="10" t="s">
        <v>3066</v>
      </c>
      <c r="C1530" s="10" t="s">
        <v>3067</v>
      </c>
      <c r="D1530" s="7">
        <v>1160</v>
      </c>
      <c r="E1530" s="5">
        <v>2800</v>
      </c>
      <c r="F1530" s="5">
        <v>100</v>
      </c>
      <c r="G1530" s="12">
        <f>SUM($D$7:D1530)</f>
        <v>9806546.2700000219</v>
      </c>
      <c r="H1530" s="11">
        <f t="shared" si="23"/>
        <v>0.91936217196149717</v>
      </c>
    </row>
    <row r="1531" spans="1:8" ht="15" customHeight="1" x14ac:dyDescent="0.25">
      <c r="A1531" s="5">
        <v>1525</v>
      </c>
      <c r="B1531" s="10" t="s">
        <v>3068</v>
      </c>
      <c r="C1531" s="10" t="s">
        <v>3069</v>
      </c>
      <c r="D1531" s="7">
        <v>1159.43</v>
      </c>
      <c r="E1531" s="5">
        <v>883</v>
      </c>
      <c r="F1531" s="5">
        <v>83</v>
      </c>
      <c r="G1531" s="12">
        <f>SUM($D$7:D1531)</f>
        <v>9807705.7000000216</v>
      </c>
      <c r="H1531" s="11">
        <f t="shared" si="23"/>
        <v>0.91947086834182201</v>
      </c>
    </row>
    <row r="1532" spans="1:8" ht="15" customHeight="1" x14ac:dyDescent="0.25">
      <c r="A1532" s="5">
        <v>1526</v>
      </c>
      <c r="B1532" s="10" t="s">
        <v>3070</v>
      </c>
      <c r="C1532" s="10" t="s">
        <v>3071</v>
      </c>
      <c r="D1532" s="7">
        <v>1157.8</v>
      </c>
      <c r="E1532" s="5">
        <v>1013</v>
      </c>
      <c r="F1532" s="5">
        <v>81</v>
      </c>
      <c r="G1532" s="12">
        <f>SUM($D$7:D1532)</f>
        <v>9808863.5000000224</v>
      </c>
      <c r="H1532" s="11">
        <f t="shared" si="23"/>
        <v>0.91957941190990311</v>
      </c>
    </row>
    <row r="1533" spans="1:8" ht="15" customHeight="1" x14ac:dyDescent="0.25">
      <c r="A1533" s="5">
        <v>1527</v>
      </c>
      <c r="B1533" s="10" t="s">
        <v>3072</v>
      </c>
      <c r="C1533" s="10" t="s">
        <v>3073</v>
      </c>
      <c r="D1533" s="7">
        <v>1156.51</v>
      </c>
      <c r="E1533" s="5">
        <v>2884</v>
      </c>
      <c r="F1533" s="5">
        <v>119</v>
      </c>
      <c r="G1533" s="12">
        <f>SUM($D$7:D1533)</f>
        <v>9810020.0100000221</v>
      </c>
      <c r="H1533" s="11">
        <f t="shared" si="23"/>
        <v>0.9196878345406867</v>
      </c>
    </row>
    <row r="1534" spans="1:8" ht="15" customHeight="1" x14ac:dyDescent="0.25">
      <c r="A1534" s="5">
        <v>1528</v>
      </c>
      <c r="B1534" s="10" t="s">
        <v>3074</v>
      </c>
      <c r="C1534" s="10" t="s">
        <v>3075</v>
      </c>
      <c r="D1534" s="7">
        <v>1156.17</v>
      </c>
      <c r="E1534" s="5">
        <v>529</v>
      </c>
      <c r="F1534" s="5">
        <v>75</v>
      </c>
      <c r="G1534" s="12">
        <f>SUM($D$7:D1534)</f>
        <v>9811176.1800000221</v>
      </c>
      <c r="H1534" s="11">
        <f t="shared" si="23"/>
        <v>0.91979622529652383</v>
      </c>
    </row>
    <row r="1535" spans="1:8" ht="15" customHeight="1" x14ac:dyDescent="0.25">
      <c r="A1535" s="5">
        <v>1529</v>
      </c>
      <c r="B1535" s="10" t="s">
        <v>3076</v>
      </c>
      <c r="C1535" s="10" t="s">
        <v>3077</v>
      </c>
      <c r="D1535" s="7">
        <v>1154.17</v>
      </c>
      <c r="E1535" s="5">
        <v>1170</v>
      </c>
      <c r="F1535" s="5">
        <v>163</v>
      </c>
      <c r="G1535" s="12">
        <f>SUM($D$7:D1535)</f>
        <v>9812330.350000022</v>
      </c>
      <c r="H1535" s="11">
        <f t="shared" si="23"/>
        <v>0.91990442855267518</v>
      </c>
    </row>
    <row r="1536" spans="1:8" ht="15" customHeight="1" x14ac:dyDescent="0.25">
      <c r="A1536" s="5">
        <v>1530</v>
      </c>
      <c r="B1536" s="10" t="s">
        <v>3078</v>
      </c>
      <c r="C1536" s="10" t="s">
        <v>3079</v>
      </c>
      <c r="D1536" s="7">
        <v>1152.81</v>
      </c>
      <c r="E1536" s="5">
        <v>844</v>
      </c>
      <c r="F1536" s="5">
        <v>160</v>
      </c>
      <c r="G1536" s="12">
        <f>SUM($D$7:D1536)</f>
        <v>9813483.1600000225</v>
      </c>
      <c r="H1536" s="11">
        <f t="shared" si="23"/>
        <v>0.92001250430904025</v>
      </c>
    </row>
    <row r="1537" spans="1:8" ht="15" customHeight="1" x14ac:dyDescent="0.25">
      <c r="A1537" s="5">
        <v>1531</v>
      </c>
      <c r="B1537" s="10" t="s">
        <v>3080</v>
      </c>
      <c r="C1537" s="10" t="s">
        <v>3081</v>
      </c>
      <c r="D1537" s="7">
        <v>1152.4000000000001</v>
      </c>
      <c r="E1537" s="5">
        <v>1095</v>
      </c>
      <c r="F1537" s="5">
        <v>186</v>
      </c>
      <c r="G1537" s="12">
        <f>SUM($D$7:D1537)</f>
        <v>9814635.5600000229</v>
      </c>
      <c r="H1537" s="11">
        <f t="shared" si="23"/>
        <v>0.92012054162796975</v>
      </c>
    </row>
    <row r="1538" spans="1:8" ht="15" customHeight="1" x14ac:dyDescent="0.25">
      <c r="A1538" s="5">
        <v>1532</v>
      </c>
      <c r="B1538" s="10" t="s">
        <v>3082</v>
      </c>
      <c r="C1538" s="10" t="s">
        <v>3083</v>
      </c>
      <c r="D1538" s="7">
        <v>1151.3</v>
      </c>
      <c r="E1538" s="5">
        <v>250</v>
      </c>
      <c r="F1538" s="5">
        <v>93</v>
      </c>
      <c r="G1538" s="12">
        <f>SUM($D$7:D1538)</f>
        <v>9815786.8600000236</v>
      </c>
      <c r="H1538" s="11">
        <f t="shared" si="23"/>
        <v>0.92022847582207212</v>
      </c>
    </row>
    <row r="1539" spans="1:8" ht="15" customHeight="1" x14ac:dyDescent="0.25">
      <c r="A1539" s="5">
        <v>1533</v>
      </c>
      <c r="B1539" s="10" t="s">
        <v>3084</v>
      </c>
      <c r="C1539" s="10" t="s">
        <v>3085</v>
      </c>
      <c r="D1539" s="7">
        <v>1149.02</v>
      </c>
      <c r="E1539" s="5">
        <v>824</v>
      </c>
      <c r="F1539" s="5">
        <v>101</v>
      </c>
      <c r="G1539" s="12">
        <f>SUM($D$7:D1539)</f>
        <v>9816935.8800000232</v>
      </c>
      <c r="H1539" s="11">
        <f t="shared" si="23"/>
        <v>0.92033619626653262</v>
      </c>
    </row>
    <row r="1540" spans="1:8" ht="15" customHeight="1" x14ac:dyDescent="0.25">
      <c r="A1540" s="5">
        <v>1534</v>
      </c>
      <c r="B1540" s="10" t="s">
        <v>3086</v>
      </c>
      <c r="C1540" s="10" t="s">
        <v>3087</v>
      </c>
      <c r="D1540" s="7">
        <v>1147.4100000000001</v>
      </c>
      <c r="E1540" s="5">
        <v>651</v>
      </c>
      <c r="F1540" s="5">
        <v>20</v>
      </c>
      <c r="G1540" s="12">
        <f>SUM($D$7:D1540)</f>
        <v>9818083.2900000233</v>
      </c>
      <c r="H1540" s="11">
        <f t="shared" si="23"/>
        <v>0.92044376577374609</v>
      </c>
    </row>
    <row r="1541" spans="1:8" ht="15" customHeight="1" x14ac:dyDescent="0.25">
      <c r="A1541" s="5">
        <v>1535</v>
      </c>
      <c r="B1541" s="10" t="s">
        <v>3088</v>
      </c>
      <c r="C1541" s="10" t="s">
        <v>3089</v>
      </c>
      <c r="D1541" s="7">
        <v>1147.27</v>
      </c>
      <c r="E1541" s="5">
        <v>189</v>
      </c>
      <c r="F1541" s="5">
        <v>73</v>
      </c>
      <c r="G1541" s="12">
        <f>SUM($D$7:D1541)</f>
        <v>9819230.5600000229</v>
      </c>
      <c r="H1541" s="11">
        <f t="shared" si="23"/>
        <v>0.92055132215598157</v>
      </c>
    </row>
    <row r="1542" spans="1:8" ht="15" customHeight="1" x14ac:dyDescent="0.25">
      <c r="A1542" s="5">
        <v>1536</v>
      </c>
      <c r="B1542" s="10" t="s">
        <v>3090</v>
      </c>
      <c r="C1542" s="10" t="s">
        <v>3091</v>
      </c>
      <c r="D1542" s="7">
        <v>1145.1500000000001</v>
      </c>
      <c r="E1542" s="5">
        <v>225</v>
      </c>
      <c r="F1542" s="5">
        <v>100</v>
      </c>
      <c r="G1542" s="12">
        <f>SUM($D$7:D1542)</f>
        <v>9820375.7100000232</v>
      </c>
      <c r="H1542" s="11">
        <f t="shared" si="23"/>
        <v>0.9206586797885502</v>
      </c>
    </row>
    <row r="1543" spans="1:8" ht="15" customHeight="1" x14ac:dyDescent="0.25">
      <c r="A1543" s="5">
        <v>1537</v>
      </c>
      <c r="B1543" s="10" t="s">
        <v>3092</v>
      </c>
      <c r="C1543" s="10" t="s">
        <v>3093</v>
      </c>
      <c r="D1543" s="7">
        <v>1143.76</v>
      </c>
      <c r="E1543" s="5">
        <v>494</v>
      </c>
      <c r="F1543" s="5">
        <v>90</v>
      </c>
      <c r="G1543" s="12">
        <f>SUM($D$7:D1543)</f>
        <v>9821519.470000023</v>
      </c>
      <c r="H1543" s="11">
        <f t="shared" ref="H1543:H1606" si="24">G1543/SUM($D$7:$D$4167)</f>
        <v>0.92076590710883721</v>
      </c>
    </row>
    <row r="1544" spans="1:8" ht="15" customHeight="1" x14ac:dyDescent="0.25">
      <c r="A1544" s="5">
        <v>1538</v>
      </c>
      <c r="B1544" s="10" t="s">
        <v>3094</v>
      </c>
      <c r="C1544" s="10" t="s">
        <v>3095</v>
      </c>
      <c r="D1544" s="7">
        <v>1143.31</v>
      </c>
      <c r="E1544" s="5">
        <v>373</v>
      </c>
      <c r="F1544" s="5">
        <v>50</v>
      </c>
      <c r="G1544" s="12">
        <f>SUM($D$7:D1544)</f>
        <v>9822662.7800000235</v>
      </c>
      <c r="H1544" s="11">
        <f t="shared" si="24"/>
        <v>0.920873092241695</v>
      </c>
    </row>
    <row r="1545" spans="1:8" ht="15" customHeight="1" x14ac:dyDescent="0.25">
      <c r="A1545" s="5">
        <v>1539</v>
      </c>
      <c r="B1545" s="10" t="s">
        <v>3096</v>
      </c>
      <c r="C1545" s="10" t="s">
        <v>3097</v>
      </c>
      <c r="D1545" s="7">
        <v>1142.1500000000001</v>
      </c>
      <c r="E1545" s="5">
        <v>813</v>
      </c>
      <c r="F1545" s="5">
        <v>152</v>
      </c>
      <c r="G1545" s="12">
        <f>SUM($D$7:D1545)</f>
        <v>9823804.9300000239</v>
      </c>
      <c r="H1545" s="11">
        <f t="shared" si="24"/>
        <v>0.92098016862473497</v>
      </c>
    </row>
    <row r="1546" spans="1:8" ht="15" customHeight="1" x14ac:dyDescent="0.25">
      <c r="A1546" s="5">
        <v>1540</v>
      </c>
      <c r="B1546" s="10" t="s">
        <v>3098</v>
      </c>
      <c r="C1546" s="10" t="s">
        <v>3099</v>
      </c>
      <c r="D1546" s="7">
        <v>1141.7</v>
      </c>
      <c r="E1546" s="5">
        <v>254</v>
      </c>
      <c r="F1546" s="5">
        <v>122</v>
      </c>
      <c r="G1546" s="12">
        <f>SUM($D$7:D1546)</f>
        <v>9824946.6300000232</v>
      </c>
      <c r="H1546" s="11">
        <f t="shared" si="24"/>
        <v>0.92108720282034562</v>
      </c>
    </row>
    <row r="1547" spans="1:8" ht="15" customHeight="1" x14ac:dyDescent="0.25">
      <c r="A1547" s="5">
        <v>1541</v>
      </c>
      <c r="B1547" s="10" t="s">
        <v>3100</v>
      </c>
      <c r="C1547" s="10" t="s">
        <v>3101</v>
      </c>
      <c r="D1547" s="7">
        <v>1141.4000000000001</v>
      </c>
      <c r="E1547" s="5">
        <v>2844</v>
      </c>
      <c r="F1547" s="5">
        <v>90</v>
      </c>
      <c r="G1547" s="12">
        <f>SUM($D$7:D1547)</f>
        <v>9826088.0300000235</v>
      </c>
      <c r="H1547" s="11">
        <f t="shared" si="24"/>
        <v>0.92119420889100345</v>
      </c>
    </row>
    <row r="1548" spans="1:8" ht="15" customHeight="1" x14ac:dyDescent="0.25">
      <c r="A1548" s="5">
        <v>1542</v>
      </c>
      <c r="B1548" s="10" t="s">
        <v>3102</v>
      </c>
      <c r="C1548" s="10" t="s">
        <v>3103</v>
      </c>
      <c r="D1548" s="7">
        <v>1140.97</v>
      </c>
      <c r="E1548" s="5">
        <v>1372</v>
      </c>
      <c r="F1548" s="5">
        <v>80</v>
      </c>
      <c r="G1548" s="12">
        <f>SUM($D$7:D1548)</f>
        <v>9827229.0000000242</v>
      </c>
      <c r="H1548" s="11">
        <f t="shared" si="24"/>
        <v>0.92130117464922889</v>
      </c>
    </row>
    <row r="1549" spans="1:8" ht="15" customHeight="1" x14ac:dyDescent="0.25">
      <c r="A1549" s="5">
        <v>1543</v>
      </c>
      <c r="B1549" s="10" t="s">
        <v>3104</v>
      </c>
      <c r="C1549" s="10" t="s">
        <v>3105</v>
      </c>
      <c r="D1549" s="7">
        <v>1139.2</v>
      </c>
      <c r="E1549" s="5">
        <v>2747</v>
      </c>
      <c r="F1549" s="5">
        <v>146</v>
      </c>
      <c r="G1549" s="12">
        <f>SUM($D$7:D1549)</f>
        <v>9828368.2000000235</v>
      </c>
      <c r="H1549" s="11">
        <f t="shared" si="24"/>
        <v>0.92140797447023237</v>
      </c>
    </row>
    <row r="1550" spans="1:8" ht="15" customHeight="1" x14ac:dyDescent="0.25">
      <c r="A1550" s="5">
        <v>1544</v>
      </c>
      <c r="B1550" s="10" t="s">
        <v>3106</v>
      </c>
      <c r="C1550" s="10" t="s">
        <v>3107</v>
      </c>
      <c r="D1550" s="7">
        <v>1138.98</v>
      </c>
      <c r="E1550" s="5">
        <v>1571</v>
      </c>
      <c r="F1550" s="5">
        <v>177</v>
      </c>
      <c r="G1550" s="12">
        <f>SUM($D$7:D1550)</f>
        <v>9829507.1800000239</v>
      </c>
      <c r="H1550" s="11">
        <f t="shared" si="24"/>
        <v>0.92151475366627045</v>
      </c>
    </row>
    <row r="1551" spans="1:8" ht="15" customHeight="1" x14ac:dyDescent="0.25">
      <c r="A1551" s="5">
        <v>1545</v>
      </c>
      <c r="B1551" s="10" t="s">
        <v>3108</v>
      </c>
      <c r="C1551" s="10" t="s">
        <v>3109</v>
      </c>
      <c r="D1551" s="7">
        <v>1138.2</v>
      </c>
      <c r="E1551" s="5">
        <v>2172</v>
      </c>
      <c r="F1551" s="5">
        <v>200</v>
      </c>
      <c r="G1551" s="12">
        <f>SUM($D$7:D1551)</f>
        <v>9830645.3800000232</v>
      </c>
      <c r="H1551" s="11">
        <f t="shared" si="24"/>
        <v>0.92162145973743104</v>
      </c>
    </row>
    <row r="1552" spans="1:8" ht="15" customHeight="1" x14ac:dyDescent="0.25">
      <c r="A1552" s="5">
        <v>1546</v>
      </c>
      <c r="B1552" s="10" t="s">
        <v>3110</v>
      </c>
      <c r="C1552" s="10" t="s">
        <v>3111</v>
      </c>
      <c r="D1552" s="7">
        <v>1136.5999999999999</v>
      </c>
      <c r="E1552" s="5">
        <v>324</v>
      </c>
      <c r="F1552" s="5">
        <v>160</v>
      </c>
      <c r="G1552" s="12">
        <f>SUM($D$7:D1552)</f>
        <v>9831781.9800000228</v>
      </c>
      <c r="H1552" s="11">
        <f t="shared" si="24"/>
        <v>0.921728015808843</v>
      </c>
    </row>
    <row r="1553" spans="1:8" ht="15" customHeight="1" x14ac:dyDescent="0.25">
      <c r="A1553" s="5">
        <v>1547</v>
      </c>
      <c r="B1553" s="10" t="s">
        <v>3112</v>
      </c>
      <c r="C1553" s="10" t="s">
        <v>3113</v>
      </c>
      <c r="D1553" s="7">
        <v>1135.4000000000001</v>
      </c>
      <c r="E1553" s="5">
        <v>817</v>
      </c>
      <c r="F1553" s="5">
        <v>68</v>
      </c>
      <c r="G1553" s="12">
        <f>SUM($D$7:D1553)</f>
        <v>9832917.3800000232</v>
      </c>
      <c r="H1553" s="11">
        <f t="shared" si="24"/>
        <v>0.92183445938044362</v>
      </c>
    </row>
    <row r="1554" spans="1:8" ht="15" customHeight="1" x14ac:dyDescent="0.25">
      <c r="A1554" s="5">
        <v>1548</v>
      </c>
      <c r="B1554" s="10" t="s">
        <v>3114</v>
      </c>
      <c r="C1554" s="10" t="s">
        <v>3115</v>
      </c>
      <c r="D1554" s="7">
        <v>1135.18</v>
      </c>
      <c r="E1554" s="5">
        <v>439</v>
      </c>
      <c r="F1554" s="5">
        <v>133</v>
      </c>
      <c r="G1554" s="12">
        <f>SUM($D$7:D1554)</f>
        <v>9834052.5600000229</v>
      </c>
      <c r="H1554" s="11">
        <f t="shared" si="24"/>
        <v>0.92194088232707871</v>
      </c>
    </row>
    <row r="1555" spans="1:8" ht="15" customHeight="1" x14ac:dyDescent="0.25">
      <c r="A1555" s="5">
        <v>1549</v>
      </c>
      <c r="B1555" s="10" t="s">
        <v>3116</v>
      </c>
      <c r="C1555" s="10" t="s">
        <v>3117</v>
      </c>
      <c r="D1555" s="7">
        <v>1134.5</v>
      </c>
      <c r="E1555" s="5">
        <v>622</v>
      </c>
      <c r="F1555" s="5">
        <v>59</v>
      </c>
      <c r="G1555" s="12">
        <f>SUM($D$7:D1555)</f>
        <v>9835187.0600000229</v>
      </c>
      <c r="H1555" s="11">
        <f t="shared" si="24"/>
        <v>0.92204724152382067</v>
      </c>
    </row>
    <row r="1556" spans="1:8" ht="15" customHeight="1" x14ac:dyDescent="0.25">
      <c r="A1556" s="5">
        <v>1550</v>
      </c>
      <c r="B1556" s="10" t="s">
        <v>3118</v>
      </c>
      <c r="C1556" s="10" t="s">
        <v>3119</v>
      </c>
      <c r="D1556" s="7">
        <v>1134.45</v>
      </c>
      <c r="E1556" s="5">
        <v>2454</v>
      </c>
      <c r="F1556" s="5">
        <v>142</v>
      </c>
      <c r="G1556" s="12">
        <f>SUM($D$7:D1556)</f>
        <v>9836321.5100000221</v>
      </c>
      <c r="H1556" s="11">
        <f t="shared" si="24"/>
        <v>0.92215359603307046</v>
      </c>
    </row>
    <row r="1557" spans="1:8" ht="15" customHeight="1" x14ac:dyDescent="0.25">
      <c r="A1557" s="5">
        <v>1551</v>
      </c>
      <c r="B1557" s="10" t="s">
        <v>3120</v>
      </c>
      <c r="C1557" s="10" t="s">
        <v>3121</v>
      </c>
      <c r="D1557" s="7">
        <v>1134.25</v>
      </c>
      <c r="E1557" s="5">
        <v>2653</v>
      </c>
      <c r="F1557" s="5">
        <v>131</v>
      </c>
      <c r="G1557" s="12">
        <f>SUM($D$7:D1557)</f>
        <v>9837455.7600000221</v>
      </c>
      <c r="H1557" s="11">
        <f t="shared" si="24"/>
        <v>0.92225993179235177</v>
      </c>
    </row>
    <row r="1558" spans="1:8" ht="15" customHeight="1" x14ac:dyDescent="0.25">
      <c r="A1558" s="5">
        <v>1552</v>
      </c>
      <c r="B1558" s="10" t="s">
        <v>3122</v>
      </c>
      <c r="C1558" s="10" t="s">
        <v>3123</v>
      </c>
      <c r="D1558" s="7">
        <v>1130.58</v>
      </c>
      <c r="E1558" s="5">
        <v>2921</v>
      </c>
      <c r="F1558" s="5">
        <v>136</v>
      </c>
      <c r="G1558" s="12">
        <f>SUM($D$7:D1558)</f>
        <v>9838586.3400000222</v>
      </c>
      <c r="H1558" s="11">
        <f t="shared" si="24"/>
        <v>0.92236592348970969</v>
      </c>
    </row>
    <row r="1559" spans="1:8" ht="15" customHeight="1" x14ac:dyDescent="0.25">
      <c r="A1559" s="5">
        <v>1553</v>
      </c>
      <c r="B1559" s="10" t="s">
        <v>3124</v>
      </c>
      <c r="C1559" s="10" t="s">
        <v>3125</v>
      </c>
      <c r="D1559" s="7">
        <v>1129.99</v>
      </c>
      <c r="E1559" s="5">
        <v>339</v>
      </c>
      <c r="F1559" s="5">
        <v>125</v>
      </c>
      <c r="G1559" s="12">
        <f>SUM($D$7:D1559)</f>
        <v>9839716.3300000224</v>
      </c>
      <c r="H1559" s="11">
        <f t="shared" si="24"/>
        <v>0.92247185987466029</v>
      </c>
    </row>
    <row r="1560" spans="1:8" ht="15" customHeight="1" x14ac:dyDescent="0.25">
      <c r="A1560" s="5">
        <v>1554</v>
      </c>
      <c r="B1560" s="10" t="s">
        <v>3126</v>
      </c>
      <c r="C1560" s="10" t="s">
        <v>3127</v>
      </c>
      <c r="D1560" s="7">
        <v>1129.44</v>
      </c>
      <c r="E1560" s="5">
        <v>264</v>
      </c>
      <c r="F1560" s="5">
        <v>83</v>
      </c>
      <c r="G1560" s="12">
        <f>SUM($D$7:D1560)</f>
        <v>9840845.7700000219</v>
      </c>
      <c r="H1560" s="11">
        <f t="shared" si="24"/>
        <v>0.92257774469719733</v>
      </c>
    </row>
    <row r="1561" spans="1:8" ht="15" customHeight="1" x14ac:dyDescent="0.25">
      <c r="A1561" s="5">
        <v>1555</v>
      </c>
      <c r="B1561" s="10" t="s">
        <v>3128</v>
      </c>
      <c r="C1561" s="10" t="s">
        <v>3129</v>
      </c>
      <c r="D1561" s="7">
        <v>1127.23</v>
      </c>
      <c r="E1561" s="5">
        <v>2669</v>
      </c>
      <c r="F1561" s="5">
        <v>99</v>
      </c>
      <c r="G1561" s="12">
        <f>SUM($D$7:D1561)</f>
        <v>9841973.0000000224</v>
      </c>
      <c r="H1561" s="11">
        <f t="shared" si="24"/>
        <v>0.9226834223325816</v>
      </c>
    </row>
    <row r="1562" spans="1:8" ht="15" customHeight="1" x14ac:dyDescent="0.25">
      <c r="A1562" s="5">
        <v>1556</v>
      </c>
      <c r="B1562" s="10" t="s">
        <v>3130</v>
      </c>
      <c r="C1562" s="10" t="s">
        <v>3131</v>
      </c>
      <c r="D1562" s="7">
        <v>1124.04</v>
      </c>
      <c r="E1562" s="5">
        <v>1009</v>
      </c>
      <c r="F1562" s="5">
        <v>196</v>
      </c>
      <c r="G1562" s="12">
        <f>SUM($D$7:D1562)</f>
        <v>9843097.0400000215</v>
      </c>
      <c r="H1562" s="11">
        <f t="shared" si="24"/>
        <v>0.92278880090596704</v>
      </c>
    </row>
    <row r="1563" spans="1:8" ht="15" customHeight="1" x14ac:dyDescent="0.25">
      <c r="A1563" s="5">
        <v>1557</v>
      </c>
      <c r="B1563" s="10" t="s">
        <v>3132</v>
      </c>
      <c r="C1563" s="10" t="s">
        <v>3133</v>
      </c>
      <c r="D1563" s="7">
        <v>1123.8800000000001</v>
      </c>
      <c r="E1563" s="5">
        <v>2640</v>
      </c>
      <c r="F1563" s="5">
        <v>268</v>
      </c>
      <c r="G1563" s="12">
        <f>SUM($D$7:D1563)</f>
        <v>9844220.9200000223</v>
      </c>
      <c r="H1563" s="11">
        <f t="shared" si="24"/>
        <v>0.92289416447937778</v>
      </c>
    </row>
    <row r="1564" spans="1:8" ht="15" customHeight="1" x14ac:dyDescent="0.25">
      <c r="A1564" s="5">
        <v>1558</v>
      </c>
      <c r="B1564" s="10" t="s">
        <v>3134</v>
      </c>
      <c r="C1564" s="10" t="s">
        <v>3135</v>
      </c>
      <c r="D1564" s="7">
        <v>1121.9100000000001</v>
      </c>
      <c r="E1564" s="5">
        <v>711</v>
      </c>
      <c r="F1564" s="5">
        <v>83</v>
      </c>
      <c r="G1564" s="12">
        <f>SUM($D$7:D1564)</f>
        <v>9845342.8300000224</v>
      </c>
      <c r="H1564" s="11">
        <f t="shared" si="24"/>
        <v>0.92299934336559797</v>
      </c>
    </row>
    <row r="1565" spans="1:8" ht="15" customHeight="1" x14ac:dyDescent="0.25">
      <c r="A1565" s="5">
        <v>1559</v>
      </c>
      <c r="B1565" s="10" t="s">
        <v>3136</v>
      </c>
      <c r="C1565" s="10" t="s">
        <v>3137</v>
      </c>
      <c r="D1565" s="7">
        <v>1121.82</v>
      </c>
      <c r="E1565" s="5">
        <v>390</v>
      </c>
      <c r="F1565" s="5">
        <v>110</v>
      </c>
      <c r="G1565" s="12">
        <f>SUM($D$7:D1565)</f>
        <v>9846464.6500000227</v>
      </c>
      <c r="H1565" s="11">
        <f t="shared" si="24"/>
        <v>0.92310451381433234</v>
      </c>
    </row>
    <row r="1566" spans="1:8" ht="15" customHeight="1" x14ac:dyDescent="0.25">
      <c r="A1566" s="5">
        <v>1560</v>
      </c>
      <c r="B1566" s="10" t="s">
        <v>3138</v>
      </c>
      <c r="C1566" s="10" t="s">
        <v>3139</v>
      </c>
      <c r="D1566" s="7">
        <v>1121.48</v>
      </c>
      <c r="E1566" s="5">
        <v>5247</v>
      </c>
      <c r="F1566" s="5">
        <v>144</v>
      </c>
      <c r="G1566" s="12">
        <f>SUM($D$7:D1566)</f>
        <v>9847586.1300000232</v>
      </c>
      <c r="H1566" s="11">
        <f t="shared" si="24"/>
        <v>0.92320965238812014</v>
      </c>
    </row>
    <row r="1567" spans="1:8" ht="15" customHeight="1" x14ac:dyDescent="0.25">
      <c r="A1567" s="5">
        <v>1561</v>
      </c>
      <c r="B1567" s="10" t="s">
        <v>3140</v>
      </c>
      <c r="C1567" s="10" t="s">
        <v>3141</v>
      </c>
      <c r="D1567" s="7">
        <v>1119.56</v>
      </c>
      <c r="E1567" s="5">
        <v>1966</v>
      </c>
      <c r="F1567" s="5">
        <v>117</v>
      </c>
      <c r="G1567" s="12">
        <f>SUM($D$7:D1567)</f>
        <v>9848705.6900000237</v>
      </c>
      <c r="H1567" s="11">
        <f t="shared" si="24"/>
        <v>0.92331461096220957</v>
      </c>
    </row>
    <row r="1568" spans="1:8" ht="15" customHeight="1" x14ac:dyDescent="0.25">
      <c r="A1568" s="5">
        <v>1562</v>
      </c>
      <c r="B1568" s="10" t="s">
        <v>3142</v>
      </c>
      <c r="C1568" s="10" t="s">
        <v>3143</v>
      </c>
      <c r="D1568" s="7">
        <v>1119.22</v>
      </c>
      <c r="E1568" s="5">
        <v>2522</v>
      </c>
      <c r="F1568" s="5">
        <v>120</v>
      </c>
      <c r="G1568" s="12">
        <f>SUM($D$7:D1568)</f>
        <v>9849824.9100000244</v>
      </c>
      <c r="H1568" s="11">
        <f t="shared" si="24"/>
        <v>0.92341953766135254</v>
      </c>
    </row>
    <row r="1569" spans="1:8" ht="15" customHeight="1" x14ac:dyDescent="0.25">
      <c r="A1569" s="5">
        <v>1563</v>
      </c>
      <c r="B1569" s="10" t="s">
        <v>3144</v>
      </c>
      <c r="C1569" s="10" t="s">
        <v>3145</v>
      </c>
      <c r="D1569" s="7">
        <v>1118.95</v>
      </c>
      <c r="E1569" s="5">
        <v>233</v>
      </c>
      <c r="F1569" s="5">
        <v>34</v>
      </c>
      <c r="G1569" s="12">
        <f>SUM($D$7:D1569)</f>
        <v>9850943.8600000236</v>
      </c>
      <c r="H1569" s="11">
        <f t="shared" si="24"/>
        <v>0.92352443904803772</v>
      </c>
    </row>
    <row r="1570" spans="1:8" ht="15" customHeight="1" x14ac:dyDescent="0.25">
      <c r="A1570" s="5">
        <v>1564</v>
      </c>
      <c r="B1570" s="10" t="s">
        <v>3146</v>
      </c>
      <c r="C1570" s="10" t="s">
        <v>3147</v>
      </c>
      <c r="D1570" s="7">
        <v>1118.6099999999999</v>
      </c>
      <c r="E1570" s="5">
        <v>227</v>
      </c>
      <c r="F1570" s="5">
        <v>56</v>
      </c>
      <c r="G1570" s="12">
        <f>SUM($D$7:D1570)</f>
        <v>9852062.470000023</v>
      </c>
      <c r="H1570" s="11">
        <f t="shared" si="24"/>
        <v>0.92362930855977632</v>
      </c>
    </row>
    <row r="1571" spans="1:8" ht="15" customHeight="1" x14ac:dyDescent="0.25">
      <c r="A1571" s="5">
        <v>1565</v>
      </c>
      <c r="B1571" s="10" t="s">
        <v>3148</v>
      </c>
      <c r="C1571" s="10" t="s">
        <v>3149</v>
      </c>
      <c r="D1571" s="7">
        <v>1116.95</v>
      </c>
      <c r="E1571" s="5">
        <v>3473</v>
      </c>
      <c r="F1571" s="5">
        <v>212</v>
      </c>
      <c r="G1571" s="12">
        <f>SUM($D$7:D1571)</f>
        <v>9853179.4200000223</v>
      </c>
      <c r="H1571" s="11">
        <f t="shared" si="24"/>
        <v>0.92373402244677583</v>
      </c>
    </row>
    <row r="1572" spans="1:8" ht="15" customHeight="1" x14ac:dyDescent="0.25">
      <c r="A1572" s="5">
        <v>1566</v>
      </c>
      <c r="B1572" s="10" t="s">
        <v>3150</v>
      </c>
      <c r="C1572" s="10" t="s">
        <v>3151</v>
      </c>
      <c r="D1572" s="7">
        <v>1116.8900000000001</v>
      </c>
      <c r="E1572" s="5">
        <v>304</v>
      </c>
      <c r="F1572" s="5">
        <v>112</v>
      </c>
      <c r="G1572" s="12">
        <f>SUM($D$7:D1572)</f>
        <v>9854296.3100000229</v>
      </c>
      <c r="H1572" s="11">
        <f t="shared" si="24"/>
        <v>0.92383873070878486</v>
      </c>
    </row>
    <row r="1573" spans="1:8" ht="15" customHeight="1" x14ac:dyDescent="0.25">
      <c r="A1573" s="5">
        <v>1567</v>
      </c>
      <c r="B1573" s="10" t="s">
        <v>3152</v>
      </c>
      <c r="C1573" s="10" t="s">
        <v>3153</v>
      </c>
      <c r="D1573" s="7">
        <v>1115.93</v>
      </c>
      <c r="E1573" s="5">
        <v>2595</v>
      </c>
      <c r="F1573" s="5">
        <v>222</v>
      </c>
      <c r="G1573" s="12">
        <f>SUM($D$7:D1573)</f>
        <v>9855412.2400000226</v>
      </c>
      <c r="H1573" s="11">
        <f t="shared" si="24"/>
        <v>0.92394334897094454</v>
      </c>
    </row>
    <row r="1574" spans="1:8" ht="15" customHeight="1" x14ac:dyDescent="0.25">
      <c r="A1574" s="5">
        <v>1568</v>
      </c>
      <c r="B1574" s="10" t="s">
        <v>3154</v>
      </c>
      <c r="C1574" s="10" t="s">
        <v>3155</v>
      </c>
      <c r="D1574" s="7">
        <v>1114.81</v>
      </c>
      <c r="E1574" s="5">
        <v>2639</v>
      </c>
      <c r="F1574" s="5">
        <v>290</v>
      </c>
      <c r="G1574" s="12">
        <f>SUM($D$7:D1574)</f>
        <v>9856527.0500000231</v>
      </c>
      <c r="H1574" s="11">
        <f t="shared" si="24"/>
        <v>0.92404786223328039</v>
      </c>
    </row>
    <row r="1575" spans="1:8" ht="15" customHeight="1" x14ac:dyDescent="0.25">
      <c r="A1575" s="5">
        <v>1569</v>
      </c>
      <c r="B1575" s="10" t="s">
        <v>3156</v>
      </c>
      <c r="C1575" s="10" t="s">
        <v>3157</v>
      </c>
      <c r="D1575" s="7">
        <v>1114.26</v>
      </c>
      <c r="E1575" s="5">
        <v>566</v>
      </c>
      <c r="F1575" s="5">
        <v>70</v>
      </c>
      <c r="G1575" s="12">
        <f>SUM($D$7:D1575)</f>
        <v>9857641.3100000229</v>
      </c>
      <c r="H1575" s="11">
        <f t="shared" si="24"/>
        <v>0.92415232393320257</v>
      </c>
    </row>
    <row r="1576" spans="1:8" ht="15" customHeight="1" x14ac:dyDescent="0.25">
      <c r="A1576" s="5">
        <v>1570</v>
      </c>
      <c r="B1576" s="10" t="s">
        <v>3158</v>
      </c>
      <c r="C1576" s="10" t="s">
        <v>3159</v>
      </c>
      <c r="D1576" s="7">
        <v>1112.75</v>
      </c>
      <c r="E1576" s="5">
        <v>1197</v>
      </c>
      <c r="F1576" s="5">
        <v>178</v>
      </c>
      <c r="G1576" s="12">
        <f>SUM($D$7:D1576)</f>
        <v>9858754.0600000229</v>
      </c>
      <c r="H1576" s="11">
        <f t="shared" si="24"/>
        <v>0.92425664407086205</v>
      </c>
    </row>
    <row r="1577" spans="1:8" ht="15" customHeight="1" x14ac:dyDescent="0.25">
      <c r="A1577" s="5">
        <v>1571</v>
      </c>
      <c r="B1577" s="10" t="s">
        <v>3160</v>
      </c>
      <c r="C1577" s="10" t="s">
        <v>3161</v>
      </c>
      <c r="D1577" s="7">
        <v>1111.58</v>
      </c>
      <c r="E1577" s="5">
        <v>997</v>
      </c>
      <c r="F1577" s="5">
        <v>128</v>
      </c>
      <c r="G1577" s="12">
        <f>SUM($D$7:D1577)</f>
        <v>9859865.6400000229</v>
      </c>
      <c r="H1577" s="11">
        <f t="shared" si="24"/>
        <v>0.92436085452120531</v>
      </c>
    </row>
    <row r="1578" spans="1:8" ht="15" customHeight="1" x14ac:dyDescent="0.25">
      <c r="A1578" s="5">
        <v>1572</v>
      </c>
      <c r="B1578" s="10" t="s">
        <v>3162</v>
      </c>
      <c r="C1578" s="10" t="s">
        <v>3163</v>
      </c>
      <c r="D1578" s="7">
        <v>1108.8900000000001</v>
      </c>
      <c r="E1578" s="5">
        <v>1352</v>
      </c>
      <c r="F1578" s="5">
        <v>103</v>
      </c>
      <c r="G1578" s="12">
        <f>SUM($D$7:D1578)</f>
        <v>9860974.5300000235</v>
      </c>
      <c r="H1578" s="11">
        <f t="shared" si="24"/>
        <v>0.92446481278447135</v>
      </c>
    </row>
    <row r="1579" spans="1:8" ht="15" customHeight="1" x14ac:dyDescent="0.25">
      <c r="A1579" s="5">
        <v>1573</v>
      </c>
      <c r="B1579" s="10" t="s">
        <v>3164</v>
      </c>
      <c r="C1579" s="10" t="s">
        <v>3165</v>
      </c>
      <c r="D1579" s="7">
        <v>1108.58</v>
      </c>
      <c r="E1579" s="5">
        <v>1258</v>
      </c>
      <c r="F1579" s="5">
        <v>89</v>
      </c>
      <c r="G1579" s="12">
        <f>SUM($D$7:D1579)</f>
        <v>9862083.1100000236</v>
      </c>
      <c r="H1579" s="11">
        <f t="shared" si="24"/>
        <v>0.92456874198528594</v>
      </c>
    </row>
    <row r="1580" spans="1:8" ht="15" customHeight="1" x14ac:dyDescent="0.25">
      <c r="A1580" s="5">
        <v>1574</v>
      </c>
      <c r="B1580" s="10" t="s">
        <v>3166</v>
      </c>
      <c r="C1580" s="10" t="s">
        <v>3167</v>
      </c>
      <c r="D1580" s="7">
        <v>1107.8699999999999</v>
      </c>
      <c r="E1580" s="5">
        <v>839</v>
      </c>
      <c r="F1580" s="5">
        <v>57</v>
      </c>
      <c r="G1580" s="12">
        <f>SUM($D$7:D1580)</f>
        <v>9863190.9800000228</v>
      </c>
      <c r="H1580" s="11">
        <f t="shared" si="24"/>
        <v>0.92467260462371215</v>
      </c>
    </row>
    <row r="1581" spans="1:8" ht="15" customHeight="1" x14ac:dyDescent="0.25">
      <c r="A1581" s="5">
        <v>1575</v>
      </c>
      <c r="B1581" s="10" t="s">
        <v>3168</v>
      </c>
      <c r="C1581" s="10" t="s">
        <v>3169</v>
      </c>
      <c r="D1581" s="7">
        <v>1106.8800000000001</v>
      </c>
      <c r="E1581" s="5">
        <v>941</v>
      </c>
      <c r="F1581" s="5">
        <v>89</v>
      </c>
      <c r="G1581" s="12">
        <f>SUM($D$7:D1581)</f>
        <v>9864297.8600000236</v>
      </c>
      <c r="H1581" s="11">
        <f t="shared" si="24"/>
        <v>0.92477637444979399</v>
      </c>
    </row>
    <row r="1582" spans="1:8" ht="15" customHeight="1" x14ac:dyDescent="0.25">
      <c r="A1582" s="5">
        <v>1576</v>
      </c>
      <c r="B1582" s="10" t="s">
        <v>3170</v>
      </c>
      <c r="C1582" s="10" t="s">
        <v>3171</v>
      </c>
      <c r="D1582" s="7">
        <v>1106.54</v>
      </c>
      <c r="E1582" s="5">
        <v>187</v>
      </c>
      <c r="F1582" s="5">
        <v>51</v>
      </c>
      <c r="G1582" s="12">
        <f>SUM($D$7:D1582)</f>
        <v>9865404.4000000227</v>
      </c>
      <c r="H1582" s="11">
        <f t="shared" si="24"/>
        <v>0.92488011240092904</v>
      </c>
    </row>
    <row r="1583" spans="1:8" ht="15" customHeight="1" x14ac:dyDescent="0.25">
      <c r="A1583" s="5">
        <v>1577</v>
      </c>
      <c r="B1583" s="10" t="s">
        <v>3172</v>
      </c>
      <c r="C1583" s="10" t="s">
        <v>3173</v>
      </c>
      <c r="D1583" s="7">
        <v>1106.17</v>
      </c>
      <c r="E1583" s="5">
        <v>2717</v>
      </c>
      <c r="F1583" s="5">
        <v>163</v>
      </c>
      <c r="G1583" s="12">
        <f>SUM($D$7:D1583)</f>
        <v>9866510.5700000226</v>
      </c>
      <c r="H1583" s="11">
        <f t="shared" si="24"/>
        <v>0.9249838156646224</v>
      </c>
    </row>
    <row r="1584" spans="1:8" ht="15" customHeight="1" x14ac:dyDescent="0.25">
      <c r="A1584" s="5">
        <v>1578</v>
      </c>
      <c r="B1584" s="10" t="s">
        <v>3174</v>
      </c>
      <c r="C1584" s="10" t="s">
        <v>3175</v>
      </c>
      <c r="D1584" s="7">
        <v>1105.21</v>
      </c>
      <c r="E1584" s="5">
        <v>649</v>
      </c>
      <c r="F1584" s="5">
        <v>56</v>
      </c>
      <c r="G1584" s="12">
        <f>SUM($D$7:D1584)</f>
        <v>9867615.7800000235</v>
      </c>
      <c r="H1584" s="11">
        <f t="shared" si="24"/>
        <v>0.92508742892846663</v>
      </c>
    </row>
    <row r="1585" spans="1:8" ht="15" customHeight="1" x14ac:dyDescent="0.25">
      <c r="A1585" s="5">
        <v>1579</v>
      </c>
      <c r="B1585" s="10" t="s">
        <v>3176</v>
      </c>
      <c r="C1585" s="10" t="s">
        <v>3177</v>
      </c>
      <c r="D1585" s="7">
        <v>1104.8599999999999</v>
      </c>
      <c r="E1585" s="5">
        <v>758</v>
      </c>
      <c r="F1585" s="5">
        <v>84</v>
      </c>
      <c r="G1585" s="12">
        <f>SUM($D$7:D1585)</f>
        <v>9868720.6400000229</v>
      </c>
      <c r="H1585" s="11">
        <f t="shared" si="24"/>
        <v>0.92519100937986576</v>
      </c>
    </row>
    <row r="1586" spans="1:8" ht="15" customHeight="1" x14ac:dyDescent="0.25">
      <c r="A1586" s="5">
        <v>1580</v>
      </c>
      <c r="B1586" s="10" t="s">
        <v>3178</v>
      </c>
      <c r="C1586" s="10" t="s">
        <v>3179</v>
      </c>
      <c r="D1586" s="7">
        <v>1104.81</v>
      </c>
      <c r="E1586" s="5">
        <v>2608</v>
      </c>
      <c r="F1586" s="5">
        <v>270</v>
      </c>
      <c r="G1586" s="12">
        <f>SUM($D$7:D1586)</f>
        <v>9869825.4500000235</v>
      </c>
      <c r="H1586" s="11">
        <f t="shared" si="24"/>
        <v>0.92529458514377283</v>
      </c>
    </row>
    <row r="1587" spans="1:8" ht="15" customHeight="1" x14ac:dyDescent="0.25">
      <c r="A1587" s="5">
        <v>1581</v>
      </c>
      <c r="B1587" s="10" t="s">
        <v>3180</v>
      </c>
      <c r="C1587" s="10" t="s">
        <v>3181</v>
      </c>
      <c r="D1587" s="7">
        <v>1104.54</v>
      </c>
      <c r="E1587" s="5">
        <v>131</v>
      </c>
      <c r="F1587" s="5">
        <v>51</v>
      </c>
      <c r="G1587" s="12">
        <f>SUM($D$7:D1587)</f>
        <v>9870929.9900000226</v>
      </c>
      <c r="H1587" s="11">
        <f t="shared" si="24"/>
        <v>0.92539813559522222</v>
      </c>
    </row>
    <row r="1588" spans="1:8" ht="15" customHeight="1" x14ac:dyDescent="0.25">
      <c r="A1588" s="5">
        <v>1582</v>
      </c>
      <c r="B1588" s="10" t="s">
        <v>3182</v>
      </c>
      <c r="C1588" s="10" t="s">
        <v>3183</v>
      </c>
      <c r="D1588" s="7">
        <v>1102.81</v>
      </c>
      <c r="E1588" s="5">
        <v>1917</v>
      </c>
      <c r="F1588" s="5">
        <v>117</v>
      </c>
      <c r="G1588" s="12">
        <f>SUM($D$7:D1588)</f>
        <v>9872032.8000000231</v>
      </c>
      <c r="H1588" s="11">
        <f t="shared" si="24"/>
        <v>0.92550152385944351</v>
      </c>
    </row>
    <row r="1589" spans="1:8" ht="15" customHeight="1" x14ac:dyDescent="0.25">
      <c r="A1589" s="5">
        <v>1583</v>
      </c>
      <c r="B1589" s="10" t="s">
        <v>3184</v>
      </c>
      <c r="C1589" s="10" t="s">
        <v>3185</v>
      </c>
      <c r="D1589" s="7">
        <v>1101.28</v>
      </c>
      <c r="E1589" s="5">
        <v>348</v>
      </c>
      <c r="F1589" s="5">
        <v>57</v>
      </c>
      <c r="G1589" s="12">
        <f>SUM($D$7:D1589)</f>
        <v>9873134.0800000224</v>
      </c>
      <c r="H1589" s="11">
        <f t="shared" si="24"/>
        <v>0.92560476868640507</v>
      </c>
    </row>
    <row r="1590" spans="1:8" ht="15" customHeight="1" x14ac:dyDescent="0.25">
      <c r="A1590" s="5">
        <v>1584</v>
      </c>
      <c r="B1590" s="10" t="s">
        <v>3186</v>
      </c>
      <c r="C1590" s="10" t="s">
        <v>3187</v>
      </c>
      <c r="D1590" s="7">
        <v>1093.5999999999999</v>
      </c>
      <c r="E1590" s="5">
        <v>370</v>
      </c>
      <c r="F1590" s="5">
        <v>121</v>
      </c>
      <c r="G1590" s="12">
        <f>SUM($D$7:D1590)</f>
        <v>9874227.6800000221</v>
      </c>
      <c r="H1590" s="11">
        <f t="shared" si="24"/>
        <v>0.92570729351457348</v>
      </c>
    </row>
    <row r="1591" spans="1:8" ht="15" customHeight="1" x14ac:dyDescent="0.25">
      <c r="A1591" s="5">
        <v>1585</v>
      </c>
      <c r="B1591" s="10" t="s">
        <v>3188</v>
      </c>
      <c r="C1591" s="10" t="s">
        <v>3189</v>
      </c>
      <c r="D1591" s="7">
        <v>1090.6600000000001</v>
      </c>
      <c r="E1591" s="5">
        <v>868</v>
      </c>
      <c r="F1591" s="5">
        <v>69</v>
      </c>
      <c r="G1591" s="12">
        <f>SUM($D$7:D1591)</f>
        <v>9875318.3400000222</v>
      </c>
      <c r="H1591" s="11">
        <f t="shared" si="24"/>
        <v>0.92580954271820382</v>
      </c>
    </row>
    <row r="1592" spans="1:8" ht="15" customHeight="1" x14ac:dyDescent="0.25">
      <c r="A1592" s="5">
        <v>1586</v>
      </c>
      <c r="B1592" s="10" t="s">
        <v>3190</v>
      </c>
      <c r="C1592" s="10" t="s">
        <v>3191</v>
      </c>
      <c r="D1592" s="7">
        <v>1090.02</v>
      </c>
      <c r="E1592" s="5">
        <v>1278</v>
      </c>
      <c r="F1592" s="5">
        <v>74</v>
      </c>
      <c r="G1592" s="12">
        <f>SUM($D$7:D1592)</f>
        <v>9876408.3600000218</v>
      </c>
      <c r="H1592" s="11">
        <f t="shared" si="24"/>
        <v>0.92591173192193466</v>
      </c>
    </row>
    <row r="1593" spans="1:8" ht="15" customHeight="1" x14ac:dyDescent="0.25">
      <c r="A1593" s="5">
        <v>1587</v>
      </c>
      <c r="B1593" s="10" t="s">
        <v>3192</v>
      </c>
      <c r="C1593" s="10" t="s">
        <v>3193</v>
      </c>
      <c r="D1593" s="7">
        <v>1088.98</v>
      </c>
      <c r="E1593" s="5">
        <v>2470</v>
      </c>
      <c r="F1593" s="5">
        <v>142</v>
      </c>
      <c r="G1593" s="12">
        <f>SUM($D$7:D1593)</f>
        <v>9877497.3400000222</v>
      </c>
      <c r="H1593" s="11">
        <f t="shared" si="24"/>
        <v>0.92601382362582907</v>
      </c>
    </row>
    <row r="1594" spans="1:8" ht="15" customHeight="1" x14ac:dyDescent="0.25">
      <c r="A1594" s="5">
        <v>1588</v>
      </c>
      <c r="B1594" s="10" t="s">
        <v>3194</v>
      </c>
      <c r="C1594" s="10" t="s">
        <v>313</v>
      </c>
      <c r="D1594" s="7">
        <v>1086.8800000000001</v>
      </c>
      <c r="E1594" s="5">
        <v>87</v>
      </c>
      <c r="F1594" s="5">
        <v>62</v>
      </c>
      <c r="G1594" s="12">
        <f>SUM($D$7:D1594)</f>
        <v>9878584.220000023</v>
      </c>
      <c r="H1594" s="11">
        <f t="shared" si="24"/>
        <v>0.92611571845505336</v>
      </c>
    </row>
    <row r="1595" spans="1:8" ht="15" customHeight="1" x14ac:dyDescent="0.25">
      <c r="A1595" s="5">
        <v>1589</v>
      </c>
      <c r="B1595" s="10" t="s">
        <v>3195</v>
      </c>
      <c r="C1595" s="10" t="s">
        <v>3196</v>
      </c>
      <c r="D1595" s="7">
        <v>1086.6500000000001</v>
      </c>
      <c r="E1595" s="5">
        <v>1288</v>
      </c>
      <c r="F1595" s="5">
        <v>157</v>
      </c>
      <c r="G1595" s="12">
        <f>SUM($D$7:D1595)</f>
        <v>9879670.8700000234</v>
      </c>
      <c r="H1595" s="11">
        <f t="shared" si="24"/>
        <v>0.92621759172181384</v>
      </c>
    </row>
    <row r="1596" spans="1:8" ht="15" customHeight="1" x14ac:dyDescent="0.25">
      <c r="A1596" s="5">
        <v>1590</v>
      </c>
      <c r="B1596" s="10" t="s">
        <v>3197</v>
      </c>
      <c r="C1596" s="10" t="s">
        <v>3198</v>
      </c>
      <c r="D1596" s="7">
        <v>1085.32</v>
      </c>
      <c r="E1596" s="5">
        <v>290</v>
      </c>
      <c r="F1596" s="5">
        <v>89</v>
      </c>
      <c r="G1596" s="12">
        <f>SUM($D$7:D1596)</f>
        <v>9880756.1900000237</v>
      </c>
      <c r="H1596" s="11">
        <f t="shared" si="24"/>
        <v>0.92631934030128316</v>
      </c>
    </row>
    <row r="1597" spans="1:8" ht="15" customHeight="1" x14ac:dyDescent="0.25">
      <c r="A1597" s="5">
        <v>1591</v>
      </c>
      <c r="B1597" s="10" t="s">
        <v>3199</v>
      </c>
      <c r="C1597" s="10" t="s">
        <v>3200</v>
      </c>
      <c r="D1597" s="7">
        <v>1080.82</v>
      </c>
      <c r="E1597" s="5">
        <v>635</v>
      </c>
      <c r="F1597" s="5">
        <v>211</v>
      </c>
      <c r="G1597" s="12">
        <f>SUM($D$7:D1597)</f>
        <v>9881837.010000024</v>
      </c>
      <c r="H1597" s="11">
        <f t="shared" si="24"/>
        <v>0.92642066700645964</v>
      </c>
    </row>
    <row r="1598" spans="1:8" ht="15" customHeight="1" x14ac:dyDescent="0.25">
      <c r="A1598" s="5">
        <v>1592</v>
      </c>
      <c r="B1598" s="10" t="s">
        <v>3201</v>
      </c>
      <c r="C1598" s="10" t="s">
        <v>3202</v>
      </c>
      <c r="D1598" s="7">
        <v>1080</v>
      </c>
      <c r="E1598" s="5">
        <v>914</v>
      </c>
      <c r="F1598" s="5">
        <v>165</v>
      </c>
      <c r="G1598" s="12">
        <f>SUM($D$7:D1598)</f>
        <v>9882917.010000024</v>
      </c>
      <c r="H1598" s="11">
        <f t="shared" si="24"/>
        <v>0.92652191683676499</v>
      </c>
    </row>
    <row r="1599" spans="1:8" ht="15" customHeight="1" x14ac:dyDescent="0.25">
      <c r="A1599" s="5">
        <v>1593</v>
      </c>
      <c r="B1599" s="10" t="s">
        <v>3203</v>
      </c>
      <c r="C1599" s="10" t="s">
        <v>3204</v>
      </c>
      <c r="D1599" s="7">
        <v>1079.67</v>
      </c>
      <c r="E1599" s="5">
        <v>721</v>
      </c>
      <c r="F1599" s="5">
        <v>91</v>
      </c>
      <c r="G1599" s="12">
        <f>SUM($D$7:D1599)</f>
        <v>9883996.6800000239</v>
      </c>
      <c r="H1599" s="11">
        <f t="shared" si="24"/>
        <v>0.92662313572962207</v>
      </c>
    </row>
    <row r="1600" spans="1:8" ht="15" customHeight="1" x14ac:dyDescent="0.25">
      <c r="A1600" s="5">
        <v>1594</v>
      </c>
      <c r="B1600" s="10" t="s">
        <v>3205</v>
      </c>
      <c r="C1600" s="10" t="s">
        <v>3206</v>
      </c>
      <c r="D1600" s="7">
        <v>1079.3399999999999</v>
      </c>
      <c r="E1600" s="5">
        <v>2071</v>
      </c>
      <c r="F1600" s="5">
        <v>149</v>
      </c>
      <c r="G1600" s="12">
        <f>SUM($D$7:D1600)</f>
        <v>9885076.0200000238</v>
      </c>
      <c r="H1600" s="11">
        <f t="shared" si="24"/>
        <v>0.9267243236850311</v>
      </c>
    </row>
    <row r="1601" spans="1:8" ht="15" customHeight="1" x14ac:dyDescent="0.25">
      <c r="A1601" s="5">
        <v>1595</v>
      </c>
      <c r="B1601" s="10" t="s">
        <v>3207</v>
      </c>
      <c r="C1601" s="10" t="s">
        <v>3208</v>
      </c>
      <c r="D1601" s="7">
        <v>1077.3</v>
      </c>
      <c r="E1601" s="5">
        <v>860</v>
      </c>
      <c r="F1601" s="5">
        <v>97</v>
      </c>
      <c r="G1601" s="12">
        <f>SUM($D$7:D1601)</f>
        <v>9886153.3200000245</v>
      </c>
      <c r="H1601" s="11">
        <f t="shared" si="24"/>
        <v>0.9268253203907606</v>
      </c>
    </row>
    <row r="1602" spans="1:8" ht="15" customHeight="1" x14ac:dyDescent="0.25">
      <c r="A1602" s="5">
        <v>1596</v>
      </c>
      <c r="B1602" s="10" t="s">
        <v>3209</v>
      </c>
      <c r="C1602" s="10" t="s">
        <v>3210</v>
      </c>
      <c r="D1602" s="7">
        <v>1077.03</v>
      </c>
      <c r="E1602" s="5">
        <v>225</v>
      </c>
      <c r="F1602" s="5">
        <v>46</v>
      </c>
      <c r="G1602" s="12">
        <f>SUM($D$7:D1602)</f>
        <v>9887230.3500000238</v>
      </c>
      <c r="H1602" s="11">
        <f t="shared" si="24"/>
        <v>0.92692629178403252</v>
      </c>
    </row>
    <row r="1603" spans="1:8" ht="15" customHeight="1" x14ac:dyDescent="0.25">
      <c r="A1603" s="5">
        <v>1597</v>
      </c>
      <c r="B1603" s="10" t="s">
        <v>3211</v>
      </c>
      <c r="C1603" s="10" t="s">
        <v>3212</v>
      </c>
      <c r="D1603" s="7">
        <v>1070.8499999999999</v>
      </c>
      <c r="E1603" s="5">
        <v>1263</v>
      </c>
      <c r="F1603" s="5">
        <v>98</v>
      </c>
      <c r="G1603" s="12">
        <f>SUM($D$7:D1603)</f>
        <v>9888301.2000000235</v>
      </c>
      <c r="H1603" s="11">
        <f t="shared" si="24"/>
        <v>0.92702668380327546</v>
      </c>
    </row>
    <row r="1604" spans="1:8" ht="15" customHeight="1" x14ac:dyDescent="0.25">
      <c r="A1604" s="5">
        <v>1598</v>
      </c>
      <c r="B1604" s="10" t="s">
        <v>3213</v>
      </c>
      <c r="C1604" s="10" t="s">
        <v>3214</v>
      </c>
      <c r="D1604" s="7">
        <v>1070.58</v>
      </c>
      <c r="E1604" s="5">
        <v>246</v>
      </c>
      <c r="F1604" s="5">
        <v>48</v>
      </c>
      <c r="G1604" s="12">
        <f>SUM($D$7:D1604)</f>
        <v>9889371.7800000235</v>
      </c>
      <c r="H1604" s="11">
        <f t="shared" si="24"/>
        <v>0.92712705051006084</v>
      </c>
    </row>
    <row r="1605" spans="1:8" ht="15" customHeight="1" x14ac:dyDescent="0.25">
      <c r="A1605" s="5">
        <v>1599</v>
      </c>
      <c r="B1605" s="10" t="s">
        <v>3215</v>
      </c>
      <c r="C1605" s="10" t="s">
        <v>3216</v>
      </c>
      <c r="D1605" s="7">
        <v>1070.26</v>
      </c>
      <c r="E1605" s="5">
        <v>358</v>
      </c>
      <c r="F1605" s="5">
        <v>110</v>
      </c>
      <c r="G1605" s="12">
        <f>SUM($D$7:D1605)</f>
        <v>9890442.0400000233</v>
      </c>
      <c r="H1605" s="11">
        <f t="shared" si="24"/>
        <v>0.92722738721689657</v>
      </c>
    </row>
    <row r="1606" spans="1:8" ht="15" customHeight="1" x14ac:dyDescent="0.25">
      <c r="A1606" s="5">
        <v>1600</v>
      </c>
      <c r="B1606" s="10" t="s">
        <v>3217</v>
      </c>
      <c r="C1606" s="10" t="s">
        <v>3218</v>
      </c>
      <c r="D1606" s="7">
        <v>1069.17</v>
      </c>
      <c r="E1606" s="5">
        <v>509</v>
      </c>
      <c r="F1606" s="5">
        <v>122</v>
      </c>
      <c r="G1606" s="12">
        <f>SUM($D$7:D1606)</f>
        <v>9891511.2100000232</v>
      </c>
      <c r="H1606" s="11">
        <f t="shared" si="24"/>
        <v>0.92732762173640348</v>
      </c>
    </row>
    <row r="1607" spans="1:8" ht="15" customHeight="1" x14ac:dyDescent="0.25">
      <c r="A1607" s="5">
        <v>1601</v>
      </c>
      <c r="B1607" s="10" t="s">
        <v>3219</v>
      </c>
      <c r="C1607" s="10" t="s">
        <v>3220</v>
      </c>
      <c r="D1607" s="7">
        <v>1068.32</v>
      </c>
      <c r="E1607" s="5">
        <v>981</v>
      </c>
      <c r="F1607" s="5">
        <v>128</v>
      </c>
      <c r="G1607" s="12">
        <f>SUM($D$7:D1607)</f>
        <v>9892579.5300000235</v>
      </c>
      <c r="H1607" s="11">
        <f t="shared" ref="H1607:H1670" si="25">G1607/SUM($D$7:$D$4167)</f>
        <v>0.92742777656854403</v>
      </c>
    </row>
    <row r="1608" spans="1:8" ht="15" customHeight="1" x14ac:dyDescent="0.25">
      <c r="A1608" s="5">
        <v>1602</v>
      </c>
      <c r="B1608" s="10" t="s">
        <v>3221</v>
      </c>
      <c r="C1608" s="10" t="s">
        <v>3222</v>
      </c>
      <c r="D1608" s="7">
        <v>1067.82</v>
      </c>
      <c r="E1608" s="5">
        <v>2473</v>
      </c>
      <c r="F1608" s="5">
        <v>124</v>
      </c>
      <c r="G1608" s="12">
        <f>SUM($D$7:D1608)</f>
        <v>9893647.3500000238</v>
      </c>
      <c r="H1608" s="11">
        <f t="shared" si="25"/>
        <v>0.92752788452576307</v>
      </c>
    </row>
    <row r="1609" spans="1:8" ht="15" customHeight="1" x14ac:dyDescent="0.25">
      <c r="A1609" s="5">
        <v>1603</v>
      </c>
      <c r="B1609" s="10" t="s">
        <v>1156</v>
      </c>
      <c r="C1609" s="10" t="s">
        <v>3223</v>
      </c>
      <c r="D1609" s="7">
        <v>1067.76</v>
      </c>
      <c r="E1609" s="5">
        <v>287</v>
      </c>
      <c r="F1609" s="5">
        <v>26</v>
      </c>
      <c r="G1609" s="12">
        <f>SUM($D$7:D1609)</f>
        <v>9894715.1100000236</v>
      </c>
      <c r="H1609" s="11">
        <f t="shared" si="25"/>
        <v>0.92762798685799153</v>
      </c>
    </row>
    <row r="1610" spans="1:8" ht="15" customHeight="1" x14ac:dyDescent="0.25">
      <c r="A1610" s="5">
        <v>1604</v>
      </c>
      <c r="B1610" s="10" t="s">
        <v>3224</v>
      </c>
      <c r="C1610" s="10" t="s">
        <v>3225</v>
      </c>
      <c r="D1610" s="7">
        <v>1067.5999999999999</v>
      </c>
      <c r="E1610" s="5">
        <v>720</v>
      </c>
      <c r="F1610" s="5">
        <v>74</v>
      </c>
      <c r="G1610" s="12">
        <f>SUM($D$7:D1610)</f>
        <v>9895782.7100000232</v>
      </c>
      <c r="H1610" s="11">
        <f t="shared" si="25"/>
        <v>0.92772807419024517</v>
      </c>
    </row>
    <row r="1611" spans="1:8" ht="15" customHeight="1" x14ac:dyDescent="0.25">
      <c r="A1611" s="5">
        <v>1605</v>
      </c>
      <c r="B1611" s="10" t="s">
        <v>3226</v>
      </c>
      <c r="C1611" s="10" t="s">
        <v>3227</v>
      </c>
      <c r="D1611" s="7">
        <v>1064.44</v>
      </c>
      <c r="E1611" s="5">
        <v>1079</v>
      </c>
      <c r="F1611" s="5">
        <v>106</v>
      </c>
      <c r="G1611" s="12">
        <f>SUM($D$7:D1611)</f>
        <v>9896847.1500000227</v>
      </c>
      <c r="H1611" s="11">
        <f t="shared" si="25"/>
        <v>0.92782786527299521</v>
      </c>
    </row>
    <row r="1612" spans="1:8" ht="15" customHeight="1" x14ac:dyDescent="0.25">
      <c r="A1612" s="5">
        <v>1606</v>
      </c>
      <c r="B1612" s="10" t="s">
        <v>3228</v>
      </c>
      <c r="C1612" s="10" t="s">
        <v>3229</v>
      </c>
      <c r="D1612" s="7">
        <v>1062.3499999999999</v>
      </c>
      <c r="E1612" s="5">
        <v>297</v>
      </c>
      <c r="F1612" s="5">
        <v>42</v>
      </c>
      <c r="G1612" s="12">
        <f>SUM($D$7:D1612)</f>
        <v>9897909.5000000224</v>
      </c>
      <c r="H1612" s="11">
        <f t="shared" si="25"/>
        <v>0.92792746041857377</v>
      </c>
    </row>
    <row r="1613" spans="1:8" ht="15" customHeight="1" x14ac:dyDescent="0.25">
      <c r="A1613" s="5">
        <v>1607</v>
      </c>
      <c r="B1613" s="10" t="s">
        <v>3230</v>
      </c>
      <c r="C1613" s="10" t="s">
        <v>3231</v>
      </c>
      <c r="D1613" s="7">
        <v>1062.28</v>
      </c>
      <c r="E1613" s="5">
        <v>1596</v>
      </c>
      <c r="F1613" s="5">
        <v>109</v>
      </c>
      <c r="G1613" s="12">
        <f>SUM($D$7:D1613)</f>
        <v>9898971.7800000217</v>
      </c>
      <c r="H1613" s="11">
        <f t="shared" si="25"/>
        <v>0.92802704900166322</v>
      </c>
    </row>
    <row r="1614" spans="1:8" ht="15" customHeight="1" x14ac:dyDescent="0.25">
      <c r="A1614" s="5">
        <v>1608</v>
      </c>
      <c r="B1614" s="10" t="s">
        <v>3232</v>
      </c>
      <c r="C1614" s="10" t="s">
        <v>3233</v>
      </c>
      <c r="D1614" s="7">
        <v>1062</v>
      </c>
      <c r="E1614" s="5">
        <v>2389</v>
      </c>
      <c r="F1614" s="5">
        <v>266</v>
      </c>
      <c r="G1614" s="12">
        <f>SUM($D$7:D1614)</f>
        <v>9900033.7800000217</v>
      </c>
      <c r="H1614" s="11">
        <f t="shared" si="25"/>
        <v>0.92812661133479679</v>
      </c>
    </row>
    <row r="1615" spans="1:8" ht="15" customHeight="1" x14ac:dyDescent="0.25">
      <c r="A1615" s="5">
        <v>1609</v>
      </c>
      <c r="B1615" s="10" t="s">
        <v>3234</v>
      </c>
      <c r="C1615" s="10" t="s">
        <v>3235</v>
      </c>
      <c r="D1615" s="7">
        <v>1060.9000000000001</v>
      </c>
      <c r="E1615" s="5">
        <v>299</v>
      </c>
      <c r="F1615" s="5">
        <v>68</v>
      </c>
      <c r="G1615" s="12">
        <f>SUM($D$7:D1615)</f>
        <v>9901094.6800000221</v>
      </c>
      <c r="H1615" s="11">
        <f t="shared" si="25"/>
        <v>0.92822607054310313</v>
      </c>
    </row>
    <row r="1616" spans="1:8" ht="15" customHeight="1" x14ac:dyDescent="0.25">
      <c r="A1616" s="5">
        <v>1610</v>
      </c>
      <c r="B1616" s="10" t="s">
        <v>3236</v>
      </c>
      <c r="C1616" s="10" t="s">
        <v>3237</v>
      </c>
      <c r="D1616" s="7">
        <v>1059.67</v>
      </c>
      <c r="E1616" s="5">
        <v>717</v>
      </c>
      <c r="F1616" s="5">
        <v>91</v>
      </c>
      <c r="G1616" s="12">
        <f>SUM($D$7:D1616)</f>
        <v>9902154.350000022</v>
      </c>
      <c r="H1616" s="11">
        <f t="shared" si="25"/>
        <v>0.92832541443910277</v>
      </c>
    </row>
    <row r="1617" spans="1:8" ht="15" customHeight="1" x14ac:dyDescent="0.25">
      <c r="A1617" s="5">
        <v>1611</v>
      </c>
      <c r="B1617" s="10" t="s">
        <v>3238</v>
      </c>
      <c r="C1617" s="10" t="s">
        <v>3239</v>
      </c>
      <c r="D1617" s="7">
        <v>1058.69</v>
      </c>
      <c r="E1617" s="5">
        <v>1022</v>
      </c>
      <c r="F1617" s="5">
        <v>98</v>
      </c>
      <c r="G1617" s="12">
        <f>SUM($D$7:D1617)</f>
        <v>9903213.0400000215</v>
      </c>
      <c r="H1617" s="11">
        <f t="shared" si="25"/>
        <v>0.92842466646025634</v>
      </c>
    </row>
    <row r="1618" spans="1:8" ht="15" customHeight="1" x14ac:dyDescent="0.25">
      <c r="A1618" s="5">
        <v>1612</v>
      </c>
      <c r="B1618" s="10" t="s">
        <v>3240</v>
      </c>
      <c r="C1618" s="10" t="s">
        <v>3241</v>
      </c>
      <c r="D1618" s="7">
        <v>1058.3499999999999</v>
      </c>
      <c r="E1618" s="5">
        <v>620</v>
      </c>
      <c r="F1618" s="5">
        <v>70</v>
      </c>
      <c r="G1618" s="12">
        <f>SUM($D$7:D1618)</f>
        <v>9904271.3900000211</v>
      </c>
      <c r="H1618" s="11">
        <f t="shared" si="25"/>
        <v>0.92852388660646334</v>
      </c>
    </row>
    <row r="1619" spans="1:8" ht="15" customHeight="1" x14ac:dyDescent="0.25">
      <c r="A1619" s="5">
        <v>1613</v>
      </c>
      <c r="B1619" s="10" t="s">
        <v>3242</v>
      </c>
      <c r="C1619" s="10" t="s">
        <v>3243</v>
      </c>
      <c r="D1619" s="7">
        <v>1057.71</v>
      </c>
      <c r="E1619" s="5">
        <v>676</v>
      </c>
      <c r="F1619" s="5">
        <v>116</v>
      </c>
      <c r="G1619" s="12">
        <f>SUM($D$7:D1619)</f>
        <v>9905329.100000022</v>
      </c>
      <c r="H1619" s="11">
        <f t="shared" si="25"/>
        <v>0.92862304675277108</v>
      </c>
    </row>
    <row r="1620" spans="1:8" ht="15" customHeight="1" x14ac:dyDescent="0.25">
      <c r="A1620" s="5">
        <v>1614</v>
      </c>
      <c r="B1620" s="10" t="s">
        <v>3244</v>
      </c>
      <c r="C1620" s="10" t="s">
        <v>3245</v>
      </c>
      <c r="D1620" s="7">
        <v>1057.28</v>
      </c>
      <c r="E1620" s="5">
        <v>272</v>
      </c>
      <c r="F1620" s="5">
        <v>64</v>
      </c>
      <c r="G1620" s="12">
        <f>SUM($D$7:D1620)</f>
        <v>9906386.3800000213</v>
      </c>
      <c r="H1620" s="11">
        <f t="shared" si="25"/>
        <v>0.92872216658664608</v>
      </c>
    </row>
    <row r="1621" spans="1:8" ht="15" customHeight="1" x14ac:dyDescent="0.25">
      <c r="A1621" s="5">
        <v>1615</v>
      </c>
      <c r="B1621" s="10" t="s">
        <v>3246</v>
      </c>
      <c r="C1621" s="10" t="s">
        <v>3247</v>
      </c>
      <c r="D1621" s="7">
        <v>1055.94</v>
      </c>
      <c r="E1621" s="5">
        <v>318</v>
      </c>
      <c r="F1621" s="5">
        <v>11</v>
      </c>
      <c r="G1621" s="12">
        <f>SUM($D$7:D1621)</f>
        <v>9907442.3200000208</v>
      </c>
      <c r="H1621" s="11">
        <f t="shared" si="25"/>
        <v>0.92882116079573174</v>
      </c>
    </row>
    <row r="1622" spans="1:8" ht="15" customHeight="1" x14ac:dyDescent="0.25">
      <c r="A1622" s="5">
        <v>1616</v>
      </c>
      <c r="B1622" s="10" t="s">
        <v>3248</v>
      </c>
      <c r="C1622" s="10" t="s">
        <v>3249</v>
      </c>
      <c r="D1622" s="7">
        <v>1055.25</v>
      </c>
      <c r="E1622" s="5">
        <v>249</v>
      </c>
      <c r="F1622" s="5">
        <v>105</v>
      </c>
      <c r="G1622" s="12">
        <f>SUM($D$7:D1622)</f>
        <v>9908497.5700000208</v>
      </c>
      <c r="H1622" s="11">
        <f t="shared" si="25"/>
        <v>0.92892009031742584</v>
      </c>
    </row>
    <row r="1623" spans="1:8" ht="15" customHeight="1" x14ac:dyDescent="0.25">
      <c r="A1623" s="5">
        <v>1617</v>
      </c>
      <c r="B1623" s="10" t="s">
        <v>3250</v>
      </c>
      <c r="C1623" s="10" t="s">
        <v>3251</v>
      </c>
      <c r="D1623" s="7">
        <v>1054.44</v>
      </c>
      <c r="E1623" s="5">
        <v>801</v>
      </c>
      <c r="F1623" s="5">
        <v>144</v>
      </c>
      <c r="G1623" s="12">
        <f>SUM($D$7:D1623)</f>
        <v>9909552.0100000203</v>
      </c>
      <c r="H1623" s="11">
        <f t="shared" si="25"/>
        <v>0.92901894390174722</v>
      </c>
    </row>
    <row r="1624" spans="1:8" ht="15" customHeight="1" x14ac:dyDescent="0.25">
      <c r="A1624" s="5">
        <v>1618</v>
      </c>
      <c r="B1624" s="10" t="s">
        <v>3252</v>
      </c>
      <c r="C1624" s="10" t="s">
        <v>3253</v>
      </c>
      <c r="D1624" s="7">
        <v>1053.5</v>
      </c>
      <c r="E1624" s="5">
        <v>2408</v>
      </c>
      <c r="F1624" s="5">
        <v>105</v>
      </c>
      <c r="G1624" s="12">
        <f>SUM($D$7:D1624)</f>
        <v>9910605.5100000203</v>
      </c>
      <c r="H1624" s="11">
        <f t="shared" si="25"/>
        <v>0.92911770936121629</v>
      </c>
    </row>
    <row r="1625" spans="1:8" ht="15" customHeight="1" x14ac:dyDescent="0.25">
      <c r="A1625" s="5">
        <v>1619</v>
      </c>
      <c r="B1625" s="10" t="s">
        <v>3254</v>
      </c>
      <c r="C1625" s="10" t="s">
        <v>3255</v>
      </c>
      <c r="D1625" s="7">
        <v>1053.45</v>
      </c>
      <c r="E1625" s="5">
        <v>1273</v>
      </c>
      <c r="F1625" s="5">
        <v>65</v>
      </c>
      <c r="G1625" s="12">
        <f>SUM($D$7:D1625)</f>
        <v>9911658.9600000195</v>
      </c>
      <c r="H1625" s="11">
        <f t="shared" si="25"/>
        <v>0.9292164701331932</v>
      </c>
    </row>
    <row r="1626" spans="1:8" ht="15" customHeight="1" x14ac:dyDescent="0.25">
      <c r="A1626" s="5">
        <v>1620</v>
      </c>
      <c r="B1626" s="10" t="s">
        <v>3256</v>
      </c>
      <c r="C1626" s="10" t="s">
        <v>3257</v>
      </c>
      <c r="D1626" s="7">
        <v>1051.1400000000001</v>
      </c>
      <c r="E1626" s="5">
        <v>1734</v>
      </c>
      <c r="F1626" s="5">
        <v>41</v>
      </c>
      <c r="G1626" s="12">
        <f>SUM($D$7:D1626)</f>
        <v>9912710.1000000201</v>
      </c>
      <c r="H1626" s="11">
        <f t="shared" si="25"/>
        <v>0.92931501434303321</v>
      </c>
    </row>
    <row r="1627" spans="1:8" ht="15" customHeight="1" x14ac:dyDescent="0.25">
      <c r="A1627" s="5">
        <v>1621</v>
      </c>
      <c r="B1627" s="10" t="s">
        <v>3258</v>
      </c>
      <c r="C1627" s="10" t="s">
        <v>3259</v>
      </c>
      <c r="D1627" s="7">
        <v>1051.05</v>
      </c>
      <c r="E1627" s="5">
        <v>2255</v>
      </c>
      <c r="F1627" s="5">
        <v>135</v>
      </c>
      <c r="G1627" s="12">
        <f>SUM($D$7:D1627)</f>
        <v>9913761.1500000209</v>
      </c>
      <c r="H1627" s="11">
        <f t="shared" si="25"/>
        <v>0.92941355011538729</v>
      </c>
    </row>
    <row r="1628" spans="1:8" ht="15" customHeight="1" x14ac:dyDescent="0.25">
      <c r="A1628" s="5">
        <v>1622</v>
      </c>
      <c r="B1628" s="10" t="s">
        <v>3260</v>
      </c>
      <c r="C1628" s="10" t="s">
        <v>3261</v>
      </c>
      <c r="D1628" s="7">
        <v>1048.56</v>
      </c>
      <c r="E1628" s="5">
        <v>4994</v>
      </c>
      <c r="F1628" s="5">
        <v>290</v>
      </c>
      <c r="G1628" s="12">
        <f>SUM($D$7:D1628)</f>
        <v>9914809.7100000214</v>
      </c>
      <c r="H1628" s="11">
        <f t="shared" si="25"/>
        <v>0.92951185245063261</v>
      </c>
    </row>
    <row r="1629" spans="1:8" ht="15" customHeight="1" x14ac:dyDescent="0.25">
      <c r="A1629" s="5">
        <v>1623</v>
      </c>
      <c r="B1629" s="10" t="s">
        <v>3262</v>
      </c>
      <c r="C1629" s="10" t="s">
        <v>3263</v>
      </c>
      <c r="D1629" s="7">
        <v>1046.98</v>
      </c>
      <c r="E1629" s="5">
        <v>2490</v>
      </c>
      <c r="F1629" s="5">
        <v>213</v>
      </c>
      <c r="G1629" s="12">
        <f>SUM($D$7:D1629)</f>
        <v>9915856.6900000218</v>
      </c>
      <c r="H1629" s="11">
        <f t="shared" si="25"/>
        <v>0.92961000666112614</v>
      </c>
    </row>
    <row r="1630" spans="1:8" ht="15" customHeight="1" x14ac:dyDescent="0.25">
      <c r="A1630" s="5">
        <v>1624</v>
      </c>
      <c r="B1630" s="10" t="s">
        <v>3264</v>
      </c>
      <c r="C1630" s="10" t="s">
        <v>3265</v>
      </c>
      <c r="D1630" s="7">
        <v>1045.8</v>
      </c>
      <c r="E1630" s="5">
        <v>474</v>
      </c>
      <c r="F1630" s="5">
        <v>86</v>
      </c>
      <c r="G1630" s="12">
        <f>SUM($D$7:D1630)</f>
        <v>9916902.4900000226</v>
      </c>
      <c r="H1630" s="11">
        <f t="shared" si="25"/>
        <v>0.92970805024680525</v>
      </c>
    </row>
    <row r="1631" spans="1:8" ht="15" customHeight="1" x14ac:dyDescent="0.25">
      <c r="A1631" s="5">
        <v>1625</v>
      </c>
      <c r="B1631" s="10" t="s">
        <v>1748</v>
      </c>
      <c r="C1631" s="10" t="s">
        <v>3266</v>
      </c>
      <c r="D1631" s="7">
        <v>1043.0999999999999</v>
      </c>
      <c r="E1631" s="5">
        <v>150</v>
      </c>
      <c r="F1631" s="5">
        <v>15</v>
      </c>
      <c r="G1631" s="12">
        <f>SUM($D$7:D1631)</f>
        <v>9917945.5900000222</v>
      </c>
      <c r="H1631" s="11">
        <f t="shared" si="25"/>
        <v>0.92980584070790839</v>
      </c>
    </row>
    <row r="1632" spans="1:8" ht="15" customHeight="1" x14ac:dyDescent="0.25">
      <c r="A1632" s="5">
        <v>1626</v>
      </c>
      <c r="B1632" s="10" t="s">
        <v>3267</v>
      </c>
      <c r="C1632" s="10" t="s">
        <v>3268</v>
      </c>
      <c r="D1632" s="7">
        <v>1042.78</v>
      </c>
      <c r="E1632" s="5">
        <v>875</v>
      </c>
      <c r="F1632" s="5">
        <v>122</v>
      </c>
      <c r="G1632" s="12">
        <f>SUM($D$7:D1632)</f>
        <v>9918988.3700000215</v>
      </c>
      <c r="H1632" s="11">
        <f t="shared" si="25"/>
        <v>0.92990360116906179</v>
      </c>
    </row>
    <row r="1633" spans="1:8" ht="15" customHeight="1" x14ac:dyDescent="0.25">
      <c r="A1633" s="5">
        <v>1627</v>
      </c>
      <c r="B1633" s="10" t="s">
        <v>3269</v>
      </c>
      <c r="C1633" s="10" t="s">
        <v>3270</v>
      </c>
      <c r="D1633" s="7">
        <v>1042.6600000000001</v>
      </c>
      <c r="E1633" s="5">
        <v>503</v>
      </c>
      <c r="F1633" s="5">
        <v>63</v>
      </c>
      <c r="G1633" s="12">
        <f>SUM($D$7:D1633)</f>
        <v>9920031.0300000217</v>
      </c>
      <c r="H1633" s="11">
        <f t="shared" si="25"/>
        <v>0.93000135038023413</v>
      </c>
    </row>
    <row r="1634" spans="1:8" ht="15" customHeight="1" x14ac:dyDescent="0.25">
      <c r="A1634" s="5">
        <v>1628</v>
      </c>
      <c r="B1634" s="10" t="s">
        <v>2273</v>
      </c>
      <c r="C1634" s="10" t="s">
        <v>3271</v>
      </c>
      <c r="D1634" s="7">
        <v>1039.08</v>
      </c>
      <c r="E1634" s="5">
        <v>2474</v>
      </c>
      <c r="F1634" s="5">
        <v>94</v>
      </c>
      <c r="G1634" s="12">
        <f>SUM($D$7:D1634)</f>
        <v>9921070.1100000218</v>
      </c>
      <c r="H1634" s="11">
        <f t="shared" si="25"/>
        <v>0.93009876396696889</v>
      </c>
    </row>
    <row r="1635" spans="1:8" ht="15" customHeight="1" x14ac:dyDescent="0.25">
      <c r="A1635" s="5">
        <v>1629</v>
      </c>
      <c r="B1635" s="10" t="s">
        <v>3272</v>
      </c>
      <c r="C1635" s="10" t="s">
        <v>3273</v>
      </c>
      <c r="D1635" s="7">
        <v>1038.8699999999999</v>
      </c>
      <c r="E1635" s="5">
        <v>345</v>
      </c>
      <c r="F1635" s="5">
        <v>75</v>
      </c>
      <c r="G1635" s="12">
        <f>SUM($D$7:D1635)</f>
        <v>9922108.9800000209</v>
      </c>
      <c r="H1635" s="11">
        <f t="shared" si="25"/>
        <v>0.93019615786623666</v>
      </c>
    </row>
    <row r="1636" spans="1:8" ht="15" customHeight="1" x14ac:dyDescent="0.25">
      <c r="A1636" s="5">
        <v>1630</v>
      </c>
      <c r="B1636" s="10" t="s">
        <v>3274</v>
      </c>
      <c r="C1636" s="10" t="s">
        <v>3275</v>
      </c>
      <c r="D1636" s="7">
        <v>1037.54</v>
      </c>
      <c r="E1636" s="5">
        <v>370</v>
      </c>
      <c r="F1636" s="5">
        <v>62</v>
      </c>
      <c r="G1636" s="12">
        <f>SUM($D$7:D1636)</f>
        <v>9923146.52000002</v>
      </c>
      <c r="H1636" s="11">
        <f t="shared" si="25"/>
        <v>0.93029342707821339</v>
      </c>
    </row>
    <row r="1637" spans="1:8" ht="15" customHeight="1" x14ac:dyDescent="0.25">
      <c r="A1637" s="5">
        <v>1631</v>
      </c>
      <c r="B1637" s="10" t="s">
        <v>3276</v>
      </c>
      <c r="C1637" s="10" t="s">
        <v>3277</v>
      </c>
      <c r="D1637" s="7">
        <v>1037.05</v>
      </c>
      <c r="E1637" s="5">
        <v>251</v>
      </c>
      <c r="F1637" s="5">
        <v>62</v>
      </c>
      <c r="G1637" s="12">
        <f>SUM($D$7:D1637)</f>
        <v>9924183.5700000208</v>
      </c>
      <c r="H1637" s="11">
        <f t="shared" si="25"/>
        <v>0.93039065035276725</v>
      </c>
    </row>
    <row r="1638" spans="1:8" ht="15" customHeight="1" x14ac:dyDescent="0.25">
      <c r="A1638" s="5">
        <v>1632</v>
      </c>
      <c r="B1638" s="10" t="s">
        <v>3278</v>
      </c>
      <c r="C1638" s="10" t="s">
        <v>3279</v>
      </c>
      <c r="D1638" s="7">
        <v>1035.58</v>
      </c>
      <c r="E1638" s="5">
        <v>1723</v>
      </c>
      <c r="F1638" s="5">
        <v>151</v>
      </c>
      <c r="G1638" s="12">
        <f>SUM($D$7:D1638)</f>
        <v>9925219.1500000209</v>
      </c>
      <c r="H1638" s="11">
        <f t="shared" si="25"/>
        <v>0.93048773581505206</v>
      </c>
    </row>
    <row r="1639" spans="1:8" ht="15" customHeight="1" x14ac:dyDescent="0.25">
      <c r="A1639" s="5">
        <v>1633</v>
      </c>
      <c r="B1639" s="10" t="s">
        <v>3280</v>
      </c>
      <c r="C1639" s="10" t="s">
        <v>3281</v>
      </c>
      <c r="D1639" s="7">
        <v>1033.81</v>
      </c>
      <c r="E1639" s="5">
        <v>2430</v>
      </c>
      <c r="F1639" s="5">
        <v>213</v>
      </c>
      <c r="G1639" s="12">
        <f>SUM($D$7:D1639)</f>
        <v>9926252.9600000214</v>
      </c>
      <c r="H1639" s="11">
        <f t="shared" si="25"/>
        <v>0.93058465534011492</v>
      </c>
    </row>
    <row r="1640" spans="1:8" ht="15" customHeight="1" x14ac:dyDescent="0.25">
      <c r="A1640" s="5">
        <v>1634</v>
      </c>
      <c r="B1640" s="10" t="s">
        <v>3282</v>
      </c>
      <c r="C1640" s="10" t="s">
        <v>3283</v>
      </c>
      <c r="D1640" s="7">
        <v>1033.28</v>
      </c>
      <c r="E1640" s="5">
        <v>795</v>
      </c>
      <c r="F1640" s="5">
        <v>79</v>
      </c>
      <c r="G1640" s="12">
        <f>SUM($D$7:D1640)</f>
        <v>9927286.2400000207</v>
      </c>
      <c r="H1640" s="11">
        <f t="shared" si="25"/>
        <v>0.93068152517776104</v>
      </c>
    </row>
    <row r="1641" spans="1:8" ht="15" customHeight="1" x14ac:dyDescent="0.25">
      <c r="A1641" s="5">
        <v>1635</v>
      </c>
      <c r="B1641" s="10" t="s">
        <v>3284</v>
      </c>
      <c r="C1641" s="10" t="s">
        <v>3285</v>
      </c>
      <c r="D1641" s="7">
        <v>1033.22</v>
      </c>
      <c r="E1641" s="5">
        <v>1991</v>
      </c>
      <c r="F1641" s="5">
        <v>167</v>
      </c>
      <c r="G1641" s="12">
        <f>SUM($D$7:D1641)</f>
        <v>9928319.4600000214</v>
      </c>
      <c r="H1641" s="11">
        <f t="shared" si="25"/>
        <v>0.93077838939041668</v>
      </c>
    </row>
    <row r="1642" spans="1:8" ht="15" customHeight="1" x14ac:dyDescent="0.25">
      <c r="A1642" s="5">
        <v>1636</v>
      </c>
      <c r="B1642" s="10" t="s">
        <v>3286</v>
      </c>
      <c r="C1642" s="10" t="s">
        <v>3287</v>
      </c>
      <c r="D1642" s="7">
        <v>1032.6400000000001</v>
      </c>
      <c r="E1642" s="5">
        <v>1297</v>
      </c>
      <c r="F1642" s="5">
        <v>85</v>
      </c>
      <c r="G1642" s="12">
        <f>SUM($D$7:D1642)</f>
        <v>9929352.100000022</v>
      </c>
      <c r="H1642" s="11">
        <f t="shared" si="25"/>
        <v>0.93087519922816342</v>
      </c>
    </row>
    <row r="1643" spans="1:8" ht="15" customHeight="1" x14ac:dyDescent="0.25">
      <c r="A1643" s="5">
        <v>1637</v>
      </c>
      <c r="B1643" s="10" t="s">
        <v>3288</v>
      </c>
      <c r="C1643" s="10" t="s">
        <v>3289</v>
      </c>
      <c r="D1643" s="7">
        <v>1032.6199999999999</v>
      </c>
      <c r="E1643" s="5">
        <v>598</v>
      </c>
      <c r="F1643" s="5">
        <v>107</v>
      </c>
      <c r="G1643" s="12">
        <f>SUM($D$7:D1643)</f>
        <v>9930384.7200000212</v>
      </c>
      <c r="H1643" s="11">
        <f t="shared" si="25"/>
        <v>0.93097200719091322</v>
      </c>
    </row>
    <row r="1644" spans="1:8" ht="15" customHeight="1" x14ac:dyDescent="0.25">
      <c r="A1644" s="5">
        <v>1638</v>
      </c>
      <c r="B1644" s="10" t="s">
        <v>3290</v>
      </c>
      <c r="C1644" s="10" t="s">
        <v>3291</v>
      </c>
      <c r="D1644" s="7">
        <v>1031.69</v>
      </c>
      <c r="E1644" s="5">
        <v>266</v>
      </c>
      <c r="F1644" s="5">
        <v>83</v>
      </c>
      <c r="G1644" s="12">
        <f>SUM($D$7:D1644)</f>
        <v>9931416.4100000206</v>
      </c>
      <c r="H1644" s="11">
        <f t="shared" si="25"/>
        <v>0.93106872796630913</v>
      </c>
    </row>
    <row r="1645" spans="1:8" ht="15" customHeight="1" x14ac:dyDescent="0.25">
      <c r="A1645" s="5">
        <v>1639</v>
      </c>
      <c r="B1645" s="10" t="s">
        <v>3292</v>
      </c>
      <c r="C1645" s="10" t="s">
        <v>3293</v>
      </c>
      <c r="D1645" s="7">
        <v>1031.56</v>
      </c>
      <c r="E1645" s="5">
        <v>2390</v>
      </c>
      <c r="F1645" s="5">
        <v>198</v>
      </c>
      <c r="G1645" s="12">
        <f>SUM($D$7:D1645)</f>
        <v>9932447.9700000212</v>
      </c>
      <c r="H1645" s="11">
        <f t="shared" si="25"/>
        <v>0.93116543655422568</v>
      </c>
    </row>
    <row r="1646" spans="1:8" ht="15" customHeight="1" x14ac:dyDescent="0.25">
      <c r="A1646" s="5">
        <v>1640</v>
      </c>
      <c r="B1646" s="10" t="s">
        <v>3294</v>
      </c>
      <c r="C1646" s="10" t="s">
        <v>3295</v>
      </c>
      <c r="D1646" s="7">
        <v>1029.76</v>
      </c>
      <c r="E1646" s="5">
        <v>1000</v>
      </c>
      <c r="F1646" s="5">
        <v>144</v>
      </c>
      <c r="G1646" s="12">
        <f>SUM($D$7:D1646)</f>
        <v>9933477.7300000209</v>
      </c>
      <c r="H1646" s="11">
        <f t="shared" si="25"/>
        <v>0.93126197639242481</v>
      </c>
    </row>
    <row r="1647" spans="1:8" ht="15" customHeight="1" x14ac:dyDescent="0.25">
      <c r="A1647" s="5">
        <v>1641</v>
      </c>
      <c r="B1647" s="10" t="s">
        <v>3296</v>
      </c>
      <c r="C1647" s="10" t="s">
        <v>3297</v>
      </c>
      <c r="D1647" s="7">
        <v>1028.58</v>
      </c>
      <c r="E1647" s="5">
        <v>1140</v>
      </c>
      <c r="F1647" s="5">
        <v>138</v>
      </c>
      <c r="G1647" s="12">
        <f>SUM($D$7:D1647)</f>
        <v>9934506.310000021</v>
      </c>
      <c r="H1647" s="11">
        <f t="shared" si="25"/>
        <v>0.93135840560580951</v>
      </c>
    </row>
    <row r="1648" spans="1:8" ht="15" customHeight="1" x14ac:dyDescent="0.25">
      <c r="A1648" s="5">
        <v>1642</v>
      </c>
      <c r="B1648" s="10" t="s">
        <v>3298</v>
      </c>
      <c r="C1648" s="10" t="s">
        <v>3299</v>
      </c>
      <c r="D1648" s="7">
        <v>1025.94</v>
      </c>
      <c r="E1648" s="5">
        <v>314</v>
      </c>
      <c r="F1648" s="5">
        <v>88</v>
      </c>
      <c r="G1648" s="12">
        <f>SUM($D$7:D1648)</f>
        <v>9935532.2500000205</v>
      </c>
      <c r="H1648" s="11">
        <f t="shared" si="25"/>
        <v>0.93145458731960884</v>
      </c>
    </row>
    <row r="1649" spans="1:8" ht="15" customHeight="1" x14ac:dyDescent="0.25">
      <c r="A1649" s="5">
        <v>1643</v>
      </c>
      <c r="B1649" s="10" t="s">
        <v>3300</v>
      </c>
      <c r="C1649" s="10" t="s">
        <v>3301</v>
      </c>
      <c r="D1649" s="7">
        <v>1024.9000000000001</v>
      </c>
      <c r="E1649" s="5">
        <v>3034</v>
      </c>
      <c r="F1649" s="5">
        <v>219</v>
      </c>
      <c r="G1649" s="12">
        <f>SUM($D$7:D1649)</f>
        <v>9936557.1500000209</v>
      </c>
      <c r="H1649" s="11">
        <f t="shared" si="25"/>
        <v>0.93155067153357174</v>
      </c>
    </row>
    <row r="1650" spans="1:8" ht="15" customHeight="1" x14ac:dyDescent="0.25">
      <c r="A1650" s="5">
        <v>1644</v>
      </c>
      <c r="B1650" s="10" t="s">
        <v>3302</v>
      </c>
      <c r="C1650" s="10" t="s">
        <v>3303</v>
      </c>
      <c r="D1650" s="7">
        <v>1024.28</v>
      </c>
      <c r="E1650" s="5">
        <v>741</v>
      </c>
      <c r="F1650" s="5">
        <v>152</v>
      </c>
      <c r="G1650" s="12">
        <f>SUM($D$7:D1650)</f>
        <v>9937581.4300000202</v>
      </c>
      <c r="H1650" s="11">
        <f t="shared" si="25"/>
        <v>0.93164669762263197</v>
      </c>
    </row>
    <row r="1651" spans="1:8" ht="15" customHeight="1" x14ac:dyDescent="0.25">
      <c r="A1651" s="5">
        <v>1645</v>
      </c>
      <c r="B1651" s="10" t="s">
        <v>3304</v>
      </c>
      <c r="C1651" s="10" t="s">
        <v>3305</v>
      </c>
      <c r="D1651" s="7">
        <v>1022.8</v>
      </c>
      <c r="E1651" s="5">
        <v>719</v>
      </c>
      <c r="F1651" s="5">
        <v>97</v>
      </c>
      <c r="G1651" s="12">
        <f>SUM($D$7:D1651)</f>
        <v>9938604.2300000209</v>
      </c>
      <c r="H1651" s="11">
        <f t="shared" si="25"/>
        <v>0.93174258496192486</v>
      </c>
    </row>
    <row r="1652" spans="1:8" ht="15" customHeight="1" x14ac:dyDescent="0.25">
      <c r="A1652" s="5">
        <v>1646</v>
      </c>
      <c r="B1652" s="10" t="s">
        <v>3306</v>
      </c>
      <c r="C1652" s="10" t="s">
        <v>3307</v>
      </c>
      <c r="D1652" s="7">
        <v>1021.9</v>
      </c>
      <c r="E1652" s="5">
        <v>326</v>
      </c>
      <c r="F1652" s="5">
        <v>50</v>
      </c>
      <c r="G1652" s="12">
        <f>SUM($D$7:D1652)</f>
        <v>9939626.1300000213</v>
      </c>
      <c r="H1652" s="11">
        <f t="shared" si="25"/>
        <v>0.93183838792635909</v>
      </c>
    </row>
    <row r="1653" spans="1:8" ht="15" customHeight="1" x14ac:dyDescent="0.25">
      <c r="A1653" s="5">
        <v>1647</v>
      </c>
      <c r="B1653" s="10" t="s">
        <v>3308</v>
      </c>
      <c r="C1653" s="10" t="s">
        <v>3309</v>
      </c>
      <c r="D1653" s="7">
        <v>1021.76</v>
      </c>
      <c r="E1653" s="5">
        <v>518</v>
      </c>
      <c r="F1653" s="5">
        <v>87</v>
      </c>
      <c r="G1653" s="12">
        <f>SUM($D$7:D1653)</f>
        <v>9940647.8900000211</v>
      </c>
      <c r="H1653" s="11">
        <f t="shared" si="25"/>
        <v>0.93193417776581533</v>
      </c>
    </row>
    <row r="1654" spans="1:8" ht="15" customHeight="1" x14ac:dyDescent="0.25">
      <c r="A1654" s="5">
        <v>1648</v>
      </c>
      <c r="B1654" s="10" t="s">
        <v>3310</v>
      </c>
      <c r="C1654" s="10" t="s">
        <v>3311</v>
      </c>
      <c r="D1654" s="7">
        <v>1020.69</v>
      </c>
      <c r="E1654" s="5">
        <v>263</v>
      </c>
      <c r="F1654" s="5">
        <v>90</v>
      </c>
      <c r="G1654" s="12">
        <f>SUM($D$7:D1654)</f>
        <v>9941668.5800000206</v>
      </c>
      <c r="H1654" s="11">
        <f t="shared" si="25"/>
        <v>0.93202986729293968</v>
      </c>
    </row>
    <row r="1655" spans="1:8" ht="15" customHeight="1" x14ac:dyDescent="0.25">
      <c r="A1655" s="5">
        <v>1649</v>
      </c>
      <c r="B1655" s="10" t="s">
        <v>3312</v>
      </c>
      <c r="C1655" s="10" t="s">
        <v>3313</v>
      </c>
      <c r="D1655" s="7">
        <v>1019.83</v>
      </c>
      <c r="E1655" s="5">
        <v>794</v>
      </c>
      <c r="F1655" s="5">
        <v>131</v>
      </c>
      <c r="G1655" s="12">
        <f>SUM($D$7:D1655)</f>
        <v>9942688.4100000206</v>
      </c>
      <c r="H1655" s="11">
        <f t="shared" si="25"/>
        <v>0.93212547619519914</v>
      </c>
    </row>
    <row r="1656" spans="1:8" ht="15" customHeight="1" x14ac:dyDescent="0.25">
      <c r="A1656" s="5">
        <v>1650</v>
      </c>
      <c r="B1656" s="10" t="s">
        <v>3314</v>
      </c>
      <c r="C1656" s="10" t="s">
        <v>3315</v>
      </c>
      <c r="D1656" s="7">
        <v>1018.19</v>
      </c>
      <c r="E1656" s="5">
        <v>386</v>
      </c>
      <c r="F1656" s="5">
        <v>25</v>
      </c>
      <c r="G1656" s="12">
        <f>SUM($D$7:D1656)</f>
        <v>9943706.6000000201</v>
      </c>
      <c r="H1656" s="11">
        <f t="shared" si="25"/>
        <v>0.93222093134771622</v>
      </c>
    </row>
    <row r="1657" spans="1:8" ht="15" customHeight="1" x14ac:dyDescent="0.25">
      <c r="A1657" s="5">
        <v>1651</v>
      </c>
      <c r="B1657" s="10" t="s">
        <v>3316</v>
      </c>
      <c r="C1657" s="10" t="s">
        <v>3317</v>
      </c>
      <c r="D1657" s="7">
        <v>1015.78</v>
      </c>
      <c r="E1657" s="5">
        <v>164</v>
      </c>
      <c r="F1657" s="5">
        <v>20</v>
      </c>
      <c r="G1657" s="12">
        <f>SUM($D$7:D1657)</f>
        <v>9944722.3800000194</v>
      </c>
      <c r="H1657" s="11">
        <f t="shared" si="25"/>
        <v>0.93231616056311206</v>
      </c>
    </row>
    <row r="1658" spans="1:8" ht="15" customHeight="1" x14ac:dyDescent="0.25">
      <c r="A1658" s="5">
        <v>1652</v>
      </c>
      <c r="B1658" s="10" t="s">
        <v>3318</v>
      </c>
      <c r="C1658" s="10" t="s">
        <v>3319</v>
      </c>
      <c r="D1658" s="7">
        <v>1014.85</v>
      </c>
      <c r="E1658" s="5">
        <v>335</v>
      </c>
      <c r="F1658" s="5">
        <v>37</v>
      </c>
      <c r="G1658" s="12">
        <f>SUM($D$7:D1658)</f>
        <v>9945737.2300000191</v>
      </c>
      <c r="H1658" s="11">
        <f t="shared" si="25"/>
        <v>0.9324113025911539</v>
      </c>
    </row>
    <row r="1659" spans="1:8" ht="15" customHeight="1" x14ac:dyDescent="0.25">
      <c r="A1659" s="5">
        <v>1653</v>
      </c>
      <c r="B1659" s="10" t="s">
        <v>3320</v>
      </c>
      <c r="C1659" s="10" t="s">
        <v>3321</v>
      </c>
      <c r="D1659" s="7">
        <v>1013.92</v>
      </c>
      <c r="E1659" s="5">
        <v>706</v>
      </c>
      <c r="F1659" s="5">
        <v>162</v>
      </c>
      <c r="G1659" s="12">
        <f>SUM($D$7:D1659)</f>
        <v>9946751.150000019</v>
      </c>
      <c r="H1659" s="11">
        <f t="shared" si="25"/>
        <v>0.93250635743184207</v>
      </c>
    </row>
    <row r="1660" spans="1:8" ht="15" customHeight="1" x14ac:dyDescent="0.25">
      <c r="A1660" s="5">
        <v>1654</v>
      </c>
      <c r="B1660" s="10" t="s">
        <v>3322</v>
      </c>
      <c r="C1660" s="10" t="s">
        <v>3323</v>
      </c>
      <c r="D1660" s="7">
        <v>1013.01</v>
      </c>
      <c r="E1660" s="5">
        <v>528</v>
      </c>
      <c r="F1660" s="5">
        <v>102</v>
      </c>
      <c r="G1660" s="12">
        <f>SUM($D$7:D1660)</f>
        <v>9947764.1600000188</v>
      </c>
      <c r="H1660" s="11">
        <f t="shared" si="25"/>
        <v>0.93260132696017306</v>
      </c>
    </row>
    <row r="1661" spans="1:8" ht="15" customHeight="1" x14ac:dyDescent="0.25">
      <c r="A1661" s="5">
        <v>1655</v>
      </c>
      <c r="B1661" s="10" t="s">
        <v>3324</v>
      </c>
      <c r="C1661" s="10" t="s">
        <v>3325</v>
      </c>
      <c r="D1661" s="7">
        <v>1010.21</v>
      </c>
      <c r="E1661" s="5">
        <v>801</v>
      </c>
      <c r="F1661" s="5">
        <v>95</v>
      </c>
      <c r="G1661" s="12">
        <f>SUM($D$7:D1661)</f>
        <v>9948774.3700000197</v>
      </c>
      <c r="H1661" s="11">
        <f t="shared" si="25"/>
        <v>0.93269603398894418</v>
      </c>
    </row>
    <row r="1662" spans="1:8" ht="15" customHeight="1" x14ac:dyDescent="0.25">
      <c r="A1662" s="5">
        <v>1656</v>
      </c>
      <c r="B1662" s="10" t="s">
        <v>3326</v>
      </c>
      <c r="C1662" s="10" t="s">
        <v>3327</v>
      </c>
      <c r="D1662" s="7">
        <v>1008.47</v>
      </c>
      <c r="E1662" s="5">
        <v>1029</v>
      </c>
      <c r="F1662" s="5">
        <v>71</v>
      </c>
      <c r="G1662" s="12">
        <f>SUM($D$7:D1662)</f>
        <v>9949782.8400000203</v>
      </c>
      <c r="H1662" s="11">
        <f t="shared" si="25"/>
        <v>0.93279057789298869</v>
      </c>
    </row>
    <row r="1663" spans="1:8" ht="15" customHeight="1" x14ac:dyDescent="0.25">
      <c r="A1663" s="5">
        <v>1657</v>
      </c>
      <c r="B1663" s="10" t="s">
        <v>3328</v>
      </c>
      <c r="C1663" s="10" t="s">
        <v>3329</v>
      </c>
      <c r="D1663" s="7">
        <v>1007.15</v>
      </c>
      <c r="E1663" s="5">
        <v>834</v>
      </c>
      <c r="F1663" s="5">
        <v>128</v>
      </c>
      <c r="G1663" s="12">
        <f>SUM($D$7:D1663)</f>
        <v>9950789.9900000207</v>
      </c>
      <c r="H1663" s="11">
        <f t="shared" si="25"/>
        <v>0.93288499804724057</v>
      </c>
    </row>
    <row r="1664" spans="1:8" ht="15" customHeight="1" x14ac:dyDescent="0.25">
      <c r="A1664" s="5">
        <v>1658</v>
      </c>
      <c r="B1664" s="10" t="s">
        <v>3330</v>
      </c>
      <c r="C1664" s="10" t="s">
        <v>3331</v>
      </c>
      <c r="D1664" s="7">
        <v>1007.08</v>
      </c>
      <c r="E1664" s="5">
        <v>108</v>
      </c>
      <c r="F1664" s="5">
        <v>43</v>
      </c>
      <c r="G1664" s="12">
        <f>SUM($D$7:D1664)</f>
        <v>9951797.0700000208</v>
      </c>
      <c r="H1664" s="11">
        <f t="shared" si="25"/>
        <v>0.93297941163900333</v>
      </c>
    </row>
    <row r="1665" spans="1:8" ht="15" customHeight="1" x14ac:dyDescent="0.25">
      <c r="A1665" s="5">
        <v>1659</v>
      </c>
      <c r="B1665" s="10" t="s">
        <v>3332</v>
      </c>
      <c r="C1665" s="10" t="s">
        <v>3333</v>
      </c>
      <c r="D1665" s="7">
        <v>1006.27</v>
      </c>
      <c r="E1665" s="5">
        <v>893</v>
      </c>
      <c r="F1665" s="5">
        <v>69</v>
      </c>
      <c r="G1665" s="12">
        <f>SUM($D$7:D1665)</f>
        <v>9952803.3400000203</v>
      </c>
      <c r="H1665" s="11">
        <f t="shared" si="25"/>
        <v>0.93307374929339337</v>
      </c>
    </row>
    <row r="1666" spans="1:8" ht="15" customHeight="1" x14ac:dyDescent="0.25">
      <c r="A1666" s="5">
        <v>1660</v>
      </c>
      <c r="B1666" s="10" t="s">
        <v>3334</v>
      </c>
      <c r="C1666" s="10" t="s">
        <v>3335</v>
      </c>
      <c r="D1666" s="7">
        <v>1004.39</v>
      </c>
      <c r="E1666" s="5">
        <v>264</v>
      </c>
      <c r="F1666" s="5">
        <v>104</v>
      </c>
      <c r="G1666" s="12">
        <f>SUM($D$7:D1666)</f>
        <v>9953807.7300000209</v>
      </c>
      <c r="H1666" s="11">
        <f t="shared" si="25"/>
        <v>0.93316791069807892</v>
      </c>
    </row>
    <row r="1667" spans="1:8" ht="15" customHeight="1" x14ac:dyDescent="0.25">
      <c r="A1667" s="5">
        <v>1661</v>
      </c>
      <c r="B1667" s="10" t="s">
        <v>3336</v>
      </c>
      <c r="C1667" s="10" t="s">
        <v>3337</v>
      </c>
      <c r="D1667" s="7">
        <v>1003.19</v>
      </c>
      <c r="E1667" s="5">
        <v>1994</v>
      </c>
      <c r="F1667" s="5">
        <v>172</v>
      </c>
      <c r="G1667" s="12">
        <f>SUM($D$7:D1667)</f>
        <v>9954810.9200000204</v>
      </c>
      <c r="H1667" s="11">
        <f t="shared" si="25"/>
        <v>0.93326195960295288</v>
      </c>
    </row>
    <row r="1668" spans="1:8" ht="15" customHeight="1" x14ac:dyDescent="0.25">
      <c r="A1668" s="5">
        <v>1662</v>
      </c>
      <c r="B1668" s="10" t="s">
        <v>3338</v>
      </c>
      <c r="C1668" s="10" t="s">
        <v>3339</v>
      </c>
      <c r="D1668" s="7">
        <v>1002.54</v>
      </c>
      <c r="E1668" s="5">
        <v>2506</v>
      </c>
      <c r="F1668" s="5">
        <v>111</v>
      </c>
      <c r="G1668" s="12">
        <f>SUM($D$7:D1668)</f>
        <v>9955813.4600000195</v>
      </c>
      <c r="H1668" s="11">
        <f t="shared" si="25"/>
        <v>0.93335594757042895</v>
      </c>
    </row>
    <row r="1669" spans="1:8" ht="15" customHeight="1" x14ac:dyDescent="0.25">
      <c r="A1669" s="5">
        <v>1663</v>
      </c>
      <c r="B1669" s="10" t="s">
        <v>3340</v>
      </c>
      <c r="C1669" s="10" t="s">
        <v>3341</v>
      </c>
      <c r="D1669" s="7">
        <v>1001.49</v>
      </c>
      <c r="E1669" s="5">
        <v>741</v>
      </c>
      <c r="F1669" s="5">
        <v>123</v>
      </c>
      <c r="G1669" s="12">
        <f>SUM($D$7:D1669)</f>
        <v>9956814.9500000197</v>
      </c>
      <c r="H1669" s="11">
        <f t="shared" si="25"/>
        <v>0.93344983710057017</v>
      </c>
    </row>
    <row r="1670" spans="1:8" ht="15" customHeight="1" x14ac:dyDescent="0.25">
      <c r="A1670" s="5">
        <v>1664</v>
      </c>
      <c r="B1670" s="10" t="s">
        <v>3342</v>
      </c>
      <c r="C1670" s="10" t="s">
        <v>3343</v>
      </c>
      <c r="D1670" s="7">
        <v>998.83</v>
      </c>
      <c r="E1670" s="5">
        <v>794</v>
      </c>
      <c r="F1670" s="5">
        <v>120</v>
      </c>
      <c r="G1670" s="12">
        <f>SUM($D$7:D1670)</f>
        <v>9957813.7800000198</v>
      </c>
      <c r="H1670" s="11">
        <f t="shared" si="25"/>
        <v>0.93354347725612929</v>
      </c>
    </row>
    <row r="1671" spans="1:8" ht="15" customHeight="1" x14ac:dyDescent="0.25">
      <c r="A1671" s="5">
        <v>1665</v>
      </c>
      <c r="B1671" s="10" t="s">
        <v>3344</v>
      </c>
      <c r="C1671" s="10" t="s">
        <v>3345</v>
      </c>
      <c r="D1671" s="7">
        <v>998.64</v>
      </c>
      <c r="E1671" s="5">
        <v>215</v>
      </c>
      <c r="F1671" s="5">
        <v>36</v>
      </c>
      <c r="G1671" s="12">
        <f>SUM($D$7:D1671)</f>
        <v>9958812.4200000204</v>
      </c>
      <c r="H1671" s="11">
        <f t="shared" ref="H1671:H1734" si="26">G1671/SUM($D$7:$D$4167)</f>
        <v>0.93363709959921826</v>
      </c>
    </row>
    <row r="1672" spans="1:8" ht="15" customHeight="1" x14ac:dyDescent="0.25">
      <c r="A1672" s="5">
        <v>1666</v>
      </c>
      <c r="B1672" s="10" t="s">
        <v>3346</v>
      </c>
      <c r="C1672" s="10" t="s">
        <v>3347</v>
      </c>
      <c r="D1672" s="7">
        <v>997.47</v>
      </c>
      <c r="E1672" s="5">
        <v>194</v>
      </c>
      <c r="F1672" s="5">
        <v>69</v>
      </c>
      <c r="G1672" s="12">
        <f>SUM($D$7:D1672)</f>
        <v>9959809.8900000211</v>
      </c>
      <c r="H1672" s="11">
        <f t="shared" si="26"/>
        <v>0.9337306122549911</v>
      </c>
    </row>
    <row r="1673" spans="1:8" ht="15" customHeight="1" x14ac:dyDescent="0.25">
      <c r="A1673" s="5">
        <v>1667</v>
      </c>
      <c r="B1673" s="10" t="s">
        <v>3348</v>
      </c>
      <c r="C1673" s="10" t="s">
        <v>3349</v>
      </c>
      <c r="D1673" s="7">
        <v>996.8</v>
      </c>
      <c r="E1673" s="5">
        <v>416</v>
      </c>
      <c r="F1673" s="5">
        <v>146</v>
      </c>
      <c r="G1673" s="12">
        <f>SUM($D$7:D1673)</f>
        <v>9960806.6900000218</v>
      </c>
      <c r="H1673" s="11">
        <f t="shared" si="26"/>
        <v>0.93382406209836921</v>
      </c>
    </row>
    <row r="1674" spans="1:8" ht="15" customHeight="1" x14ac:dyDescent="0.25">
      <c r="A1674" s="5">
        <v>1668</v>
      </c>
      <c r="B1674" s="10" t="s">
        <v>3350</v>
      </c>
      <c r="C1674" s="10" t="s">
        <v>3351</v>
      </c>
      <c r="D1674" s="7">
        <v>996.38</v>
      </c>
      <c r="E1674" s="5">
        <v>334</v>
      </c>
      <c r="F1674" s="5">
        <v>63</v>
      </c>
      <c r="G1674" s="12">
        <f>SUM($D$7:D1674)</f>
        <v>9961803.0700000226</v>
      </c>
      <c r="H1674" s="11">
        <f t="shared" si="26"/>
        <v>0.93391747256681334</v>
      </c>
    </row>
    <row r="1675" spans="1:8" ht="15" customHeight="1" x14ac:dyDescent="0.25">
      <c r="A1675" s="5">
        <v>1669</v>
      </c>
      <c r="B1675" s="10" t="s">
        <v>3352</v>
      </c>
      <c r="C1675" s="10" t="s">
        <v>3353</v>
      </c>
      <c r="D1675" s="7">
        <v>996.26</v>
      </c>
      <c r="E1675" s="5">
        <v>336</v>
      </c>
      <c r="F1675" s="5">
        <v>81</v>
      </c>
      <c r="G1675" s="12">
        <f>SUM($D$7:D1675)</f>
        <v>9962799.3300000224</v>
      </c>
      <c r="H1675" s="11">
        <f t="shared" si="26"/>
        <v>0.93401087178527631</v>
      </c>
    </row>
    <row r="1676" spans="1:8" ht="15" customHeight="1" x14ac:dyDescent="0.25">
      <c r="A1676" s="5">
        <v>1670</v>
      </c>
      <c r="B1676" s="10" t="s">
        <v>1864</v>
      </c>
      <c r="C1676" s="10" t="s">
        <v>3354</v>
      </c>
      <c r="D1676" s="7">
        <v>996</v>
      </c>
      <c r="E1676" s="5">
        <v>240</v>
      </c>
      <c r="F1676" s="5">
        <v>1</v>
      </c>
      <c r="G1676" s="12">
        <f>SUM($D$7:D1676)</f>
        <v>9963795.3300000224</v>
      </c>
      <c r="H1676" s="11">
        <f t="shared" si="26"/>
        <v>0.93410424662878</v>
      </c>
    </row>
    <row r="1677" spans="1:8" ht="15" customHeight="1" x14ac:dyDescent="0.25">
      <c r="A1677" s="5">
        <v>1671</v>
      </c>
      <c r="B1677" s="10" t="s">
        <v>3355</v>
      </c>
      <c r="C1677" s="10" t="s">
        <v>3356</v>
      </c>
      <c r="D1677" s="7">
        <v>994.84</v>
      </c>
      <c r="E1677" s="5">
        <v>1296</v>
      </c>
      <c r="F1677" s="5">
        <v>91</v>
      </c>
      <c r="G1677" s="12">
        <f>SUM($D$7:D1677)</f>
        <v>9964790.1700000223</v>
      </c>
      <c r="H1677" s="11">
        <f t="shared" si="26"/>
        <v>0.93419751272246609</v>
      </c>
    </row>
    <row r="1678" spans="1:8" ht="15" customHeight="1" x14ac:dyDescent="0.25">
      <c r="A1678" s="5">
        <v>1672</v>
      </c>
      <c r="B1678" s="10" t="s">
        <v>3357</v>
      </c>
      <c r="C1678" s="10" t="s">
        <v>3358</v>
      </c>
      <c r="D1678" s="7">
        <v>994.38</v>
      </c>
      <c r="E1678" s="5">
        <v>640</v>
      </c>
      <c r="F1678" s="5">
        <v>34</v>
      </c>
      <c r="G1678" s="12">
        <f>SUM($D$7:D1678)</f>
        <v>9965784.5500000231</v>
      </c>
      <c r="H1678" s="11">
        <f t="shared" si="26"/>
        <v>0.93429073569122445</v>
      </c>
    </row>
    <row r="1679" spans="1:8" ht="15" customHeight="1" x14ac:dyDescent="0.25">
      <c r="A1679" s="5">
        <v>1673</v>
      </c>
      <c r="B1679" s="10" t="s">
        <v>3359</v>
      </c>
      <c r="C1679" s="10" t="s">
        <v>3360</v>
      </c>
      <c r="D1679" s="7">
        <v>992.79</v>
      </c>
      <c r="E1679" s="5">
        <v>737</v>
      </c>
      <c r="F1679" s="5">
        <v>66</v>
      </c>
      <c r="G1679" s="12">
        <f>SUM($D$7:D1679)</f>
        <v>9966777.3400000222</v>
      </c>
      <c r="H1679" s="11">
        <f t="shared" si="26"/>
        <v>0.93438380959773248</v>
      </c>
    </row>
    <row r="1680" spans="1:8" ht="15" customHeight="1" x14ac:dyDescent="0.25">
      <c r="A1680" s="5">
        <v>1674</v>
      </c>
      <c r="B1680" s="10" t="s">
        <v>3361</v>
      </c>
      <c r="C1680" s="10" t="s">
        <v>3362</v>
      </c>
      <c r="D1680" s="7">
        <v>988.18</v>
      </c>
      <c r="E1680" s="5">
        <v>486</v>
      </c>
      <c r="F1680" s="5">
        <v>103</v>
      </c>
      <c r="G1680" s="12">
        <f>SUM($D$7:D1680)</f>
        <v>9967765.5200000219</v>
      </c>
      <c r="H1680" s="11">
        <f t="shared" si="26"/>
        <v>0.93447645131746493</v>
      </c>
    </row>
    <row r="1681" spans="1:8" ht="15" customHeight="1" x14ac:dyDescent="0.25">
      <c r="A1681" s="5">
        <v>1675</v>
      </c>
      <c r="B1681" s="10" t="s">
        <v>3363</v>
      </c>
      <c r="C1681" s="10" t="s">
        <v>3364</v>
      </c>
      <c r="D1681" s="7">
        <v>985.88</v>
      </c>
      <c r="E1681" s="5">
        <v>1262</v>
      </c>
      <c r="F1681" s="5">
        <v>99</v>
      </c>
      <c r="G1681" s="12">
        <f>SUM($D$7:D1681)</f>
        <v>9968751.4000000227</v>
      </c>
      <c r="H1681" s="11">
        <f t="shared" si="26"/>
        <v>0.9345688774125589</v>
      </c>
    </row>
    <row r="1682" spans="1:8" ht="15" customHeight="1" x14ac:dyDescent="0.25">
      <c r="A1682" s="5">
        <v>1676</v>
      </c>
      <c r="B1682" s="10" t="s">
        <v>3365</v>
      </c>
      <c r="C1682" s="10" t="s">
        <v>3366</v>
      </c>
      <c r="D1682" s="7">
        <v>985.84</v>
      </c>
      <c r="E1682" s="5">
        <v>451</v>
      </c>
      <c r="F1682" s="5">
        <v>58</v>
      </c>
      <c r="G1682" s="12">
        <f>SUM($D$7:D1682)</f>
        <v>9969737.2400000226</v>
      </c>
      <c r="H1682" s="11">
        <f t="shared" si="26"/>
        <v>0.93466129975765899</v>
      </c>
    </row>
    <row r="1683" spans="1:8" ht="15" customHeight="1" x14ac:dyDescent="0.25">
      <c r="A1683" s="5">
        <v>1677</v>
      </c>
      <c r="B1683" s="10" t="s">
        <v>3367</v>
      </c>
      <c r="C1683" s="10" t="s">
        <v>3368</v>
      </c>
      <c r="D1683" s="7">
        <v>984.57</v>
      </c>
      <c r="E1683" s="5">
        <v>1862</v>
      </c>
      <c r="F1683" s="5">
        <v>223</v>
      </c>
      <c r="G1683" s="12">
        <f>SUM($D$7:D1683)</f>
        <v>9970721.8100000229</v>
      </c>
      <c r="H1683" s="11">
        <f t="shared" si="26"/>
        <v>0.93475360304045874</v>
      </c>
    </row>
    <row r="1684" spans="1:8" ht="15" customHeight="1" x14ac:dyDescent="0.25">
      <c r="A1684" s="5">
        <v>1678</v>
      </c>
      <c r="B1684" s="10" t="s">
        <v>3369</v>
      </c>
      <c r="C1684" s="10" t="s">
        <v>3370</v>
      </c>
      <c r="D1684" s="7">
        <v>984.47</v>
      </c>
      <c r="E1684" s="5">
        <v>739</v>
      </c>
      <c r="F1684" s="5">
        <v>63</v>
      </c>
      <c r="G1684" s="12">
        <f>SUM($D$7:D1684)</f>
        <v>9971706.2800000235</v>
      </c>
      <c r="H1684" s="11">
        <f t="shared" si="26"/>
        <v>0.93484589694827425</v>
      </c>
    </row>
    <row r="1685" spans="1:8" ht="15" customHeight="1" x14ac:dyDescent="0.25">
      <c r="A1685" s="5">
        <v>1679</v>
      </c>
      <c r="B1685" s="10" t="s">
        <v>3371</v>
      </c>
      <c r="C1685" s="10" t="s">
        <v>3372</v>
      </c>
      <c r="D1685" s="7">
        <v>983.3</v>
      </c>
      <c r="E1685" s="5">
        <v>362</v>
      </c>
      <c r="F1685" s="5">
        <v>44</v>
      </c>
      <c r="G1685" s="12">
        <f>SUM($D$7:D1685)</f>
        <v>9972689.5800000243</v>
      </c>
      <c r="H1685" s="11">
        <f t="shared" si="26"/>
        <v>0.93493808116877353</v>
      </c>
    </row>
    <row r="1686" spans="1:8" ht="15" customHeight="1" x14ac:dyDescent="0.25">
      <c r="A1686" s="5">
        <v>1680</v>
      </c>
      <c r="B1686" s="10" t="s">
        <v>3373</v>
      </c>
      <c r="C1686" s="10" t="s">
        <v>3374</v>
      </c>
      <c r="D1686" s="7">
        <v>980.7</v>
      </c>
      <c r="E1686" s="5">
        <v>253</v>
      </c>
      <c r="F1686" s="5">
        <v>96</v>
      </c>
      <c r="G1686" s="12">
        <f>SUM($D$7:D1686)</f>
        <v>9973670.2800000235</v>
      </c>
      <c r="H1686" s="11">
        <f t="shared" si="26"/>
        <v>0.93503002163968119</v>
      </c>
    </row>
    <row r="1687" spans="1:8" ht="15" customHeight="1" x14ac:dyDescent="0.25">
      <c r="A1687" s="5">
        <v>1681</v>
      </c>
      <c r="B1687" s="10" t="s">
        <v>3375</v>
      </c>
      <c r="C1687" s="10" t="s">
        <v>3376</v>
      </c>
      <c r="D1687" s="7">
        <v>979.48</v>
      </c>
      <c r="E1687" s="5">
        <v>641</v>
      </c>
      <c r="F1687" s="5">
        <v>153</v>
      </c>
      <c r="G1687" s="12">
        <f>SUM($D$7:D1687)</f>
        <v>9974649.760000024</v>
      </c>
      <c r="H1687" s="11">
        <f t="shared" si="26"/>
        <v>0.93512184773578078</v>
      </c>
    </row>
    <row r="1688" spans="1:8" ht="15" customHeight="1" x14ac:dyDescent="0.25">
      <c r="A1688" s="5">
        <v>1682</v>
      </c>
      <c r="B1688" s="10" t="s">
        <v>3377</v>
      </c>
      <c r="C1688" s="10" t="s">
        <v>3378</v>
      </c>
      <c r="D1688" s="7">
        <v>977.76</v>
      </c>
      <c r="E1688" s="5">
        <v>1159</v>
      </c>
      <c r="F1688" s="5">
        <v>61</v>
      </c>
      <c r="G1688" s="12">
        <f>SUM($D$7:D1688)</f>
        <v>9975627.5200000238</v>
      </c>
      <c r="H1688" s="11">
        <f t="shared" si="26"/>
        <v>0.93521351258215046</v>
      </c>
    </row>
    <row r="1689" spans="1:8" ht="15" customHeight="1" x14ac:dyDescent="0.25">
      <c r="A1689" s="5">
        <v>1683</v>
      </c>
      <c r="B1689" s="10" t="s">
        <v>3379</v>
      </c>
      <c r="C1689" s="10" t="s">
        <v>3380</v>
      </c>
      <c r="D1689" s="7">
        <v>977.39</v>
      </c>
      <c r="E1689" s="5">
        <v>478</v>
      </c>
      <c r="F1689" s="5">
        <v>74</v>
      </c>
      <c r="G1689" s="12">
        <f>SUM($D$7:D1689)</f>
        <v>9976604.9100000244</v>
      </c>
      <c r="H1689" s="11">
        <f t="shared" si="26"/>
        <v>0.93530514274107834</v>
      </c>
    </row>
    <row r="1690" spans="1:8" ht="15" customHeight="1" x14ac:dyDescent="0.25">
      <c r="A1690" s="5">
        <v>1684</v>
      </c>
      <c r="B1690" s="10" t="s">
        <v>3381</v>
      </c>
      <c r="C1690" s="10" t="s">
        <v>3382</v>
      </c>
      <c r="D1690" s="7">
        <v>977.32</v>
      </c>
      <c r="E1690" s="5">
        <v>501</v>
      </c>
      <c r="F1690" s="5">
        <v>57</v>
      </c>
      <c r="G1690" s="12">
        <f>SUM($D$7:D1690)</f>
        <v>9977582.2300000247</v>
      </c>
      <c r="H1690" s="11">
        <f t="shared" si="26"/>
        <v>0.93539676633751723</v>
      </c>
    </row>
    <row r="1691" spans="1:8" ht="15" customHeight="1" x14ac:dyDescent="0.25">
      <c r="A1691" s="5">
        <v>1685</v>
      </c>
      <c r="B1691" s="10" t="s">
        <v>3383</v>
      </c>
      <c r="C1691" s="10" t="s">
        <v>3384</v>
      </c>
      <c r="D1691" s="7">
        <v>976.25</v>
      </c>
      <c r="E1691" s="5">
        <v>215</v>
      </c>
      <c r="F1691" s="5">
        <v>30</v>
      </c>
      <c r="G1691" s="12">
        <f>SUM($D$7:D1691)</f>
        <v>9978558.4800000247</v>
      </c>
      <c r="H1691" s="11">
        <f t="shared" si="26"/>
        <v>0.93548828962162422</v>
      </c>
    </row>
    <row r="1692" spans="1:8" ht="15" customHeight="1" x14ac:dyDescent="0.25">
      <c r="A1692" s="5">
        <v>1686</v>
      </c>
      <c r="B1692" s="10" t="s">
        <v>3385</v>
      </c>
      <c r="C1692" s="10" t="s">
        <v>3386</v>
      </c>
      <c r="D1692" s="7">
        <v>973.15</v>
      </c>
      <c r="E1692" s="5">
        <v>710</v>
      </c>
      <c r="F1692" s="5">
        <v>126</v>
      </c>
      <c r="G1692" s="12">
        <f>SUM($D$7:D1692)</f>
        <v>9979531.630000025</v>
      </c>
      <c r="H1692" s="11">
        <f t="shared" si="26"/>
        <v>0.93557952228121832</v>
      </c>
    </row>
    <row r="1693" spans="1:8" ht="15" customHeight="1" x14ac:dyDescent="0.25">
      <c r="A1693" s="5">
        <v>1687</v>
      </c>
      <c r="B1693" s="10" t="s">
        <v>2285</v>
      </c>
      <c r="C1693" s="10" t="s">
        <v>3387</v>
      </c>
      <c r="D1693" s="7">
        <v>971.44</v>
      </c>
      <c r="E1693" s="5">
        <v>653</v>
      </c>
      <c r="F1693" s="5">
        <v>43</v>
      </c>
      <c r="G1693" s="12">
        <f>SUM($D$7:D1693)</f>
        <v>9980503.0700000245</v>
      </c>
      <c r="H1693" s="11">
        <f t="shared" si="26"/>
        <v>0.93567059462858093</v>
      </c>
    </row>
    <row r="1694" spans="1:8" ht="15" customHeight="1" x14ac:dyDescent="0.25">
      <c r="A1694" s="5">
        <v>1688</v>
      </c>
      <c r="B1694" s="10" t="s">
        <v>3388</v>
      </c>
      <c r="C1694" s="10" t="s">
        <v>3389</v>
      </c>
      <c r="D1694" s="7">
        <v>969.8</v>
      </c>
      <c r="E1694" s="5">
        <v>172</v>
      </c>
      <c r="F1694" s="5">
        <v>48</v>
      </c>
      <c r="G1694" s="12">
        <f>SUM($D$7:D1694)</f>
        <v>9981472.8700000253</v>
      </c>
      <c r="H1694" s="11">
        <f t="shared" si="26"/>
        <v>0.93576151322620149</v>
      </c>
    </row>
    <row r="1695" spans="1:8" ht="15" customHeight="1" x14ac:dyDescent="0.25">
      <c r="A1695" s="5">
        <v>1689</v>
      </c>
      <c r="B1695" s="10" t="s">
        <v>3390</v>
      </c>
      <c r="C1695" s="10" t="s">
        <v>3391</v>
      </c>
      <c r="D1695" s="7">
        <v>969.64</v>
      </c>
      <c r="E1695" s="5">
        <v>770</v>
      </c>
      <c r="F1695" s="5">
        <v>74</v>
      </c>
      <c r="G1695" s="12">
        <f>SUM($D$7:D1695)</f>
        <v>9982442.5100000259</v>
      </c>
      <c r="H1695" s="11">
        <f t="shared" si="26"/>
        <v>0.93585241682384712</v>
      </c>
    </row>
    <row r="1696" spans="1:8" ht="15" customHeight="1" x14ac:dyDescent="0.25">
      <c r="A1696" s="5">
        <v>1690</v>
      </c>
      <c r="B1696" s="10" t="s">
        <v>3392</v>
      </c>
      <c r="C1696" s="10" t="s">
        <v>3393</v>
      </c>
      <c r="D1696" s="7">
        <v>968.37</v>
      </c>
      <c r="E1696" s="5">
        <v>950</v>
      </c>
      <c r="F1696" s="5">
        <v>173</v>
      </c>
      <c r="G1696" s="12">
        <f>SUM($D$7:D1696)</f>
        <v>9983410.880000025</v>
      </c>
      <c r="H1696" s="11">
        <f t="shared" si="26"/>
        <v>0.93594320135919218</v>
      </c>
    </row>
    <row r="1697" spans="1:8" ht="15" customHeight="1" x14ac:dyDescent="0.25">
      <c r="A1697" s="5">
        <v>1691</v>
      </c>
      <c r="B1697" s="10" t="s">
        <v>3394</v>
      </c>
      <c r="C1697" s="10" t="s">
        <v>3395</v>
      </c>
      <c r="D1697" s="7">
        <v>968.21</v>
      </c>
      <c r="E1697" s="5">
        <v>1157</v>
      </c>
      <c r="F1697" s="5">
        <v>122</v>
      </c>
      <c r="G1697" s="12">
        <f>SUM($D$7:D1697)</f>
        <v>9984379.0900000259</v>
      </c>
      <c r="H1697" s="11">
        <f t="shared" si="26"/>
        <v>0.93603397089456253</v>
      </c>
    </row>
    <row r="1698" spans="1:8" ht="15" customHeight="1" x14ac:dyDescent="0.25">
      <c r="A1698" s="5">
        <v>1692</v>
      </c>
      <c r="B1698" s="10" t="s">
        <v>3396</v>
      </c>
      <c r="C1698" s="10" t="s">
        <v>3397</v>
      </c>
      <c r="D1698" s="7">
        <v>967.76</v>
      </c>
      <c r="E1698" s="5">
        <v>1953</v>
      </c>
      <c r="F1698" s="5">
        <v>123</v>
      </c>
      <c r="G1698" s="12">
        <f>SUM($D$7:D1698)</f>
        <v>9985346.8500000257</v>
      </c>
      <c r="H1698" s="11">
        <f t="shared" si="26"/>
        <v>0.93612469824250344</v>
      </c>
    </row>
    <row r="1699" spans="1:8" ht="15" customHeight="1" x14ac:dyDescent="0.25">
      <c r="A1699" s="5">
        <v>1693</v>
      </c>
      <c r="B1699" s="10" t="s">
        <v>3398</v>
      </c>
      <c r="C1699" s="10" t="s">
        <v>3399</v>
      </c>
      <c r="D1699" s="7">
        <v>967.17</v>
      </c>
      <c r="E1699" s="5">
        <v>226</v>
      </c>
      <c r="F1699" s="5">
        <v>84</v>
      </c>
      <c r="G1699" s="12">
        <f>SUM($D$7:D1699)</f>
        <v>9986314.0200000256</v>
      </c>
      <c r="H1699" s="11">
        <f t="shared" si="26"/>
        <v>0.93621537027803714</v>
      </c>
    </row>
    <row r="1700" spans="1:8" ht="15" customHeight="1" x14ac:dyDescent="0.25">
      <c r="A1700" s="5">
        <v>1694</v>
      </c>
      <c r="B1700" s="10" t="s">
        <v>3400</v>
      </c>
      <c r="C1700" s="10" t="s">
        <v>3401</v>
      </c>
      <c r="D1700" s="7">
        <v>966.78</v>
      </c>
      <c r="E1700" s="5">
        <v>1116</v>
      </c>
      <c r="F1700" s="5">
        <v>128</v>
      </c>
      <c r="G1700" s="12">
        <f>SUM($D$7:D1700)</f>
        <v>9987280.800000025</v>
      </c>
      <c r="H1700" s="11">
        <f t="shared" si="26"/>
        <v>0.93630600575113199</v>
      </c>
    </row>
    <row r="1701" spans="1:8" ht="15" customHeight="1" x14ac:dyDescent="0.25">
      <c r="A1701" s="5">
        <v>1695</v>
      </c>
      <c r="B1701" s="10" t="s">
        <v>3402</v>
      </c>
      <c r="C1701" s="10" t="s">
        <v>3403</v>
      </c>
      <c r="D1701" s="7">
        <v>964.38</v>
      </c>
      <c r="E1701" s="5">
        <v>978</v>
      </c>
      <c r="F1701" s="5">
        <v>118</v>
      </c>
      <c r="G1701" s="12">
        <f>SUM($D$7:D1701)</f>
        <v>9988245.1800000258</v>
      </c>
      <c r="H1701" s="11">
        <f t="shared" si="26"/>
        <v>0.93639641622460412</v>
      </c>
    </row>
    <row r="1702" spans="1:8" ht="15" customHeight="1" x14ac:dyDescent="0.25">
      <c r="A1702" s="5">
        <v>1696</v>
      </c>
      <c r="B1702" s="10" t="s">
        <v>3404</v>
      </c>
      <c r="C1702" s="10" t="s">
        <v>3405</v>
      </c>
      <c r="D1702" s="7">
        <v>963.27</v>
      </c>
      <c r="E1702" s="5">
        <v>343</v>
      </c>
      <c r="F1702" s="5">
        <v>71</v>
      </c>
      <c r="G1702" s="12">
        <f>SUM($D$7:D1702)</f>
        <v>9989208.4500000253</v>
      </c>
      <c r="H1702" s="11">
        <f t="shared" si="26"/>
        <v>0.9364867226357505</v>
      </c>
    </row>
    <row r="1703" spans="1:8" ht="15" customHeight="1" x14ac:dyDescent="0.25">
      <c r="A1703" s="5">
        <v>1697</v>
      </c>
      <c r="B1703" s="10" t="s">
        <v>3406</v>
      </c>
      <c r="C1703" s="10" t="s">
        <v>3407</v>
      </c>
      <c r="D1703" s="7">
        <v>962.96</v>
      </c>
      <c r="E1703" s="5">
        <v>845</v>
      </c>
      <c r="F1703" s="5">
        <v>107</v>
      </c>
      <c r="G1703" s="12">
        <f>SUM($D$7:D1703)</f>
        <v>9990171.4100000262</v>
      </c>
      <c r="H1703" s="11">
        <f t="shared" si="26"/>
        <v>0.93657699998444577</v>
      </c>
    </row>
    <row r="1704" spans="1:8" ht="15" customHeight="1" x14ac:dyDescent="0.25">
      <c r="A1704" s="5">
        <v>1698</v>
      </c>
      <c r="B1704" s="10" t="s">
        <v>3408</v>
      </c>
      <c r="C1704" s="10" t="s">
        <v>3409</v>
      </c>
      <c r="D1704" s="7">
        <v>960.86</v>
      </c>
      <c r="E1704" s="5">
        <v>2519</v>
      </c>
      <c r="F1704" s="5">
        <v>91</v>
      </c>
      <c r="G1704" s="12">
        <f>SUM($D$7:D1704)</f>
        <v>9991132.2700000256</v>
      </c>
      <c r="H1704" s="11">
        <f t="shared" si="26"/>
        <v>0.9366670804584708</v>
      </c>
    </row>
    <row r="1705" spans="1:8" ht="15" customHeight="1" x14ac:dyDescent="0.25">
      <c r="A1705" s="5">
        <v>1699</v>
      </c>
      <c r="B1705" s="10" t="s">
        <v>3410</v>
      </c>
      <c r="C1705" s="10" t="s">
        <v>3411</v>
      </c>
      <c r="D1705" s="7">
        <v>959.7</v>
      </c>
      <c r="E1705" s="5">
        <v>1019</v>
      </c>
      <c r="F1705" s="5">
        <v>187</v>
      </c>
      <c r="G1705" s="12">
        <f>SUM($D$7:D1705)</f>
        <v>9992091.9700000249</v>
      </c>
      <c r="H1705" s="11">
        <f t="shared" si="26"/>
        <v>0.93675705218267813</v>
      </c>
    </row>
    <row r="1706" spans="1:8" ht="15" customHeight="1" x14ac:dyDescent="0.25">
      <c r="A1706" s="5">
        <v>1700</v>
      </c>
      <c r="B1706" s="10" t="s">
        <v>3412</v>
      </c>
      <c r="C1706" s="10" t="s">
        <v>3413</v>
      </c>
      <c r="D1706" s="7">
        <v>958.57</v>
      </c>
      <c r="E1706" s="5">
        <v>717</v>
      </c>
      <c r="F1706" s="5">
        <v>88</v>
      </c>
      <c r="G1706" s="12">
        <f>SUM($D$7:D1706)</f>
        <v>9993050.5400000252</v>
      </c>
      <c r="H1706" s="11">
        <f t="shared" si="26"/>
        <v>0.9368469179695631</v>
      </c>
    </row>
    <row r="1707" spans="1:8" ht="15" customHeight="1" x14ac:dyDescent="0.25">
      <c r="A1707" s="5">
        <v>1701</v>
      </c>
      <c r="B1707" s="10" t="s">
        <v>3414</v>
      </c>
      <c r="C1707" s="10" t="s">
        <v>3415</v>
      </c>
      <c r="D1707" s="7">
        <v>958.2</v>
      </c>
      <c r="E1707" s="5">
        <v>2197</v>
      </c>
      <c r="F1707" s="5">
        <v>218</v>
      </c>
      <c r="G1707" s="12">
        <f>SUM($D$7:D1707)</f>
        <v>9994008.7400000244</v>
      </c>
      <c r="H1707" s="11">
        <f t="shared" si="26"/>
        <v>0.93693674906900615</v>
      </c>
    </row>
    <row r="1708" spans="1:8" ht="15" customHeight="1" x14ac:dyDescent="0.25">
      <c r="A1708" s="5">
        <v>1702</v>
      </c>
      <c r="B1708" s="10" t="s">
        <v>3416</v>
      </c>
      <c r="C1708" s="10" t="s">
        <v>3417</v>
      </c>
      <c r="D1708" s="7">
        <v>958.06</v>
      </c>
      <c r="E1708" s="5">
        <v>1236</v>
      </c>
      <c r="F1708" s="5">
        <v>205</v>
      </c>
      <c r="G1708" s="12">
        <f>SUM($D$7:D1708)</f>
        <v>9994966.800000025</v>
      </c>
      <c r="H1708" s="11">
        <f t="shared" si="26"/>
        <v>0.9370265670434712</v>
      </c>
    </row>
    <row r="1709" spans="1:8" ht="15" customHeight="1" x14ac:dyDescent="0.25">
      <c r="A1709" s="5">
        <v>1703</v>
      </c>
      <c r="B1709" s="10" t="s">
        <v>3246</v>
      </c>
      <c r="C1709" s="10" t="s">
        <v>3418</v>
      </c>
      <c r="D1709" s="7">
        <v>956.05</v>
      </c>
      <c r="E1709" s="5">
        <v>319</v>
      </c>
      <c r="F1709" s="5">
        <v>26</v>
      </c>
      <c r="G1709" s="12">
        <f>SUM($D$7:D1709)</f>
        <v>9995922.8500000257</v>
      </c>
      <c r="H1709" s="11">
        <f t="shared" si="26"/>
        <v>0.93711619658075218</v>
      </c>
    </row>
    <row r="1710" spans="1:8" ht="15" customHeight="1" x14ac:dyDescent="0.25">
      <c r="A1710" s="5">
        <v>1704</v>
      </c>
      <c r="B1710" s="10" t="s">
        <v>3419</v>
      </c>
      <c r="C1710" s="10" t="s">
        <v>3420</v>
      </c>
      <c r="D1710" s="7">
        <v>955.42</v>
      </c>
      <c r="E1710" s="5">
        <v>2272</v>
      </c>
      <c r="F1710" s="5">
        <v>119</v>
      </c>
      <c r="G1710" s="12">
        <f>SUM($D$7:D1710)</f>
        <v>9996878.2700000256</v>
      </c>
      <c r="H1710" s="11">
        <f t="shared" si="26"/>
        <v>0.93720576705563208</v>
      </c>
    </row>
    <row r="1711" spans="1:8" ht="15" customHeight="1" x14ac:dyDescent="0.25">
      <c r="A1711" s="5">
        <v>1705</v>
      </c>
      <c r="B1711" s="10" t="s">
        <v>3421</v>
      </c>
      <c r="C1711" s="10" t="s">
        <v>3422</v>
      </c>
      <c r="D1711" s="7">
        <v>953.86</v>
      </c>
      <c r="E1711" s="5">
        <v>1027</v>
      </c>
      <c r="F1711" s="5">
        <v>137</v>
      </c>
      <c r="G1711" s="12">
        <f>SUM($D$7:D1711)</f>
        <v>9997832.130000025</v>
      </c>
      <c r="H1711" s="11">
        <f t="shared" si="26"/>
        <v>0.937295191280757</v>
      </c>
    </row>
    <row r="1712" spans="1:8" ht="15" customHeight="1" x14ac:dyDescent="0.25">
      <c r="A1712" s="5">
        <v>1706</v>
      </c>
      <c r="B1712" s="10" t="s">
        <v>3423</v>
      </c>
      <c r="C1712" s="10" t="s">
        <v>3424</v>
      </c>
      <c r="D1712" s="7">
        <v>952.83</v>
      </c>
      <c r="E1712" s="5">
        <v>273</v>
      </c>
      <c r="F1712" s="5">
        <v>124</v>
      </c>
      <c r="G1712" s="12">
        <f>SUM($D$7:D1712)</f>
        <v>9998784.9600000251</v>
      </c>
      <c r="H1712" s="11">
        <f t="shared" si="26"/>
        <v>0.93738451894354391</v>
      </c>
    </row>
    <row r="1713" spans="1:8" ht="15" customHeight="1" x14ac:dyDescent="0.25">
      <c r="A1713" s="5">
        <v>1707</v>
      </c>
      <c r="B1713" s="10" t="s">
        <v>3425</v>
      </c>
      <c r="C1713" s="10" t="s">
        <v>3426</v>
      </c>
      <c r="D1713" s="7">
        <v>951.79</v>
      </c>
      <c r="E1713" s="5">
        <v>811</v>
      </c>
      <c r="F1713" s="5">
        <v>62</v>
      </c>
      <c r="G1713" s="12">
        <f>SUM($D$7:D1713)</f>
        <v>9999736.7500000242</v>
      </c>
      <c r="H1713" s="11">
        <f t="shared" si="26"/>
        <v>0.93747374910649406</v>
      </c>
    </row>
    <row r="1714" spans="1:8" ht="15" customHeight="1" x14ac:dyDescent="0.25">
      <c r="A1714" s="5">
        <v>1708</v>
      </c>
      <c r="B1714" s="10" t="s">
        <v>2726</v>
      </c>
      <c r="C1714" s="10" t="s">
        <v>3427</v>
      </c>
      <c r="D1714" s="7">
        <v>950.83</v>
      </c>
      <c r="E1714" s="5">
        <v>185</v>
      </c>
      <c r="F1714" s="5">
        <v>45</v>
      </c>
      <c r="G1714" s="12">
        <f>SUM($D$7:D1714)</f>
        <v>10000687.580000024</v>
      </c>
      <c r="H1714" s="11">
        <f t="shared" si="26"/>
        <v>0.93756288926959508</v>
      </c>
    </row>
    <row r="1715" spans="1:8" ht="15" customHeight="1" x14ac:dyDescent="0.25">
      <c r="A1715" s="5">
        <v>1709</v>
      </c>
      <c r="B1715" s="10" t="s">
        <v>3428</v>
      </c>
      <c r="C1715" s="10" t="s">
        <v>3429</v>
      </c>
      <c r="D1715" s="7">
        <v>950.49</v>
      </c>
      <c r="E1715" s="5">
        <v>517</v>
      </c>
      <c r="F1715" s="5">
        <v>66</v>
      </c>
      <c r="G1715" s="12">
        <f>SUM($D$7:D1715)</f>
        <v>10001638.070000025</v>
      </c>
      <c r="H1715" s="11">
        <f t="shared" si="26"/>
        <v>0.93765199755774964</v>
      </c>
    </row>
    <row r="1716" spans="1:8" ht="15" customHeight="1" x14ac:dyDescent="0.25">
      <c r="A1716" s="5">
        <v>1710</v>
      </c>
      <c r="B1716" s="10" t="s">
        <v>3430</v>
      </c>
      <c r="C1716" s="10" t="s">
        <v>3431</v>
      </c>
      <c r="D1716" s="7">
        <v>949.92</v>
      </c>
      <c r="E1716" s="5">
        <v>1857</v>
      </c>
      <c r="F1716" s="5">
        <v>245</v>
      </c>
      <c r="G1716" s="12">
        <f>SUM($D$7:D1716)</f>
        <v>10002587.990000024</v>
      </c>
      <c r="H1716" s="11">
        <f t="shared" si="26"/>
        <v>0.9377410524084937</v>
      </c>
    </row>
    <row r="1717" spans="1:8" ht="15" customHeight="1" x14ac:dyDescent="0.25">
      <c r="A1717" s="5">
        <v>1711</v>
      </c>
      <c r="B1717" s="10" t="s">
        <v>3432</v>
      </c>
      <c r="C1717" s="10" t="s">
        <v>3433</v>
      </c>
      <c r="D1717" s="7">
        <v>948.7</v>
      </c>
      <c r="E1717" s="5">
        <v>310</v>
      </c>
      <c r="F1717" s="5">
        <v>58</v>
      </c>
      <c r="G1717" s="12">
        <f>SUM($D$7:D1717)</f>
        <v>10003536.690000024</v>
      </c>
      <c r="H1717" s="11">
        <f t="shared" si="26"/>
        <v>0.93782999288442936</v>
      </c>
    </row>
    <row r="1718" spans="1:8" ht="15" customHeight="1" x14ac:dyDescent="0.25">
      <c r="A1718" s="5">
        <v>1712</v>
      </c>
      <c r="B1718" s="10" t="s">
        <v>3434</v>
      </c>
      <c r="C1718" s="10" t="s">
        <v>3435</v>
      </c>
      <c r="D1718" s="7">
        <v>946.93</v>
      </c>
      <c r="E1718" s="5">
        <v>408</v>
      </c>
      <c r="F1718" s="5">
        <v>41</v>
      </c>
      <c r="G1718" s="12">
        <f>SUM($D$7:D1718)</f>
        <v>10004483.620000023</v>
      </c>
      <c r="H1718" s="11">
        <f t="shared" si="26"/>
        <v>0.93791876742314328</v>
      </c>
    </row>
    <row r="1719" spans="1:8" ht="15" customHeight="1" x14ac:dyDescent="0.25">
      <c r="A1719" s="5">
        <v>1713</v>
      </c>
      <c r="B1719" s="10" t="s">
        <v>3436</v>
      </c>
      <c r="C1719" s="10" t="s">
        <v>3437</v>
      </c>
      <c r="D1719" s="7">
        <v>946.83</v>
      </c>
      <c r="E1719" s="5">
        <v>321</v>
      </c>
      <c r="F1719" s="5">
        <v>60</v>
      </c>
      <c r="G1719" s="12">
        <f>SUM($D$7:D1719)</f>
        <v>10005430.450000023</v>
      </c>
      <c r="H1719" s="11">
        <f t="shared" si="26"/>
        <v>0.93800753258687286</v>
      </c>
    </row>
    <row r="1720" spans="1:8" ht="15" customHeight="1" x14ac:dyDescent="0.25">
      <c r="A1720" s="5">
        <v>1714</v>
      </c>
      <c r="B1720" s="10" t="s">
        <v>3438</v>
      </c>
      <c r="C1720" s="10" t="s">
        <v>3439</v>
      </c>
      <c r="D1720" s="7">
        <v>946.13</v>
      </c>
      <c r="E1720" s="5">
        <v>1987</v>
      </c>
      <c r="F1720" s="5">
        <v>245</v>
      </c>
      <c r="G1720" s="12">
        <f>SUM($D$7:D1720)</f>
        <v>10006376.580000024</v>
      </c>
      <c r="H1720" s="11">
        <f t="shared" si="26"/>
        <v>0.93809623212571247</v>
      </c>
    </row>
    <row r="1721" spans="1:8" ht="15" customHeight="1" x14ac:dyDescent="0.25">
      <c r="A1721" s="5">
        <v>1715</v>
      </c>
      <c r="B1721" s="10" t="s">
        <v>3440</v>
      </c>
      <c r="C1721" s="10" t="s">
        <v>3441</v>
      </c>
      <c r="D1721" s="7">
        <v>945.95</v>
      </c>
      <c r="E1721" s="5">
        <v>244</v>
      </c>
      <c r="F1721" s="5">
        <v>53</v>
      </c>
      <c r="G1721" s="12">
        <f>SUM($D$7:D1721)</f>
        <v>10007322.530000024</v>
      </c>
      <c r="H1721" s="11">
        <f t="shared" si="26"/>
        <v>0.93818491478958033</v>
      </c>
    </row>
    <row r="1722" spans="1:8" ht="15" customHeight="1" x14ac:dyDescent="0.25">
      <c r="A1722" s="5">
        <v>1716</v>
      </c>
      <c r="B1722" s="10" t="s">
        <v>3442</v>
      </c>
      <c r="C1722" s="10" t="s">
        <v>3443</v>
      </c>
      <c r="D1722" s="7">
        <v>945.46</v>
      </c>
      <c r="E1722" s="5">
        <v>2210</v>
      </c>
      <c r="F1722" s="5">
        <v>167</v>
      </c>
      <c r="G1722" s="12">
        <f>SUM($D$7:D1722)</f>
        <v>10008267.990000024</v>
      </c>
      <c r="H1722" s="11">
        <f t="shared" si="26"/>
        <v>0.93827355151602521</v>
      </c>
    </row>
    <row r="1723" spans="1:8" ht="15" customHeight="1" x14ac:dyDescent="0.25">
      <c r="A1723" s="5">
        <v>1717</v>
      </c>
      <c r="B1723" s="10" t="s">
        <v>3444</v>
      </c>
      <c r="C1723" s="10" t="s">
        <v>3445</v>
      </c>
      <c r="D1723" s="7">
        <v>943.92</v>
      </c>
      <c r="E1723" s="5">
        <v>330</v>
      </c>
      <c r="F1723" s="5">
        <v>68</v>
      </c>
      <c r="G1723" s="12">
        <f>SUM($D$7:D1723)</f>
        <v>10009211.910000024</v>
      </c>
      <c r="H1723" s="11">
        <f t="shared" si="26"/>
        <v>0.93836204386771205</v>
      </c>
    </row>
    <row r="1724" spans="1:8" ht="15" customHeight="1" x14ac:dyDescent="0.25">
      <c r="A1724" s="5">
        <v>1718</v>
      </c>
      <c r="B1724" s="10" t="s">
        <v>3446</v>
      </c>
      <c r="C1724" s="10" t="s">
        <v>3447</v>
      </c>
      <c r="D1724" s="7">
        <v>943.92</v>
      </c>
      <c r="E1724" s="5">
        <v>2276</v>
      </c>
      <c r="F1724" s="5">
        <v>82</v>
      </c>
      <c r="G1724" s="12">
        <f>SUM($D$7:D1724)</f>
        <v>10010155.830000024</v>
      </c>
      <c r="H1724" s="11">
        <f t="shared" si="26"/>
        <v>0.93845053621939889</v>
      </c>
    </row>
    <row r="1725" spans="1:8" ht="15" customHeight="1" x14ac:dyDescent="0.25">
      <c r="A1725" s="5">
        <v>1719</v>
      </c>
      <c r="B1725" s="10" t="s">
        <v>3448</v>
      </c>
      <c r="C1725" s="10" t="s">
        <v>3449</v>
      </c>
      <c r="D1725" s="7">
        <v>939.37</v>
      </c>
      <c r="E1725" s="5">
        <v>419</v>
      </c>
      <c r="F1725" s="5">
        <v>89</v>
      </c>
      <c r="G1725" s="12">
        <f>SUM($D$7:D1725)</f>
        <v>10011095.200000023</v>
      </c>
      <c r="H1725" s="11">
        <f t="shared" si="26"/>
        <v>0.9385386020093005</v>
      </c>
    </row>
    <row r="1726" spans="1:8" ht="15" customHeight="1" x14ac:dyDescent="0.25">
      <c r="A1726" s="5">
        <v>1720</v>
      </c>
      <c r="B1726" s="10" t="s">
        <v>3450</v>
      </c>
      <c r="C1726" s="10" t="s">
        <v>3451</v>
      </c>
      <c r="D1726" s="7">
        <v>939.03</v>
      </c>
      <c r="E1726" s="5">
        <v>1038</v>
      </c>
      <c r="F1726" s="5">
        <v>154</v>
      </c>
      <c r="G1726" s="12">
        <f>SUM($D$7:D1726)</f>
        <v>10012034.230000023</v>
      </c>
      <c r="H1726" s="11">
        <f t="shared" si="26"/>
        <v>0.93862663592425555</v>
      </c>
    </row>
    <row r="1727" spans="1:8" ht="15" customHeight="1" x14ac:dyDescent="0.25">
      <c r="A1727" s="5">
        <v>1721</v>
      </c>
      <c r="B1727" s="10" t="s">
        <v>3452</v>
      </c>
      <c r="C1727" s="10" t="s">
        <v>3453</v>
      </c>
      <c r="D1727" s="7">
        <v>937.25</v>
      </c>
      <c r="E1727" s="5">
        <v>619</v>
      </c>
      <c r="F1727" s="5">
        <v>94</v>
      </c>
      <c r="G1727" s="12">
        <f>SUM($D$7:D1727)</f>
        <v>10012971.480000023</v>
      </c>
      <c r="H1727" s="11">
        <f t="shared" si="26"/>
        <v>0.93871450296449044</v>
      </c>
    </row>
    <row r="1728" spans="1:8" ht="15" customHeight="1" x14ac:dyDescent="0.25">
      <c r="A1728" s="5">
        <v>1722</v>
      </c>
      <c r="B1728" s="10" t="s">
        <v>3454</v>
      </c>
      <c r="C1728" s="10" t="s">
        <v>3455</v>
      </c>
      <c r="D1728" s="7">
        <v>935.39</v>
      </c>
      <c r="E1728" s="5">
        <v>132</v>
      </c>
      <c r="F1728" s="5">
        <v>63</v>
      </c>
      <c r="G1728" s="12">
        <f>SUM($D$7:D1728)</f>
        <v>10013906.870000023</v>
      </c>
      <c r="H1728" s="11">
        <f t="shared" si="26"/>
        <v>0.93880219563001754</v>
      </c>
    </row>
    <row r="1729" spans="1:8" ht="15" customHeight="1" x14ac:dyDescent="0.25">
      <c r="A1729" s="5">
        <v>1723</v>
      </c>
      <c r="B1729" s="10" t="s">
        <v>3456</v>
      </c>
      <c r="C1729" s="10" t="s">
        <v>3457</v>
      </c>
      <c r="D1729" s="7">
        <v>935.15</v>
      </c>
      <c r="E1729" s="5">
        <v>414</v>
      </c>
      <c r="F1729" s="5">
        <v>148</v>
      </c>
      <c r="G1729" s="12">
        <f>SUM($D$7:D1729)</f>
        <v>10014842.020000024</v>
      </c>
      <c r="H1729" s="11">
        <f t="shared" si="26"/>
        <v>0.93888986579558242</v>
      </c>
    </row>
    <row r="1730" spans="1:8" ht="15" customHeight="1" x14ac:dyDescent="0.25">
      <c r="A1730" s="5">
        <v>1724</v>
      </c>
      <c r="B1730" s="10" t="s">
        <v>3458</v>
      </c>
      <c r="C1730" s="10" t="s">
        <v>3459</v>
      </c>
      <c r="D1730" s="7">
        <v>933.16</v>
      </c>
      <c r="E1730" s="5">
        <v>148</v>
      </c>
      <c r="F1730" s="5">
        <v>13</v>
      </c>
      <c r="G1730" s="12">
        <f>SUM($D$7:D1730)</f>
        <v>10015775.180000024</v>
      </c>
      <c r="H1730" s="11">
        <f t="shared" si="26"/>
        <v>0.93897734939895994</v>
      </c>
    </row>
    <row r="1731" spans="1:8" ht="15" customHeight="1" x14ac:dyDescent="0.25">
      <c r="A1731" s="5">
        <v>1725</v>
      </c>
      <c r="B1731" s="10" t="s">
        <v>3460</v>
      </c>
      <c r="C1731" s="10" t="s">
        <v>3461</v>
      </c>
      <c r="D1731" s="7">
        <v>932.42</v>
      </c>
      <c r="E1731" s="5">
        <v>270</v>
      </c>
      <c r="F1731" s="5">
        <v>77</v>
      </c>
      <c r="G1731" s="12">
        <f>SUM($D$7:D1731)</f>
        <v>10016707.600000024</v>
      </c>
      <c r="H1731" s="11">
        <f t="shared" si="26"/>
        <v>0.93906476362745361</v>
      </c>
    </row>
    <row r="1732" spans="1:8" ht="15" customHeight="1" x14ac:dyDescent="0.25">
      <c r="A1732" s="5">
        <v>1726</v>
      </c>
      <c r="B1732" s="10" t="s">
        <v>3462</v>
      </c>
      <c r="C1732" s="10" t="s">
        <v>3463</v>
      </c>
      <c r="D1732" s="7">
        <v>932.4</v>
      </c>
      <c r="E1732" s="5">
        <v>198</v>
      </c>
      <c r="F1732" s="5">
        <v>73</v>
      </c>
      <c r="G1732" s="12">
        <f>SUM($D$7:D1732)</f>
        <v>10017640.000000024</v>
      </c>
      <c r="H1732" s="11">
        <f t="shared" si="26"/>
        <v>0.93915217598095058</v>
      </c>
    </row>
    <row r="1733" spans="1:8" ht="15" customHeight="1" x14ac:dyDescent="0.25">
      <c r="A1733" s="5">
        <v>1727</v>
      </c>
      <c r="B1733" s="10" t="s">
        <v>3464</v>
      </c>
      <c r="C1733" s="10" t="s">
        <v>3465</v>
      </c>
      <c r="D1733" s="7">
        <v>931.02</v>
      </c>
      <c r="E1733" s="5">
        <v>1872</v>
      </c>
      <c r="F1733" s="5">
        <v>142</v>
      </c>
      <c r="G1733" s="12">
        <f>SUM($D$7:D1733)</f>
        <v>10018571.020000024</v>
      </c>
      <c r="H1733" s="11">
        <f t="shared" si="26"/>
        <v>0.93923945895966432</v>
      </c>
    </row>
    <row r="1734" spans="1:8" ht="15" customHeight="1" x14ac:dyDescent="0.25">
      <c r="A1734" s="5">
        <v>1728</v>
      </c>
      <c r="B1734" s="10" t="s">
        <v>3466</v>
      </c>
      <c r="C1734" s="10" t="s">
        <v>3467</v>
      </c>
      <c r="D1734" s="7">
        <v>930.96</v>
      </c>
      <c r="E1734" s="5">
        <v>182</v>
      </c>
      <c r="F1734" s="5">
        <v>55</v>
      </c>
      <c r="G1734" s="12">
        <f>SUM($D$7:D1734)</f>
        <v>10019501.980000025</v>
      </c>
      <c r="H1734" s="11">
        <f t="shared" si="26"/>
        <v>0.93932673631338748</v>
      </c>
    </row>
    <row r="1735" spans="1:8" ht="15" customHeight="1" x14ac:dyDescent="0.25">
      <c r="A1735" s="5">
        <v>1729</v>
      </c>
      <c r="B1735" s="10" t="s">
        <v>3468</v>
      </c>
      <c r="C1735" s="10" t="s">
        <v>3469</v>
      </c>
      <c r="D1735" s="7">
        <v>930.48</v>
      </c>
      <c r="E1735" s="5">
        <v>324</v>
      </c>
      <c r="F1735" s="5">
        <v>53</v>
      </c>
      <c r="G1735" s="12">
        <f>SUM($D$7:D1735)</f>
        <v>10020432.460000025</v>
      </c>
      <c r="H1735" s="11">
        <f t="shared" ref="H1735:H1798" si="27">G1735/SUM($D$7:$D$4167)</f>
        <v>0.93941396866718618</v>
      </c>
    </row>
    <row r="1736" spans="1:8" ht="15" customHeight="1" x14ac:dyDescent="0.25">
      <c r="A1736" s="5">
        <v>1730</v>
      </c>
      <c r="B1736" s="10" t="s">
        <v>3470</v>
      </c>
      <c r="C1736" s="10" t="s">
        <v>3471</v>
      </c>
      <c r="D1736" s="7">
        <v>929</v>
      </c>
      <c r="E1736" s="5">
        <v>2250</v>
      </c>
      <c r="F1736" s="5">
        <v>75</v>
      </c>
      <c r="G1736" s="12">
        <f>SUM($D$7:D1736)</f>
        <v>10021361.460000025</v>
      </c>
      <c r="H1736" s="11">
        <f t="shared" si="27"/>
        <v>0.93950106227121721</v>
      </c>
    </row>
    <row r="1737" spans="1:8" ht="15" customHeight="1" x14ac:dyDescent="0.25">
      <c r="A1737" s="5">
        <v>1731</v>
      </c>
      <c r="B1737" s="10" t="s">
        <v>3472</v>
      </c>
      <c r="C1737" s="10" t="s">
        <v>3473</v>
      </c>
      <c r="D1737" s="7">
        <v>928.04</v>
      </c>
      <c r="E1737" s="5">
        <v>1260</v>
      </c>
      <c r="F1737" s="5">
        <v>26</v>
      </c>
      <c r="G1737" s="12">
        <f>SUM($D$7:D1737)</f>
        <v>10022289.500000024</v>
      </c>
      <c r="H1737" s="11">
        <f t="shared" si="27"/>
        <v>0.93958806587539911</v>
      </c>
    </row>
    <row r="1738" spans="1:8" ht="15" customHeight="1" x14ac:dyDescent="0.25">
      <c r="A1738" s="5">
        <v>1732</v>
      </c>
      <c r="B1738" s="10" t="s">
        <v>3474</v>
      </c>
      <c r="C1738" s="10" t="s">
        <v>3475</v>
      </c>
      <c r="D1738" s="7">
        <v>925.35</v>
      </c>
      <c r="E1738" s="5">
        <v>137</v>
      </c>
      <c r="F1738" s="5">
        <v>58</v>
      </c>
      <c r="G1738" s="12">
        <f>SUM($D$7:D1738)</f>
        <v>10023214.850000024</v>
      </c>
      <c r="H1738" s="11">
        <f t="shared" si="27"/>
        <v>0.93967481729250368</v>
      </c>
    </row>
    <row r="1739" spans="1:8" ht="15" customHeight="1" x14ac:dyDescent="0.25">
      <c r="A1739" s="5">
        <v>1733</v>
      </c>
      <c r="B1739" s="10" t="s">
        <v>3476</v>
      </c>
      <c r="C1739" s="10" t="s">
        <v>3477</v>
      </c>
      <c r="D1739" s="7">
        <v>925.29</v>
      </c>
      <c r="E1739" s="5">
        <v>2145</v>
      </c>
      <c r="F1739" s="5">
        <v>192</v>
      </c>
      <c r="G1739" s="12">
        <f>SUM($D$7:D1739)</f>
        <v>10024140.140000023</v>
      </c>
      <c r="H1739" s="11">
        <f t="shared" si="27"/>
        <v>0.93976156308461767</v>
      </c>
    </row>
    <row r="1740" spans="1:8" ht="15" customHeight="1" x14ac:dyDescent="0.25">
      <c r="A1740" s="5">
        <v>1734</v>
      </c>
      <c r="B1740" s="10" t="s">
        <v>3478</v>
      </c>
      <c r="C1740" s="10" t="s">
        <v>3479</v>
      </c>
      <c r="D1740" s="7">
        <v>924.29</v>
      </c>
      <c r="E1740" s="5">
        <v>143</v>
      </c>
      <c r="F1740" s="5">
        <v>28</v>
      </c>
      <c r="G1740" s="12">
        <f>SUM($D$7:D1740)</f>
        <v>10025064.430000022</v>
      </c>
      <c r="H1740" s="11">
        <f t="shared" si="27"/>
        <v>0.93984821512688876</v>
      </c>
    </row>
    <row r="1741" spans="1:8" ht="15" customHeight="1" x14ac:dyDescent="0.25">
      <c r="A1741" s="5">
        <v>1735</v>
      </c>
      <c r="B1741" s="10" t="s">
        <v>3480</v>
      </c>
      <c r="C1741" s="10" t="s">
        <v>3481</v>
      </c>
      <c r="D1741" s="7">
        <v>923.97</v>
      </c>
      <c r="E1741" s="5">
        <v>267</v>
      </c>
      <c r="F1741" s="5">
        <v>17</v>
      </c>
      <c r="G1741" s="12">
        <f>SUM($D$7:D1741)</f>
        <v>10025988.400000023</v>
      </c>
      <c r="H1741" s="11">
        <f t="shared" si="27"/>
        <v>0.93993483716921034</v>
      </c>
    </row>
    <row r="1742" spans="1:8" ht="15" customHeight="1" x14ac:dyDescent="0.25">
      <c r="A1742" s="5">
        <v>1736</v>
      </c>
      <c r="B1742" s="10" t="s">
        <v>3482</v>
      </c>
      <c r="C1742" s="10" t="s">
        <v>3483</v>
      </c>
      <c r="D1742" s="7">
        <v>922.89</v>
      </c>
      <c r="E1742" s="5">
        <v>549</v>
      </c>
      <c r="F1742" s="5">
        <v>115</v>
      </c>
      <c r="G1742" s="12">
        <f>SUM($D$7:D1742)</f>
        <v>10026911.290000023</v>
      </c>
      <c r="H1742" s="11">
        <f t="shared" si="27"/>
        <v>0.9400213579617015</v>
      </c>
    </row>
    <row r="1743" spans="1:8" ht="15" customHeight="1" x14ac:dyDescent="0.25">
      <c r="A1743" s="5">
        <v>1737</v>
      </c>
      <c r="B1743" s="10" t="s">
        <v>3484</v>
      </c>
      <c r="C1743" s="10" t="s">
        <v>3485</v>
      </c>
      <c r="D1743" s="7">
        <v>920.67</v>
      </c>
      <c r="E1743" s="5">
        <v>2084</v>
      </c>
      <c r="F1743" s="5">
        <v>95</v>
      </c>
      <c r="G1743" s="12">
        <f>SUM($D$7:D1743)</f>
        <v>10027831.960000023</v>
      </c>
      <c r="H1743" s="11">
        <f t="shared" si="27"/>
        <v>0.94010767062954148</v>
      </c>
    </row>
    <row r="1744" spans="1:8" ht="15" customHeight="1" x14ac:dyDescent="0.25">
      <c r="A1744" s="5">
        <v>1738</v>
      </c>
      <c r="B1744" s="10" t="s">
        <v>3486</v>
      </c>
      <c r="C1744" s="10" t="s">
        <v>3487</v>
      </c>
      <c r="D1744" s="7">
        <v>920.4</v>
      </c>
      <c r="E1744" s="5">
        <v>2125</v>
      </c>
      <c r="F1744" s="5">
        <v>180</v>
      </c>
      <c r="G1744" s="12">
        <f>SUM($D$7:D1744)</f>
        <v>10028752.360000024</v>
      </c>
      <c r="H1744" s="11">
        <f t="shared" si="27"/>
        <v>0.94019395798492389</v>
      </c>
    </row>
    <row r="1745" spans="1:8" ht="15" customHeight="1" x14ac:dyDescent="0.25">
      <c r="A1745" s="5">
        <v>1739</v>
      </c>
      <c r="B1745" s="10" t="s">
        <v>3488</v>
      </c>
      <c r="C1745" s="10" t="s">
        <v>3489</v>
      </c>
      <c r="D1745" s="7">
        <v>920.22</v>
      </c>
      <c r="E1745" s="5">
        <v>516</v>
      </c>
      <c r="F1745" s="5">
        <v>75</v>
      </c>
      <c r="G1745" s="12">
        <f>SUM($D$7:D1745)</f>
        <v>10029672.580000024</v>
      </c>
      <c r="H1745" s="11">
        <f t="shared" si="27"/>
        <v>0.94028022846533466</v>
      </c>
    </row>
    <row r="1746" spans="1:8" ht="15" customHeight="1" x14ac:dyDescent="0.25">
      <c r="A1746" s="5">
        <v>1740</v>
      </c>
      <c r="B1746" s="10" t="s">
        <v>3490</v>
      </c>
      <c r="C1746" s="10" t="s">
        <v>3491</v>
      </c>
      <c r="D1746" s="7">
        <v>919.94</v>
      </c>
      <c r="E1746" s="5">
        <v>452</v>
      </c>
      <c r="F1746" s="5">
        <v>76</v>
      </c>
      <c r="G1746" s="12">
        <f>SUM($D$7:D1746)</f>
        <v>10030592.520000024</v>
      </c>
      <c r="H1746" s="11">
        <f t="shared" si="27"/>
        <v>0.94036647269578921</v>
      </c>
    </row>
    <row r="1747" spans="1:8" ht="15" customHeight="1" x14ac:dyDescent="0.25">
      <c r="A1747" s="5">
        <v>1741</v>
      </c>
      <c r="B1747" s="10" t="s">
        <v>3492</v>
      </c>
      <c r="C1747" s="10" t="s">
        <v>3493</v>
      </c>
      <c r="D1747" s="7">
        <v>918.25</v>
      </c>
      <c r="E1747" s="5">
        <v>1940</v>
      </c>
      <c r="F1747" s="5">
        <v>226</v>
      </c>
      <c r="G1747" s="12">
        <f>SUM($D$7:D1747)</f>
        <v>10031510.770000024</v>
      </c>
      <c r="H1747" s="11">
        <f t="shared" si="27"/>
        <v>0.94045255848900944</v>
      </c>
    </row>
    <row r="1748" spans="1:8" ht="15" customHeight="1" x14ac:dyDescent="0.25">
      <c r="A1748" s="5">
        <v>1742</v>
      </c>
      <c r="B1748" s="10" t="s">
        <v>3494</v>
      </c>
      <c r="C1748" s="10" t="s">
        <v>3495</v>
      </c>
      <c r="D1748" s="7">
        <v>915.4</v>
      </c>
      <c r="E1748" s="5">
        <v>431</v>
      </c>
      <c r="F1748" s="5">
        <v>109</v>
      </c>
      <c r="G1748" s="12">
        <f>SUM($D$7:D1748)</f>
        <v>10032426.170000024</v>
      </c>
      <c r="H1748" s="11">
        <f t="shared" si="27"/>
        <v>0.94053837709517751</v>
      </c>
    </row>
    <row r="1749" spans="1:8" ht="15" customHeight="1" x14ac:dyDescent="0.25">
      <c r="A1749" s="5">
        <v>1743</v>
      </c>
      <c r="B1749" s="10" t="s">
        <v>3496</v>
      </c>
      <c r="C1749" s="10" t="s">
        <v>3497</v>
      </c>
      <c r="D1749" s="7">
        <v>915.15</v>
      </c>
      <c r="E1749" s="5">
        <v>501</v>
      </c>
      <c r="F1749" s="5">
        <v>74</v>
      </c>
      <c r="G1749" s="12">
        <f>SUM($D$7:D1749)</f>
        <v>10033341.320000025</v>
      </c>
      <c r="H1749" s="11">
        <f t="shared" si="27"/>
        <v>0.94062417226388484</v>
      </c>
    </row>
    <row r="1750" spans="1:8" ht="15" customHeight="1" x14ac:dyDescent="0.25">
      <c r="A1750" s="5">
        <v>1744</v>
      </c>
      <c r="B1750" s="10" t="s">
        <v>3498</v>
      </c>
      <c r="C1750" s="10" t="s">
        <v>3499</v>
      </c>
      <c r="D1750" s="7">
        <v>909.37</v>
      </c>
      <c r="E1750" s="5">
        <v>59</v>
      </c>
      <c r="F1750" s="5">
        <v>33</v>
      </c>
      <c r="G1750" s="12">
        <f>SUM($D$7:D1750)</f>
        <v>10034250.690000024</v>
      </c>
      <c r="H1750" s="11">
        <f t="shared" si="27"/>
        <v>0.94070942555850023</v>
      </c>
    </row>
    <row r="1751" spans="1:8" ht="15" customHeight="1" x14ac:dyDescent="0.25">
      <c r="A1751" s="5">
        <v>1745</v>
      </c>
      <c r="B1751" s="10" t="s">
        <v>3500</v>
      </c>
      <c r="C1751" s="10" t="s">
        <v>3501</v>
      </c>
      <c r="D1751" s="7">
        <v>908.33</v>
      </c>
      <c r="E1751" s="5">
        <v>597</v>
      </c>
      <c r="F1751" s="5">
        <v>130</v>
      </c>
      <c r="G1751" s="12">
        <f>SUM($D$7:D1751)</f>
        <v>10035159.020000024</v>
      </c>
      <c r="H1751" s="11">
        <f t="shared" si="27"/>
        <v>0.94079458135327909</v>
      </c>
    </row>
    <row r="1752" spans="1:8" ht="15" customHeight="1" x14ac:dyDescent="0.25">
      <c r="A1752" s="5">
        <v>1746</v>
      </c>
      <c r="B1752" s="10" t="s">
        <v>3502</v>
      </c>
      <c r="C1752" s="10" t="s">
        <v>3503</v>
      </c>
      <c r="D1752" s="7">
        <v>906.94</v>
      </c>
      <c r="E1752" s="5">
        <v>2011</v>
      </c>
      <c r="F1752" s="5">
        <v>221</v>
      </c>
      <c r="G1752" s="12">
        <f>SUM($D$7:D1752)</f>
        <v>10036065.960000023</v>
      </c>
      <c r="H1752" s="11">
        <f t="shared" si="27"/>
        <v>0.94087960683577643</v>
      </c>
    </row>
    <row r="1753" spans="1:8" ht="15" customHeight="1" x14ac:dyDescent="0.25">
      <c r="A1753" s="5">
        <v>1747</v>
      </c>
      <c r="B1753" s="10" t="s">
        <v>3504</v>
      </c>
      <c r="C1753" s="10" t="s">
        <v>3505</v>
      </c>
      <c r="D1753" s="7">
        <v>906.83</v>
      </c>
      <c r="E1753" s="5">
        <v>133</v>
      </c>
      <c r="F1753" s="5">
        <v>49</v>
      </c>
      <c r="G1753" s="12">
        <f>SUM($D$7:D1753)</f>
        <v>10036972.790000023</v>
      </c>
      <c r="H1753" s="11">
        <f t="shared" si="27"/>
        <v>0.94096462200579101</v>
      </c>
    </row>
    <row r="1754" spans="1:8" ht="15" customHeight="1" x14ac:dyDescent="0.25">
      <c r="A1754" s="5">
        <v>1748</v>
      </c>
      <c r="B1754" s="10" t="s">
        <v>3506</v>
      </c>
      <c r="C1754" s="10" t="s">
        <v>3507</v>
      </c>
      <c r="D1754" s="7">
        <v>906.75</v>
      </c>
      <c r="E1754" s="5">
        <v>411</v>
      </c>
      <c r="F1754" s="5">
        <v>88</v>
      </c>
      <c r="G1754" s="12">
        <f>SUM($D$7:D1754)</f>
        <v>10037879.540000023</v>
      </c>
      <c r="H1754" s="11">
        <f t="shared" si="27"/>
        <v>0.94104962967581807</v>
      </c>
    </row>
    <row r="1755" spans="1:8" ht="15" customHeight="1" x14ac:dyDescent="0.25">
      <c r="A1755" s="5">
        <v>1749</v>
      </c>
      <c r="B1755" s="10" t="s">
        <v>3508</v>
      </c>
      <c r="C1755" s="10" t="s">
        <v>3509</v>
      </c>
      <c r="D1755" s="7">
        <v>905.55</v>
      </c>
      <c r="E1755" s="5">
        <v>512</v>
      </c>
      <c r="F1755" s="5">
        <v>88</v>
      </c>
      <c r="G1755" s="12">
        <f>SUM($D$7:D1755)</f>
        <v>10038785.090000024</v>
      </c>
      <c r="H1755" s="11">
        <f t="shared" si="27"/>
        <v>0.94113452484603388</v>
      </c>
    </row>
    <row r="1756" spans="1:8" ht="15" customHeight="1" x14ac:dyDescent="0.25">
      <c r="A1756" s="5">
        <v>1750</v>
      </c>
      <c r="B1756" s="10" t="s">
        <v>3510</v>
      </c>
      <c r="C1756" s="10" t="s">
        <v>3511</v>
      </c>
      <c r="D1756" s="7">
        <v>904.14</v>
      </c>
      <c r="E1756" s="5">
        <v>478</v>
      </c>
      <c r="F1756" s="5">
        <v>77</v>
      </c>
      <c r="G1756" s="12">
        <f>SUM($D$7:D1756)</f>
        <v>10039689.230000025</v>
      </c>
      <c r="H1756" s="11">
        <f t="shared" si="27"/>
        <v>0.94121928782897113</v>
      </c>
    </row>
    <row r="1757" spans="1:8" ht="15" customHeight="1" x14ac:dyDescent="0.25">
      <c r="A1757" s="5">
        <v>1751</v>
      </c>
      <c r="B1757" s="10" t="s">
        <v>3512</v>
      </c>
      <c r="C1757" s="10" t="s">
        <v>3513</v>
      </c>
      <c r="D1757" s="7">
        <v>901.58</v>
      </c>
      <c r="E1757" s="5">
        <v>210</v>
      </c>
      <c r="F1757" s="5">
        <v>31</v>
      </c>
      <c r="G1757" s="12">
        <f>SUM($D$7:D1757)</f>
        <v>10040590.810000025</v>
      </c>
      <c r="H1757" s="11">
        <f t="shared" si="27"/>
        <v>0.94130381081231063</v>
      </c>
    </row>
    <row r="1758" spans="1:8" ht="15" customHeight="1" x14ac:dyDescent="0.25">
      <c r="A1758" s="5">
        <v>1752</v>
      </c>
      <c r="B1758" s="10" t="s">
        <v>3514</v>
      </c>
      <c r="C1758" s="10" t="s">
        <v>3515</v>
      </c>
      <c r="D1758" s="7">
        <v>901.48</v>
      </c>
      <c r="E1758" s="5">
        <v>996</v>
      </c>
      <c r="F1758" s="5">
        <v>119</v>
      </c>
      <c r="G1758" s="12">
        <f>SUM($D$7:D1758)</f>
        <v>10041492.290000025</v>
      </c>
      <c r="H1758" s="11">
        <f t="shared" si="27"/>
        <v>0.94138832442066589</v>
      </c>
    </row>
    <row r="1759" spans="1:8" ht="15" customHeight="1" x14ac:dyDescent="0.25">
      <c r="A1759" s="5">
        <v>1753</v>
      </c>
      <c r="B1759" s="10" t="s">
        <v>3516</v>
      </c>
      <c r="C1759" s="10" t="s">
        <v>3517</v>
      </c>
      <c r="D1759" s="7">
        <v>901.46</v>
      </c>
      <c r="E1759" s="5">
        <v>232</v>
      </c>
      <c r="F1759" s="5">
        <v>89</v>
      </c>
      <c r="G1759" s="12">
        <f>SUM($D$7:D1759)</f>
        <v>10042393.750000026</v>
      </c>
      <c r="H1759" s="11">
        <f t="shared" si="27"/>
        <v>0.94147283615402433</v>
      </c>
    </row>
    <row r="1760" spans="1:8" ht="15" customHeight="1" x14ac:dyDescent="0.25">
      <c r="A1760" s="5">
        <v>1754</v>
      </c>
      <c r="B1760" s="10" t="s">
        <v>3518</v>
      </c>
      <c r="C1760" s="10" t="s">
        <v>3519</v>
      </c>
      <c r="D1760" s="7">
        <v>898.38</v>
      </c>
      <c r="E1760" s="5">
        <v>349</v>
      </c>
      <c r="F1760" s="5">
        <v>47</v>
      </c>
      <c r="G1760" s="12">
        <f>SUM($D$7:D1760)</f>
        <v>10043292.130000027</v>
      </c>
      <c r="H1760" s="11">
        <f t="shared" si="27"/>
        <v>0.94155705913786669</v>
      </c>
    </row>
    <row r="1761" spans="1:8" ht="15" customHeight="1" x14ac:dyDescent="0.25">
      <c r="A1761" s="5">
        <v>1755</v>
      </c>
      <c r="B1761" s="10" t="s">
        <v>3520</v>
      </c>
      <c r="C1761" s="10" t="s">
        <v>3521</v>
      </c>
      <c r="D1761" s="7">
        <v>897.8</v>
      </c>
      <c r="E1761" s="5">
        <v>237</v>
      </c>
      <c r="F1761" s="5">
        <v>79</v>
      </c>
      <c r="G1761" s="12">
        <f>SUM($D$7:D1761)</f>
        <v>10044189.930000028</v>
      </c>
      <c r="H1761" s="11">
        <f t="shared" si="27"/>
        <v>0.94164122774680015</v>
      </c>
    </row>
    <row r="1762" spans="1:8" ht="15" customHeight="1" x14ac:dyDescent="0.25">
      <c r="A1762" s="5">
        <v>1756</v>
      </c>
      <c r="B1762" s="10" t="s">
        <v>3522</v>
      </c>
      <c r="C1762" s="10" t="s">
        <v>3523</v>
      </c>
      <c r="D1762" s="7">
        <v>897.74</v>
      </c>
      <c r="E1762" s="5">
        <v>417</v>
      </c>
      <c r="F1762" s="5">
        <v>100</v>
      </c>
      <c r="G1762" s="12">
        <f>SUM($D$7:D1762)</f>
        <v>10045087.670000028</v>
      </c>
      <c r="H1762" s="11">
        <f t="shared" si="27"/>
        <v>0.94172539073074302</v>
      </c>
    </row>
    <row r="1763" spans="1:8" ht="15" customHeight="1" x14ac:dyDescent="0.25">
      <c r="A1763" s="5">
        <v>1757</v>
      </c>
      <c r="B1763" s="10" t="s">
        <v>3524</v>
      </c>
      <c r="C1763" s="10" t="s">
        <v>3525</v>
      </c>
      <c r="D1763" s="7">
        <v>896.75</v>
      </c>
      <c r="E1763" s="5">
        <v>677</v>
      </c>
      <c r="F1763" s="5">
        <v>113</v>
      </c>
      <c r="G1763" s="12">
        <f>SUM($D$7:D1763)</f>
        <v>10045984.420000028</v>
      </c>
      <c r="H1763" s="11">
        <f t="shared" si="27"/>
        <v>0.94180946090234141</v>
      </c>
    </row>
    <row r="1764" spans="1:8" ht="15" customHeight="1" x14ac:dyDescent="0.25">
      <c r="A1764" s="5">
        <v>1758</v>
      </c>
      <c r="B1764" s="10" t="s">
        <v>3526</v>
      </c>
      <c r="C1764" s="10" t="s">
        <v>3527</v>
      </c>
      <c r="D1764" s="7">
        <v>896.01</v>
      </c>
      <c r="E1764" s="5">
        <v>169</v>
      </c>
      <c r="F1764" s="5">
        <v>27</v>
      </c>
      <c r="G1764" s="12">
        <f>SUM($D$7:D1764)</f>
        <v>10046880.430000028</v>
      </c>
      <c r="H1764" s="11">
        <f t="shared" si="27"/>
        <v>0.94189346169905608</v>
      </c>
    </row>
    <row r="1765" spans="1:8" ht="15" customHeight="1" x14ac:dyDescent="0.25">
      <c r="A1765" s="5">
        <v>1759</v>
      </c>
      <c r="B1765" s="10" t="s">
        <v>3528</v>
      </c>
      <c r="C1765" s="10" t="s">
        <v>3529</v>
      </c>
      <c r="D1765" s="7">
        <v>895.97</v>
      </c>
      <c r="E1765" s="5">
        <v>279</v>
      </c>
      <c r="F1765" s="5">
        <v>50</v>
      </c>
      <c r="G1765" s="12">
        <f>SUM($D$7:D1765)</f>
        <v>10047776.400000028</v>
      </c>
      <c r="H1765" s="11">
        <f t="shared" si="27"/>
        <v>0.9419774587457771</v>
      </c>
    </row>
    <row r="1766" spans="1:8" ht="15" customHeight="1" x14ac:dyDescent="0.25">
      <c r="A1766" s="5">
        <v>1760</v>
      </c>
      <c r="B1766" s="10" t="s">
        <v>3530</v>
      </c>
      <c r="C1766" s="10" t="s">
        <v>3531</v>
      </c>
      <c r="D1766" s="7">
        <v>895.72</v>
      </c>
      <c r="E1766" s="5">
        <v>620</v>
      </c>
      <c r="F1766" s="5">
        <v>109</v>
      </c>
      <c r="G1766" s="12">
        <f>SUM($D$7:D1766)</f>
        <v>10048672.120000029</v>
      </c>
      <c r="H1766" s="11">
        <f t="shared" si="27"/>
        <v>0.94206143235503736</v>
      </c>
    </row>
    <row r="1767" spans="1:8" ht="15" customHeight="1" x14ac:dyDescent="0.25">
      <c r="A1767" s="5">
        <v>1761</v>
      </c>
      <c r="B1767" s="10" t="s">
        <v>3532</v>
      </c>
      <c r="C1767" s="10" t="s">
        <v>3533</v>
      </c>
      <c r="D1767" s="7">
        <v>895.46</v>
      </c>
      <c r="E1767" s="5">
        <v>125</v>
      </c>
      <c r="F1767" s="5">
        <v>42</v>
      </c>
      <c r="G1767" s="12">
        <f>SUM($D$7:D1767)</f>
        <v>10049567.58000003</v>
      </c>
      <c r="H1767" s="11">
        <f t="shared" si="27"/>
        <v>0.94214538158933847</v>
      </c>
    </row>
    <row r="1768" spans="1:8" ht="15" customHeight="1" x14ac:dyDescent="0.25">
      <c r="A1768" s="5">
        <v>1762</v>
      </c>
      <c r="B1768" s="10" t="s">
        <v>3534</v>
      </c>
      <c r="C1768" s="10" t="s">
        <v>3535</v>
      </c>
      <c r="D1768" s="7">
        <v>895.38</v>
      </c>
      <c r="E1768" s="5">
        <v>36</v>
      </c>
      <c r="F1768" s="5">
        <v>26</v>
      </c>
      <c r="G1768" s="12">
        <f>SUM($D$7:D1768)</f>
        <v>10050462.960000031</v>
      </c>
      <c r="H1768" s="11">
        <f t="shared" si="27"/>
        <v>0.94222932332365228</v>
      </c>
    </row>
    <row r="1769" spans="1:8" ht="15" customHeight="1" x14ac:dyDescent="0.25">
      <c r="A1769" s="5">
        <v>1763</v>
      </c>
      <c r="B1769" s="10" t="s">
        <v>3536</v>
      </c>
      <c r="C1769" s="10" t="s">
        <v>3537</v>
      </c>
      <c r="D1769" s="7">
        <v>893.51</v>
      </c>
      <c r="E1769" s="5">
        <v>2141</v>
      </c>
      <c r="F1769" s="5">
        <v>235</v>
      </c>
      <c r="G1769" s="12">
        <f>SUM($D$7:D1769)</f>
        <v>10051356.47000003</v>
      </c>
      <c r="H1769" s="11">
        <f t="shared" si="27"/>
        <v>0.94231308974575967</v>
      </c>
    </row>
    <row r="1770" spans="1:8" ht="15" customHeight="1" x14ac:dyDescent="0.25">
      <c r="A1770" s="5">
        <v>1764</v>
      </c>
      <c r="B1770" s="10" t="s">
        <v>3538</v>
      </c>
      <c r="C1770" s="10" t="s">
        <v>3539</v>
      </c>
      <c r="D1770" s="7">
        <v>891.99</v>
      </c>
      <c r="E1770" s="5">
        <v>714</v>
      </c>
      <c r="F1770" s="5">
        <v>137</v>
      </c>
      <c r="G1770" s="12">
        <f>SUM($D$7:D1770)</f>
        <v>10052248.460000031</v>
      </c>
      <c r="H1770" s="11">
        <f t="shared" si="27"/>
        <v>0.94239671366810607</v>
      </c>
    </row>
    <row r="1771" spans="1:8" ht="15" customHeight="1" x14ac:dyDescent="0.25">
      <c r="A1771" s="5">
        <v>1765</v>
      </c>
      <c r="B1771" s="10" t="s">
        <v>3540</v>
      </c>
      <c r="C1771" s="10" t="s">
        <v>3541</v>
      </c>
      <c r="D1771" s="7">
        <v>890.6</v>
      </c>
      <c r="E1771" s="5">
        <v>300</v>
      </c>
      <c r="F1771" s="5">
        <v>49</v>
      </c>
      <c r="G1771" s="12">
        <f>SUM($D$7:D1771)</f>
        <v>10053139.06000003</v>
      </c>
      <c r="H1771" s="11">
        <f t="shared" si="27"/>
        <v>0.94248020727817072</v>
      </c>
    </row>
    <row r="1772" spans="1:8" ht="15" customHeight="1" x14ac:dyDescent="0.25">
      <c r="A1772" s="5">
        <v>1766</v>
      </c>
      <c r="B1772" s="10" t="s">
        <v>3542</v>
      </c>
      <c r="C1772" s="10" t="s">
        <v>3543</v>
      </c>
      <c r="D1772" s="7">
        <v>890.4</v>
      </c>
      <c r="E1772" s="5">
        <v>112</v>
      </c>
      <c r="F1772" s="5">
        <v>25</v>
      </c>
      <c r="G1772" s="12">
        <f>SUM($D$7:D1772)</f>
        <v>10054029.460000031</v>
      </c>
      <c r="H1772" s="11">
        <f t="shared" si="27"/>
        <v>0.94256368213826691</v>
      </c>
    </row>
    <row r="1773" spans="1:8" ht="15" customHeight="1" x14ac:dyDescent="0.25">
      <c r="A1773" s="5">
        <v>1767</v>
      </c>
      <c r="B1773" s="10" t="s">
        <v>3544</v>
      </c>
      <c r="C1773" s="10" t="s">
        <v>3545</v>
      </c>
      <c r="D1773" s="7">
        <v>888.67</v>
      </c>
      <c r="E1773" s="5">
        <v>355</v>
      </c>
      <c r="F1773" s="5">
        <v>72</v>
      </c>
      <c r="G1773" s="12">
        <f>SUM($D$7:D1773)</f>
        <v>10054918.130000031</v>
      </c>
      <c r="H1773" s="11">
        <f t="shared" si="27"/>
        <v>0.94264699481113479</v>
      </c>
    </row>
    <row r="1774" spans="1:8" ht="15" customHeight="1" x14ac:dyDescent="0.25">
      <c r="A1774" s="5">
        <v>1768</v>
      </c>
      <c r="B1774" s="10" t="s">
        <v>3546</v>
      </c>
      <c r="C1774" s="10" t="s">
        <v>3547</v>
      </c>
      <c r="D1774" s="7">
        <v>888.33</v>
      </c>
      <c r="E1774" s="5">
        <v>966</v>
      </c>
      <c r="F1774" s="5">
        <v>78</v>
      </c>
      <c r="G1774" s="12">
        <f>SUM($D$7:D1774)</f>
        <v>10055806.460000031</v>
      </c>
      <c r="H1774" s="11">
        <f t="shared" si="27"/>
        <v>0.9427302756090562</v>
      </c>
    </row>
    <row r="1775" spans="1:8" ht="15" customHeight="1" x14ac:dyDescent="0.25">
      <c r="A1775" s="5">
        <v>1769</v>
      </c>
      <c r="B1775" s="10" t="s">
        <v>3548</v>
      </c>
      <c r="C1775" s="10" t="s">
        <v>3549</v>
      </c>
      <c r="D1775" s="7">
        <v>888.14</v>
      </c>
      <c r="E1775" s="5">
        <v>2102</v>
      </c>
      <c r="F1775" s="5">
        <v>178</v>
      </c>
      <c r="G1775" s="12">
        <f>SUM($D$7:D1775)</f>
        <v>10056694.600000031</v>
      </c>
      <c r="H1775" s="11">
        <f t="shared" si="27"/>
        <v>0.94281353859450745</v>
      </c>
    </row>
    <row r="1776" spans="1:8" ht="15" customHeight="1" x14ac:dyDescent="0.25">
      <c r="A1776" s="5">
        <v>1770</v>
      </c>
      <c r="B1776" s="10" t="s">
        <v>3550</v>
      </c>
      <c r="C1776" s="10" t="s">
        <v>3551</v>
      </c>
      <c r="D1776" s="7">
        <v>886.24</v>
      </c>
      <c r="E1776" s="5">
        <v>1224</v>
      </c>
      <c r="F1776" s="5">
        <v>89</v>
      </c>
      <c r="G1776" s="12">
        <f>SUM($D$7:D1776)</f>
        <v>10057580.840000032</v>
      </c>
      <c r="H1776" s="11">
        <f t="shared" si="27"/>
        <v>0.94289662345525727</v>
      </c>
    </row>
    <row r="1777" spans="1:8" ht="15" customHeight="1" x14ac:dyDescent="0.25">
      <c r="A1777" s="5">
        <v>1771</v>
      </c>
      <c r="B1777" s="10" t="s">
        <v>3552</v>
      </c>
      <c r="C1777" s="10" t="s">
        <v>3553</v>
      </c>
      <c r="D1777" s="7">
        <v>885.9</v>
      </c>
      <c r="E1777" s="5">
        <v>306</v>
      </c>
      <c r="F1777" s="5">
        <v>13</v>
      </c>
      <c r="G1777" s="12">
        <f>SUM($D$7:D1777)</f>
        <v>10058466.740000032</v>
      </c>
      <c r="H1777" s="11">
        <f t="shared" si="27"/>
        <v>0.94297967644106051</v>
      </c>
    </row>
    <row r="1778" spans="1:8" ht="15" customHeight="1" x14ac:dyDescent="0.25">
      <c r="A1778" s="5">
        <v>1772</v>
      </c>
      <c r="B1778" s="10" t="s">
        <v>3554</v>
      </c>
      <c r="C1778" s="10" t="s">
        <v>3555</v>
      </c>
      <c r="D1778" s="7">
        <v>883.2</v>
      </c>
      <c r="E1778" s="5">
        <v>642</v>
      </c>
      <c r="F1778" s="5">
        <v>81</v>
      </c>
      <c r="G1778" s="12">
        <f>SUM($D$7:D1778)</f>
        <v>10059349.940000031</v>
      </c>
      <c r="H1778" s="11">
        <f t="shared" si="27"/>
        <v>0.9430624763022879</v>
      </c>
    </row>
    <row r="1779" spans="1:8" ht="15" customHeight="1" x14ac:dyDescent="0.25">
      <c r="A1779" s="5">
        <v>1773</v>
      </c>
      <c r="B1779" s="10" t="s">
        <v>3556</v>
      </c>
      <c r="C1779" s="10" t="s">
        <v>3557</v>
      </c>
      <c r="D1779" s="7">
        <v>883.12</v>
      </c>
      <c r="E1779" s="5">
        <v>210</v>
      </c>
      <c r="F1779" s="5">
        <v>89</v>
      </c>
      <c r="G1779" s="12">
        <f>SUM($D$7:D1779)</f>
        <v>10060233.06000003</v>
      </c>
      <c r="H1779" s="11">
        <f t="shared" si="27"/>
        <v>0.94314526866352777</v>
      </c>
    </row>
    <row r="1780" spans="1:8" ht="15" customHeight="1" x14ac:dyDescent="0.25">
      <c r="A1780" s="5">
        <v>1774</v>
      </c>
      <c r="B1780" s="10" t="s">
        <v>3558</v>
      </c>
      <c r="C1780" s="10" t="s">
        <v>3559</v>
      </c>
      <c r="D1780" s="7">
        <v>882.62</v>
      </c>
      <c r="E1780" s="5">
        <v>287</v>
      </c>
      <c r="F1780" s="5">
        <v>89</v>
      </c>
      <c r="G1780" s="12">
        <f>SUM($D$7:D1780)</f>
        <v>10061115.68000003</v>
      </c>
      <c r="H1780" s="11">
        <f t="shared" si="27"/>
        <v>0.94322801414984625</v>
      </c>
    </row>
    <row r="1781" spans="1:8" ht="15" customHeight="1" x14ac:dyDescent="0.25">
      <c r="A1781" s="5">
        <v>1775</v>
      </c>
      <c r="B1781" s="10" t="s">
        <v>3560</v>
      </c>
      <c r="C1781" s="10" t="s">
        <v>3561</v>
      </c>
      <c r="D1781" s="7">
        <v>881.33</v>
      </c>
      <c r="E1781" s="5">
        <v>917</v>
      </c>
      <c r="F1781" s="5">
        <v>132</v>
      </c>
      <c r="G1781" s="12">
        <f>SUM($D$7:D1781)</f>
        <v>10061997.01000003</v>
      </c>
      <c r="H1781" s="11">
        <f t="shared" si="27"/>
        <v>0.94331063869886755</v>
      </c>
    </row>
    <row r="1782" spans="1:8" ht="15" customHeight="1" x14ac:dyDescent="0.25">
      <c r="A1782" s="5">
        <v>1776</v>
      </c>
      <c r="B1782" s="10" t="s">
        <v>3562</v>
      </c>
      <c r="C1782" s="10" t="s">
        <v>3563</v>
      </c>
      <c r="D1782" s="7">
        <v>880.47</v>
      </c>
      <c r="E1782" s="5">
        <v>918</v>
      </c>
      <c r="F1782" s="5">
        <v>172</v>
      </c>
      <c r="G1782" s="12">
        <f>SUM($D$7:D1782)</f>
        <v>10062877.48000003</v>
      </c>
      <c r="H1782" s="11">
        <f t="shared" si="27"/>
        <v>0.94339318262302396</v>
      </c>
    </row>
    <row r="1783" spans="1:8" ht="15" customHeight="1" x14ac:dyDescent="0.25">
      <c r="A1783" s="5">
        <v>1777</v>
      </c>
      <c r="B1783" s="10" t="s">
        <v>3564</v>
      </c>
      <c r="C1783" s="10" t="s">
        <v>3565</v>
      </c>
      <c r="D1783" s="7">
        <v>880.23</v>
      </c>
      <c r="E1783" s="5">
        <v>114</v>
      </c>
      <c r="F1783" s="5">
        <v>44</v>
      </c>
      <c r="G1783" s="12">
        <f>SUM($D$7:D1783)</f>
        <v>10063757.710000031</v>
      </c>
      <c r="H1783" s="11">
        <f t="shared" si="27"/>
        <v>0.94347570404721814</v>
      </c>
    </row>
    <row r="1784" spans="1:8" ht="15" customHeight="1" x14ac:dyDescent="0.25">
      <c r="A1784" s="5">
        <v>1778</v>
      </c>
      <c r="B1784" s="10" t="s">
        <v>3566</v>
      </c>
      <c r="C1784" s="10" t="s">
        <v>3567</v>
      </c>
      <c r="D1784" s="7">
        <v>880.16</v>
      </c>
      <c r="E1784" s="5">
        <v>701</v>
      </c>
      <c r="F1784" s="5">
        <v>92</v>
      </c>
      <c r="G1784" s="12">
        <f>SUM($D$7:D1784)</f>
        <v>10064637.870000031</v>
      </c>
      <c r="H1784" s="11">
        <f t="shared" si="27"/>
        <v>0.94355821890892322</v>
      </c>
    </row>
    <row r="1785" spans="1:8" ht="15" customHeight="1" x14ac:dyDescent="0.25">
      <c r="A1785" s="5">
        <v>1779</v>
      </c>
      <c r="B1785" s="10" t="s">
        <v>3568</v>
      </c>
      <c r="C1785" s="10" t="s">
        <v>851</v>
      </c>
      <c r="D1785" s="7">
        <v>877.76</v>
      </c>
      <c r="E1785" s="5">
        <v>108</v>
      </c>
      <c r="F1785" s="5">
        <v>41</v>
      </c>
      <c r="G1785" s="12">
        <f>SUM($D$7:D1785)</f>
        <v>10065515.630000031</v>
      </c>
      <c r="H1785" s="11">
        <f t="shared" si="27"/>
        <v>0.94364050877100536</v>
      </c>
    </row>
    <row r="1786" spans="1:8" ht="15" customHeight="1" x14ac:dyDescent="0.25">
      <c r="A1786" s="5">
        <v>1780</v>
      </c>
      <c r="B1786" s="10" t="s">
        <v>3569</v>
      </c>
      <c r="C1786" s="10" t="s">
        <v>3570</v>
      </c>
      <c r="D1786" s="7">
        <v>877.38</v>
      </c>
      <c r="E1786" s="5">
        <v>250</v>
      </c>
      <c r="F1786" s="5">
        <v>105</v>
      </c>
      <c r="G1786" s="12">
        <f>SUM($D$7:D1786)</f>
        <v>10066393.010000031</v>
      </c>
      <c r="H1786" s="11">
        <f t="shared" si="27"/>
        <v>0.94372276300814739</v>
      </c>
    </row>
    <row r="1787" spans="1:8" ht="15" customHeight="1" x14ac:dyDescent="0.25">
      <c r="A1787" s="5">
        <v>1781</v>
      </c>
      <c r="B1787" s="10" t="s">
        <v>3571</v>
      </c>
      <c r="C1787" s="10" t="s">
        <v>3572</v>
      </c>
      <c r="D1787" s="7">
        <v>876.9</v>
      </c>
      <c r="E1787" s="5">
        <v>219</v>
      </c>
      <c r="F1787" s="5">
        <v>66</v>
      </c>
      <c r="G1787" s="12">
        <f>SUM($D$7:D1787)</f>
        <v>10067269.910000032</v>
      </c>
      <c r="H1787" s="11">
        <f t="shared" si="27"/>
        <v>0.94380497224536475</v>
      </c>
    </row>
    <row r="1788" spans="1:8" ht="15" customHeight="1" x14ac:dyDescent="0.25">
      <c r="A1788" s="5">
        <v>1782</v>
      </c>
      <c r="B1788" s="10" t="s">
        <v>3573</v>
      </c>
      <c r="C1788" s="10" t="s">
        <v>3574</v>
      </c>
      <c r="D1788" s="7">
        <v>875.38</v>
      </c>
      <c r="E1788" s="5">
        <v>290</v>
      </c>
      <c r="F1788" s="5">
        <v>41</v>
      </c>
      <c r="G1788" s="12">
        <f>SUM($D$7:D1788)</f>
        <v>10068145.290000033</v>
      </c>
      <c r="H1788" s="11">
        <f t="shared" si="27"/>
        <v>0.943887038982821</v>
      </c>
    </row>
    <row r="1789" spans="1:8" ht="15" customHeight="1" x14ac:dyDescent="0.25">
      <c r="A1789" s="5">
        <v>1783</v>
      </c>
      <c r="B1789" s="10" t="s">
        <v>3575</v>
      </c>
      <c r="C1789" s="10" t="s">
        <v>3576</v>
      </c>
      <c r="D1789" s="7">
        <v>874.29</v>
      </c>
      <c r="E1789" s="5">
        <v>2066</v>
      </c>
      <c r="F1789" s="5">
        <v>71</v>
      </c>
      <c r="G1789" s="12">
        <f>SUM($D$7:D1789)</f>
        <v>10069019.580000032</v>
      </c>
      <c r="H1789" s="11">
        <f t="shared" si="27"/>
        <v>0.94396900353294833</v>
      </c>
    </row>
    <row r="1790" spans="1:8" ht="15" customHeight="1" x14ac:dyDescent="0.25">
      <c r="A1790" s="5">
        <v>1784</v>
      </c>
      <c r="B1790" s="10" t="s">
        <v>3577</v>
      </c>
      <c r="C1790" s="10" t="s">
        <v>3578</v>
      </c>
      <c r="D1790" s="7">
        <v>873.9</v>
      </c>
      <c r="E1790" s="5">
        <v>1977</v>
      </c>
      <c r="F1790" s="5">
        <v>94</v>
      </c>
      <c r="G1790" s="12">
        <f>SUM($D$7:D1790)</f>
        <v>10069893.480000032</v>
      </c>
      <c r="H1790" s="11">
        <f t="shared" si="27"/>
        <v>0.94405093152063702</v>
      </c>
    </row>
    <row r="1791" spans="1:8" ht="15" customHeight="1" x14ac:dyDescent="0.25">
      <c r="A1791" s="5">
        <v>1785</v>
      </c>
      <c r="B1791" s="10" t="s">
        <v>3579</v>
      </c>
      <c r="C1791" s="10" t="s">
        <v>3580</v>
      </c>
      <c r="D1791" s="7">
        <v>873.52</v>
      </c>
      <c r="E1791" s="5">
        <v>934</v>
      </c>
      <c r="F1791" s="5">
        <v>148</v>
      </c>
      <c r="G1791" s="12">
        <f>SUM($D$7:D1791)</f>
        <v>10070767.000000032</v>
      </c>
      <c r="H1791" s="11">
        <f t="shared" si="27"/>
        <v>0.94413282388338537</v>
      </c>
    </row>
    <row r="1792" spans="1:8" ht="15" customHeight="1" x14ac:dyDescent="0.25">
      <c r="A1792" s="5">
        <v>1786</v>
      </c>
      <c r="B1792" s="10" t="s">
        <v>3581</v>
      </c>
      <c r="C1792" s="10" t="s">
        <v>3582</v>
      </c>
      <c r="D1792" s="7">
        <v>871.49</v>
      </c>
      <c r="E1792" s="5">
        <v>644</v>
      </c>
      <c r="F1792" s="5">
        <v>119</v>
      </c>
      <c r="G1792" s="12">
        <f>SUM($D$7:D1792)</f>
        <v>10071638.490000032</v>
      </c>
      <c r="H1792" s="11">
        <f t="shared" si="27"/>
        <v>0.94421452593395272</v>
      </c>
    </row>
    <row r="1793" spans="1:8" ht="15" customHeight="1" x14ac:dyDescent="0.25">
      <c r="A1793" s="5">
        <v>1787</v>
      </c>
      <c r="B1793" s="10" t="s">
        <v>3583</v>
      </c>
      <c r="C1793" s="10" t="s">
        <v>3584</v>
      </c>
      <c r="D1793" s="7">
        <v>870.35</v>
      </c>
      <c r="E1793" s="5">
        <v>849</v>
      </c>
      <c r="F1793" s="5">
        <v>184</v>
      </c>
      <c r="G1793" s="12">
        <f>SUM($D$7:D1793)</f>
        <v>10072508.840000032</v>
      </c>
      <c r="H1793" s="11">
        <f t="shared" si="27"/>
        <v>0.94429612110969918</v>
      </c>
    </row>
    <row r="1794" spans="1:8" ht="15" customHeight="1" x14ac:dyDescent="0.25">
      <c r="A1794" s="5">
        <v>1788</v>
      </c>
      <c r="B1794" s="10" t="s">
        <v>3585</v>
      </c>
      <c r="C1794" s="10" t="s">
        <v>3586</v>
      </c>
      <c r="D1794" s="7">
        <v>869.98</v>
      </c>
      <c r="E1794" s="5">
        <v>994</v>
      </c>
      <c r="F1794" s="5">
        <v>103</v>
      </c>
      <c r="G1794" s="12">
        <f>SUM($D$7:D1794)</f>
        <v>10073378.820000032</v>
      </c>
      <c r="H1794" s="11">
        <f t="shared" si="27"/>
        <v>0.94437768159800384</v>
      </c>
    </row>
    <row r="1795" spans="1:8" ht="15" customHeight="1" x14ac:dyDescent="0.25">
      <c r="A1795" s="5">
        <v>1789</v>
      </c>
      <c r="B1795" s="10" t="s">
        <v>3587</v>
      </c>
      <c r="C1795" s="10" t="s">
        <v>3588</v>
      </c>
      <c r="D1795" s="7">
        <v>868.44</v>
      </c>
      <c r="E1795" s="5">
        <v>499</v>
      </c>
      <c r="F1795" s="5">
        <v>85</v>
      </c>
      <c r="G1795" s="12">
        <f>SUM($D$7:D1795)</f>
        <v>10074247.260000031</v>
      </c>
      <c r="H1795" s="11">
        <f t="shared" si="27"/>
        <v>0.94445909771155045</v>
      </c>
    </row>
    <row r="1796" spans="1:8" ht="15" customHeight="1" x14ac:dyDescent="0.25">
      <c r="A1796" s="5">
        <v>1790</v>
      </c>
      <c r="B1796" s="10" t="s">
        <v>3589</v>
      </c>
      <c r="C1796" s="10" t="s">
        <v>3590</v>
      </c>
      <c r="D1796" s="7">
        <v>868.06</v>
      </c>
      <c r="E1796" s="5">
        <v>191</v>
      </c>
      <c r="F1796" s="5">
        <v>64</v>
      </c>
      <c r="G1796" s="12">
        <f>SUM($D$7:D1796)</f>
        <v>10075115.320000032</v>
      </c>
      <c r="H1796" s="11">
        <f t="shared" si="27"/>
        <v>0.94454047820015674</v>
      </c>
    </row>
    <row r="1797" spans="1:8" ht="15" customHeight="1" x14ac:dyDescent="0.25">
      <c r="A1797" s="5">
        <v>1791</v>
      </c>
      <c r="B1797" s="10" t="s">
        <v>3591</v>
      </c>
      <c r="C1797" s="10" t="s">
        <v>3592</v>
      </c>
      <c r="D1797" s="7">
        <v>866</v>
      </c>
      <c r="E1797" s="5">
        <v>2100</v>
      </c>
      <c r="F1797" s="5">
        <v>68</v>
      </c>
      <c r="G1797" s="12">
        <f>SUM($D$7:D1797)</f>
        <v>10075981.320000032</v>
      </c>
      <c r="H1797" s="11">
        <f t="shared" si="27"/>
        <v>0.94462166556408678</v>
      </c>
    </row>
    <row r="1798" spans="1:8" ht="15" customHeight="1" x14ac:dyDescent="0.25">
      <c r="A1798" s="5">
        <v>1792</v>
      </c>
      <c r="B1798" s="10" t="s">
        <v>3593</v>
      </c>
      <c r="C1798" s="10" t="s">
        <v>3594</v>
      </c>
      <c r="D1798" s="7">
        <v>863.38</v>
      </c>
      <c r="E1798" s="5">
        <v>531</v>
      </c>
      <c r="F1798" s="5">
        <v>143</v>
      </c>
      <c r="G1798" s="12">
        <f>SUM($D$7:D1798)</f>
        <v>10076844.700000033</v>
      </c>
      <c r="H1798" s="11">
        <f t="shared" si="27"/>
        <v>0.94470260730342848</v>
      </c>
    </row>
    <row r="1799" spans="1:8" ht="15" customHeight="1" x14ac:dyDescent="0.25">
      <c r="A1799" s="5">
        <v>1793</v>
      </c>
      <c r="B1799" s="10" t="s">
        <v>3595</v>
      </c>
      <c r="C1799" s="10" t="s">
        <v>3596</v>
      </c>
      <c r="D1799" s="7">
        <v>860.23</v>
      </c>
      <c r="E1799" s="5">
        <v>130</v>
      </c>
      <c r="F1799" s="5">
        <v>29</v>
      </c>
      <c r="G1799" s="12">
        <f>SUM($D$7:D1799)</f>
        <v>10077704.930000033</v>
      </c>
      <c r="H1799" s="11">
        <f t="shared" ref="H1799:H1862" si="28">G1799/SUM($D$7:$D$4167)</f>
        <v>0.9447832537307651</v>
      </c>
    </row>
    <row r="1800" spans="1:8" ht="15" customHeight="1" x14ac:dyDescent="0.25">
      <c r="A1800" s="5">
        <v>1794</v>
      </c>
      <c r="B1800" s="10" t="s">
        <v>3597</v>
      </c>
      <c r="C1800" s="10" t="s">
        <v>3598</v>
      </c>
      <c r="D1800" s="7">
        <v>859</v>
      </c>
      <c r="E1800" s="5">
        <v>494</v>
      </c>
      <c r="F1800" s="5">
        <v>114</v>
      </c>
      <c r="G1800" s="12">
        <f>SUM($D$7:D1800)</f>
        <v>10078563.930000033</v>
      </c>
      <c r="H1800" s="11">
        <f t="shared" si="28"/>
        <v>0.94486378484579492</v>
      </c>
    </row>
    <row r="1801" spans="1:8" ht="15" customHeight="1" x14ac:dyDescent="0.25">
      <c r="A1801" s="5">
        <v>1795</v>
      </c>
      <c r="B1801" s="10" t="s">
        <v>3599</v>
      </c>
      <c r="C1801" s="10" t="s">
        <v>3600</v>
      </c>
      <c r="D1801" s="7">
        <v>858.78</v>
      </c>
      <c r="E1801" s="5">
        <v>1903</v>
      </c>
      <c r="F1801" s="5">
        <v>240</v>
      </c>
      <c r="G1801" s="12">
        <f>SUM($D$7:D1801)</f>
        <v>10079422.710000033</v>
      </c>
      <c r="H1801" s="11">
        <f t="shared" si="28"/>
        <v>0.94494429533585933</v>
      </c>
    </row>
    <row r="1802" spans="1:8" ht="15" customHeight="1" x14ac:dyDescent="0.25">
      <c r="A1802" s="5">
        <v>1796</v>
      </c>
      <c r="B1802" s="10" t="s">
        <v>3601</v>
      </c>
      <c r="C1802" s="10" t="s">
        <v>3602</v>
      </c>
      <c r="D1802" s="7">
        <v>856.38</v>
      </c>
      <c r="E1802" s="5">
        <v>106</v>
      </c>
      <c r="F1802" s="5">
        <v>67</v>
      </c>
      <c r="G1802" s="12">
        <f>SUM($D$7:D1802)</f>
        <v>10080279.090000033</v>
      </c>
      <c r="H1802" s="11">
        <f t="shared" si="28"/>
        <v>0.94502458082630092</v>
      </c>
    </row>
    <row r="1803" spans="1:8" ht="15" customHeight="1" x14ac:dyDescent="0.25">
      <c r="A1803" s="5">
        <v>1797</v>
      </c>
      <c r="B1803" s="10" t="s">
        <v>3603</v>
      </c>
      <c r="C1803" s="10" t="s">
        <v>3604</v>
      </c>
      <c r="D1803" s="7">
        <v>854.74</v>
      </c>
      <c r="E1803" s="5">
        <v>1373</v>
      </c>
      <c r="F1803" s="5">
        <v>97</v>
      </c>
      <c r="G1803" s="12">
        <f>SUM($D$7:D1803)</f>
        <v>10081133.830000034</v>
      </c>
      <c r="H1803" s="11">
        <f t="shared" si="28"/>
        <v>0.94510471256700013</v>
      </c>
    </row>
    <row r="1804" spans="1:8" ht="15" customHeight="1" x14ac:dyDescent="0.25">
      <c r="A1804" s="5">
        <v>1798</v>
      </c>
      <c r="B1804" s="10" t="s">
        <v>3318</v>
      </c>
      <c r="C1804" s="10" t="s">
        <v>3605</v>
      </c>
      <c r="D1804" s="7">
        <v>852.72</v>
      </c>
      <c r="E1804" s="5">
        <v>248</v>
      </c>
      <c r="F1804" s="5">
        <v>16</v>
      </c>
      <c r="G1804" s="12">
        <f>SUM($D$7:D1804)</f>
        <v>10081986.550000034</v>
      </c>
      <c r="H1804" s="11">
        <f t="shared" si="28"/>
        <v>0.94518465493301673</v>
      </c>
    </row>
    <row r="1805" spans="1:8" ht="15" customHeight="1" x14ac:dyDescent="0.25">
      <c r="A1805" s="5">
        <v>1799</v>
      </c>
      <c r="B1805" s="10" t="s">
        <v>3606</v>
      </c>
      <c r="C1805" s="10" t="s">
        <v>3607</v>
      </c>
      <c r="D1805" s="7">
        <v>852.04</v>
      </c>
      <c r="E1805" s="5">
        <v>667</v>
      </c>
      <c r="F1805" s="5">
        <v>86</v>
      </c>
      <c r="G1805" s="12">
        <f>SUM($D$7:D1805)</f>
        <v>10082838.590000033</v>
      </c>
      <c r="H1805" s="11">
        <f t="shared" si="28"/>
        <v>0.94526453354914008</v>
      </c>
    </row>
    <row r="1806" spans="1:8" ht="15" customHeight="1" x14ac:dyDescent="0.25">
      <c r="A1806" s="5">
        <v>1800</v>
      </c>
      <c r="B1806" s="10" t="s">
        <v>3608</v>
      </c>
      <c r="C1806" s="10" t="s">
        <v>3609</v>
      </c>
      <c r="D1806" s="7">
        <v>850.2</v>
      </c>
      <c r="E1806" s="5">
        <v>1332</v>
      </c>
      <c r="F1806" s="5">
        <v>155</v>
      </c>
      <c r="G1806" s="12">
        <f>SUM($D$7:D1806)</f>
        <v>10083688.790000033</v>
      </c>
      <c r="H1806" s="11">
        <f t="shared" si="28"/>
        <v>0.94534423966555259</v>
      </c>
    </row>
    <row r="1807" spans="1:8" ht="15" customHeight="1" x14ac:dyDescent="0.25">
      <c r="A1807" s="5">
        <v>1801</v>
      </c>
      <c r="B1807" s="10" t="s">
        <v>3610</v>
      </c>
      <c r="C1807" s="10" t="s">
        <v>3611</v>
      </c>
      <c r="D1807" s="7">
        <v>849.55</v>
      </c>
      <c r="E1807" s="5">
        <v>919</v>
      </c>
      <c r="F1807" s="5">
        <v>105</v>
      </c>
      <c r="G1807" s="12">
        <f>SUM($D$7:D1807)</f>
        <v>10084538.340000033</v>
      </c>
      <c r="H1807" s="11">
        <f t="shared" si="28"/>
        <v>0.94542388484456741</v>
      </c>
    </row>
    <row r="1808" spans="1:8" ht="15" customHeight="1" x14ac:dyDescent="0.25">
      <c r="A1808" s="5">
        <v>1802</v>
      </c>
      <c r="B1808" s="10" t="s">
        <v>3612</v>
      </c>
      <c r="C1808" s="10" t="s">
        <v>3613</v>
      </c>
      <c r="D1808" s="7">
        <v>847.94</v>
      </c>
      <c r="E1808" s="5">
        <v>2057</v>
      </c>
      <c r="F1808" s="5">
        <v>71</v>
      </c>
      <c r="G1808" s="12">
        <f>SUM($D$7:D1808)</f>
        <v>10085386.280000033</v>
      </c>
      <c r="H1808" s="11">
        <f t="shared" si="28"/>
        <v>0.94550337908633497</v>
      </c>
    </row>
    <row r="1809" spans="1:8" ht="15" customHeight="1" x14ac:dyDescent="0.25">
      <c r="A1809" s="5">
        <v>1803</v>
      </c>
      <c r="B1809" s="10" t="s">
        <v>3614</v>
      </c>
      <c r="C1809" s="10" t="s">
        <v>3615</v>
      </c>
      <c r="D1809" s="7">
        <v>847.82</v>
      </c>
      <c r="E1809" s="5">
        <v>574</v>
      </c>
      <c r="F1809" s="5">
        <v>33</v>
      </c>
      <c r="G1809" s="12">
        <f>SUM($D$7:D1809)</f>
        <v>10086234.100000033</v>
      </c>
      <c r="H1809" s="11">
        <f t="shared" si="28"/>
        <v>0.94558286207812148</v>
      </c>
    </row>
    <row r="1810" spans="1:8" ht="15" customHeight="1" x14ac:dyDescent="0.25">
      <c r="A1810" s="5">
        <v>1804</v>
      </c>
      <c r="B1810" s="10" t="s">
        <v>3616</v>
      </c>
      <c r="C1810" s="10" t="s">
        <v>3617</v>
      </c>
      <c r="D1810" s="7">
        <v>844.84</v>
      </c>
      <c r="E1810" s="5">
        <v>1931</v>
      </c>
      <c r="F1810" s="5">
        <v>171</v>
      </c>
      <c r="G1810" s="12">
        <f>SUM($D$7:D1810)</f>
        <v>10087078.940000033</v>
      </c>
      <c r="H1810" s="11">
        <f t="shared" si="28"/>
        <v>0.94566206569537625</v>
      </c>
    </row>
    <row r="1811" spans="1:8" ht="15" customHeight="1" x14ac:dyDescent="0.25">
      <c r="A1811" s="5">
        <v>1805</v>
      </c>
      <c r="B1811" s="10" t="s">
        <v>3618</v>
      </c>
      <c r="C1811" s="10" t="s">
        <v>3619</v>
      </c>
      <c r="D1811" s="7">
        <v>843.95</v>
      </c>
      <c r="E1811" s="5">
        <v>175</v>
      </c>
      <c r="F1811" s="5">
        <v>66</v>
      </c>
      <c r="G1811" s="12">
        <f>SUM($D$7:D1811)</f>
        <v>10087922.890000032</v>
      </c>
      <c r="H1811" s="11">
        <f t="shared" si="28"/>
        <v>0.94574118587527078</v>
      </c>
    </row>
    <row r="1812" spans="1:8" ht="15" customHeight="1" x14ac:dyDescent="0.25">
      <c r="A1812" s="5">
        <v>1806</v>
      </c>
      <c r="B1812" s="10" t="s">
        <v>3620</v>
      </c>
      <c r="C1812" s="10" t="s">
        <v>3621</v>
      </c>
      <c r="D1812" s="7">
        <v>841.31</v>
      </c>
      <c r="E1812" s="5">
        <v>644</v>
      </c>
      <c r="F1812" s="5">
        <v>76</v>
      </c>
      <c r="G1812" s="12">
        <f>SUM($D$7:D1812)</f>
        <v>10088764.200000033</v>
      </c>
      <c r="H1812" s="11">
        <f t="shared" si="28"/>
        <v>0.94582005855558016</v>
      </c>
    </row>
    <row r="1813" spans="1:8" ht="15" customHeight="1" x14ac:dyDescent="0.25">
      <c r="A1813" s="5">
        <v>1807</v>
      </c>
      <c r="B1813" s="10" t="s">
        <v>3622</v>
      </c>
      <c r="C1813" s="10" t="s">
        <v>3623</v>
      </c>
      <c r="D1813" s="7">
        <v>841.24</v>
      </c>
      <c r="E1813" s="5">
        <v>264</v>
      </c>
      <c r="F1813" s="5">
        <v>91</v>
      </c>
      <c r="G1813" s="12">
        <f>SUM($D$7:D1813)</f>
        <v>10089605.440000033</v>
      </c>
      <c r="H1813" s="11">
        <f t="shared" si="28"/>
        <v>0.94589892467340053</v>
      </c>
    </row>
    <row r="1814" spans="1:8" ht="15" customHeight="1" x14ac:dyDescent="0.25">
      <c r="A1814" s="5">
        <v>1808</v>
      </c>
      <c r="B1814" s="10" t="s">
        <v>3624</v>
      </c>
      <c r="C1814" s="10" t="s">
        <v>3625</v>
      </c>
      <c r="D1814" s="7">
        <v>841.01</v>
      </c>
      <c r="E1814" s="5">
        <v>1843</v>
      </c>
      <c r="F1814" s="5">
        <v>136</v>
      </c>
      <c r="G1814" s="12">
        <f>SUM($D$7:D1814)</f>
        <v>10090446.450000033</v>
      </c>
      <c r="H1814" s="11">
        <f t="shared" si="28"/>
        <v>0.94597776922875709</v>
      </c>
    </row>
    <row r="1815" spans="1:8" ht="15" customHeight="1" x14ac:dyDescent="0.25">
      <c r="A1815" s="5">
        <v>1809</v>
      </c>
      <c r="B1815" s="10" t="s">
        <v>3626</v>
      </c>
      <c r="C1815" s="10" t="s">
        <v>3627</v>
      </c>
      <c r="D1815" s="7">
        <v>840.47</v>
      </c>
      <c r="E1815" s="5">
        <v>1579</v>
      </c>
      <c r="F1815" s="5">
        <v>81</v>
      </c>
      <c r="G1815" s="12">
        <f>SUM($D$7:D1815)</f>
        <v>10091286.920000033</v>
      </c>
      <c r="H1815" s="11">
        <f t="shared" si="28"/>
        <v>0.9460565631591985</v>
      </c>
    </row>
    <row r="1816" spans="1:8" ht="15" customHeight="1" x14ac:dyDescent="0.25">
      <c r="A1816" s="5">
        <v>1810</v>
      </c>
      <c r="B1816" s="10" t="s">
        <v>3628</v>
      </c>
      <c r="C1816" s="10" t="s">
        <v>3629</v>
      </c>
      <c r="D1816" s="7">
        <v>840.44</v>
      </c>
      <c r="E1816" s="5">
        <v>575</v>
      </c>
      <c r="F1816" s="5">
        <v>105</v>
      </c>
      <c r="G1816" s="12">
        <f>SUM($D$7:D1816)</f>
        <v>10092127.360000033</v>
      </c>
      <c r="H1816" s="11">
        <f t="shared" si="28"/>
        <v>0.94613535427714457</v>
      </c>
    </row>
    <row r="1817" spans="1:8" ht="15" customHeight="1" x14ac:dyDescent="0.25">
      <c r="A1817" s="5">
        <v>1811</v>
      </c>
      <c r="B1817" s="10" t="s">
        <v>3630</v>
      </c>
      <c r="C1817" s="10" t="s">
        <v>3631</v>
      </c>
      <c r="D1817" s="7">
        <v>840.33</v>
      </c>
      <c r="E1817" s="5">
        <v>307</v>
      </c>
      <c r="F1817" s="5">
        <v>24</v>
      </c>
      <c r="G1817" s="12">
        <f>SUM($D$7:D1817)</f>
        <v>10092967.690000033</v>
      </c>
      <c r="H1817" s="11">
        <f t="shared" si="28"/>
        <v>0.94621413508260788</v>
      </c>
    </row>
    <row r="1818" spans="1:8" ht="15" customHeight="1" x14ac:dyDescent="0.25">
      <c r="A1818" s="5">
        <v>1812</v>
      </c>
      <c r="B1818" s="10" t="s">
        <v>3632</v>
      </c>
      <c r="C1818" s="10" t="s">
        <v>3633</v>
      </c>
      <c r="D1818" s="7">
        <v>840.02</v>
      </c>
      <c r="E1818" s="5">
        <v>6591</v>
      </c>
      <c r="F1818" s="5">
        <v>138</v>
      </c>
      <c r="G1818" s="12">
        <f>SUM($D$7:D1818)</f>
        <v>10093807.710000033</v>
      </c>
      <c r="H1818" s="11">
        <f t="shared" si="28"/>
        <v>0.94629288682561996</v>
      </c>
    </row>
    <row r="1819" spans="1:8" ht="15" customHeight="1" x14ac:dyDescent="0.25">
      <c r="A1819" s="5">
        <v>1813</v>
      </c>
      <c r="B1819" s="10" t="s">
        <v>3634</v>
      </c>
      <c r="C1819" s="10" t="s">
        <v>3635</v>
      </c>
      <c r="D1819" s="7">
        <v>838.86</v>
      </c>
      <c r="E1819" s="5">
        <v>290</v>
      </c>
      <c r="F1819" s="5">
        <v>85</v>
      </c>
      <c r="G1819" s="12">
        <f>SUM($D$7:D1819)</f>
        <v>10094646.570000032</v>
      </c>
      <c r="H1819" s="11">
        <f t="shared" si="28"/>
        <v>0.94637152981881423</v>
      </c>
    </row>
    <row r="1820" spans="1:8" ht="15" customHeight="1" x14ac:dyDescent="0.25">
      <c r="A1820" s="5">
        <v>1814</v>
      </c>
      <c r="B1820" s="10" t="s">
        <v>3636</v>
      </c>
      <c r="C1820" s="10" t="s">
        <v>793</v>
      </c>
      <c r="D1820" s="7">
        <v>837.29</v>
      </c>
      <c r="E1820" s="5">
        <v>101</v>
      </c>
      <c r="F1820" s="5">
        <v>60</v>
      </c>
      <c r="G1820" s="12">
        <f>SUM($D$7:D1820)</f>
        <v>10095483.860000031</v>
      </c>
      <c r="H1820" s="11">
        <f t="shared" si="28"/>
        <v>0.94645002562475522</v>
      </c>
    </row>
    <row r="1821" spans="1:8" ht="15" customHeight="1" x14ac:dyDescent="0.25">
      <c r="A1821" s="5">
        <v>1815</v>
      </c>
      <c r="B1821" s="10" t="s">
        <v>3637</v>
      </c>
      <c r="C1821" s="10" t="s">
        <v>3638</v>
      </c>
      <c r="D1821" s="7">
        <v>836.8</v>
      </c>
      <c r="E1821" s="5">
        <v>657</v>
      </c>
      <c r="F1821" s="5">
        <v>61</v>
      </c>
      <c r="G1821" s="12">
        <f>SUM($D$7:D1821)</f>
        <v>10096320.660000032</v>
      </c>
      <c r="H1821" s="11">
        <f t="shared" si="28"/>
        <v>0.94652847549327324</v>
      </c>
    </row>
    <row r="1822" spans="1:8" ht="15" customHeight="1" x14ac:dyDescent="0.25">
      <c r="A1822" s="5">
        <v>1816</v>
      </c>
      <c r="B1822" s="10" t="s">
        <v>3639</v>
      </c>
      <c r="C1822" s="10" t="s">
        <v>3640</v>
      </c>
      <c r="D1822" s="7">
        <v>834.73</v>
      </c>
      <c r="E1822" s="5">
        <v>660</v>
      </c>
      <c r="F1822" s="5">
        <v>103</v>
      </c>
      <c r="G1822" s="12">
        <f>SUM($D$7:D1822)</f>
        <v>10097155.390000032</v>
      </c>
      <c r="H1822" s="11">
        <f t="shared" si="28"/>
        <v>0.94660673129961659</v>
      </c>
    </row>
    <row r="1823" spans="1:8" ht="15" customHeight="1" x14ac:dyDescent="0.25">
      <c r="A1823" s="5">
        <v>1817</v>
      </c>
      <c r="B1823" s="10" t="s">
        <v>3641</v>
      </c>
      <c r="C1823" s="10" t="s">
        <v>3642</v>
      </c>
      <c r="D1823" s="7">
        <v>833.49</v>
      </c>
      <c r="E1823" s="5">
        <v>657</v>
      </c>
      <c r="F1823" s="5">
        <v>113</v>
      </c>
      <c r="G1823" s="12">
        <f>SUM($D$7:D1823)</f>
        <v>10097988.880000032</v>
      </c>
      <c r="H1823" s="11">
        <f t="shared" si="28"/>
        <v>0.94668487085615471</v>
      </c>
    </row>
    <row r="1824" spans="1:8" ht="15" customHeight="1" x14ac:dyDescent="0.25">
      <c r="A1824" s="5">
        <v>1818</v>
      </c>
      <c r="B1824" s="10" t="s">
        <v>3643</v>
      </c>
      <c r="C1824" s="10" t="s">
        <v>3644</v>
      </c>
      <c r="D1824" s="7">
        <v>833.46</v>
      </c>
      <c r="E1824" s="5">
        <v>270</v>
      </c>
      <c r="F1824" s="5">
        <v>16</v>
      </c>
      <c r="G1824" s="12">
        <f>SUM($D$7:D1824)</f>
        <v>10098822.340000033</v>
      </c>
      <c r="H1824" s="11">
        <f t="shared" si="28"/>
        <v>0.9467630076001976</v>
      </c>
    </row>
    <row r="1825" spans="1:8" ht="15" customHeight="1" x14ac:dyDescent="0.25">
      <c r="A1825" s="5">
        <v>1819</v>
      </c>
      <c r="B1825" s="10" t="s">
        <v>3645</v>
      </c>
      <c r="C1825" s="10" t="s">
        <v>3646</v>
      </c>
      <c r="D1825" s="7">
        <v>833.07</v>
      </c>
      <c r="E1825" s="5">
        <v>921</v>
      </c>
      <c r="F1825" s="5">
        <v>161</v>
      </c>
      <c r="G1825" s="12">
        <f>SUM($D$7:D1825)</f>
        <v>10099655.410000034</v>
      </c>
      <c r="H1825" s="11">
        <f t="shared" si="28"/>
        <v>0.94684110778180175</v>
      </c>
    </row>
    <row r="1826" spans="1:8" ht="15" customHeight="1" x14ac:dyDescent="0.25">
      <c r="A1826" s="5">
        <v>1820</v>
      </c>
      <c r="B1826" s="10" t="s">
        <v>3647</v>
      </c>
      <c r="C1826" s="10" t="s">
        <v>3648</v>
      </c>
      <c r="D1826" s="7">
        <v>832.51</v>
      </c>
      <c r="E1826" s="5">
        <v>840</v>
      </c>
      <c r="F1826" s="5">
        <v>82</v>
      </c>
      <c r="G1826" s="12">
        <f>SUM($D$7:D1826)</f>
        <v>10100487.920000033</v>
      </c>
      <c r="H1826" s="11">
        <f t="shared" si="28"/>
        <v>0.94691915546349381</v>
      </c>
    </row>
    <row r="1827" spans="1:8" ht="15" customHeight="1" x14ac:dyDescent="0.25">
      <c r="A1827" s="5">
        <v>1821</v>
      </c>
      <c r="B1827" s="10" t="s">
        <v>3649</v>
      </c>
      <c r="C1827" s="10" t="s">
        <v>3650</v>
      </c>
      <c r="D1827" s="7">
        <v>831.84</v>
      </c>
      <c r="E1827" s="5">
        <v>1622</v>
      </c>
      <c r="F1827" s="5">
        <v>31</v>
      </c>
      <c r="G1827" s="12">
        <f>SUM($D$7:D1827)</f>
        <v>10101319.760000033</v>
      </c>
      <c r="H1827" s="11">
        <f t="shared" si="28"/>
        <v>0.94699714033279114</v>
      </c>
    </row>
    <row r="1828" spans="1:8" ht="15" customHeight="1" x14ac:dyDescent="0.25">
      <c r="A1828" s="5">
        <v>1822</v>
      </c>
      <c r="B1828" s="10" t="s">
        <v>3651</v>
      </c>
      <c r="C1828" s="10" t="s">
        <v>3652</v>
      </c>
      <c r="D1828" s="7">
        <v>831.02</v>
      </c>
      <c r="E1828" s="5">
        <v>2472</v>
      </c>
      <c r="F1828" s="5">
        <v>101</v>
      </c>
      <c r="G1828" s="12">
        <f>SUM($D$7:D1828)</f>
        <v>10102150.780000033</v>
      </c>
      <c r="H1828" s="11">
        <f t="shared" si="28"/>
        <v>0.94707504832721734</v>
      </c>
    </row>
    <row r="1829" spans="1:8" ht="15" customHeight="1" x14ac:dyDescent="0.25">
      <c r="A1829" s="5">
        <v>1823</v>
      </c>
      <c r="B1829" s="10" t="s">
        <v>3653</v>
      </c>
      <c r="C1829" s="10" t="s">
        <v>3654</v>
      </c>
      <c r="D1829" s="7">
        <v>830.03</v>
      </c>
      <c r="E1829" s="5">
        <v>225</v>
      </c>
      <c r="F1829" s="5">
        <v>65</v>
      </c>
      <c r="G1829" s="12">
        <f>SUM($D$7:D1829)</f>
        <v>10102980.810000032</v>
      </c>
      <c r="H1829" s="11">
        <f t="shared" si="28"/>
        <v>0.94715286350929895</v>
      </c>
    </row>
    <row r="1830" spans="1:8" ht="15" customHeight="1" x14ac:dyDescent="0.25">
      <c r="A1830" s="5">
        <v>1824</v>
      </c>
      <c r="B1830" s="10" t="s">
        <v>3655</v>
      </c>
      <c r="C1830" s="10" t="s">
        <v>3656</v>
      </c>
      <c r="D1830" s="7">
        <v>827.82</v>
      </c>
      <c r="E1830" s="5">
        <v>290</v>
      </c>
      <c r="F1830" s="5">
        <v>41</v>
      </c>
      <c r="G1830" s="12">
        <f>SUM($D$7:D1830)</f>
        <v>10103808.630000032</v>
      </c>
      <c r="H1830" s="11">
        <f t="shared" si="28"/>
        <v>0.94723047150422801</v>
      </c>
    </row>
    <row r="1831" spans="1:8" ht="15" customHeight="1" x14ac:dyDescent="0.25">
      <c r="A1831" s="5">
        <v>1825</v>
      </c>
      <c r="B1831" s="10" t="s">
        <v>3657</v>
      </c>
      <c r="C1831" s="10" t="s">
        <v>3658</v>
      </c>
      <c r="D1831" s="7">
        <v>827.63</v>
      </c>
      <c r="E1831" s="5">
        <v>453</v>
      </c>
      <c r="F1831" s="5">
        <v>78</v>
      </c>
      <c r="G1831" s="12">
        <f>SUM($D$7:D1831)</f>
        <v>10104636.260000033</v>
      </c>
      <c r="H1831" s="11">
        <f t="shared" si="28"/>
        <v>0.94730806168668691</v>
      </c>
    </row>
    <row r="1832" spans="1:8" ht="15" customHeight="1" x14ac:dyDescent="0.25">
      <c r="A1832" s="5">
        <v>1826</v>
      </c>
      <c r="B1832" s="10" t="s">
        <v>3659</v>
      </c>
      <c r="C1832" s="10" t="s">
        <v>3660</v>
      </c>
      <c r="D1832" s="7">
        <v>826.46</v>
      </c>
      <c r="E1832" s="5">
        <v>944</v>
      </c>
      <c r="F1832" s="5">
        <v>145</v>
      </c>
      <c r="G1832" s="12">
        <f>SUM($D$7:D1832)</f>
        <v>10105462.720000034</v>
      </c>
      <c r="H1832" s="11">
        <f t="shared" si="28"/>
        <v>0.94738554218182969</v>
      </c>
    </row>
    <row r="1833" spans="1:8" ht="15" customHeight="1" x14ac:dyDescent="0.25">
      <c r="A1833" s="5">
        <v>1827</v>
      </c>
      <c r="B1833" s="10" t="s">
        <v>3661</v>
      </c>
      <c r="C1833" s="10" t="s">
        <v>3662</v>
      </c>
      <c r="D1833" s="7">
        <v>826.28</v>
      </c>
      <c r="E1833" s="5">
        <v>67</v>
      </c>
      <c r="F1833" s="5">
        <v>22</v>
      </c>
      <c r="G1833" s="12">
        <f>SUM($D$7:D1833)</f>
        <v>10106289.000000034</v>
      </c>
      <c r="H1833" s="11">
        <f t="shared" si="28"/>
        <v>0.9474630058020006</v>
      </c>
    </row>
    <row r="1834" spans="1:8" ht="15" customHeight="1" x14ac:dyDescent="0.25">
      <c r="A1834" s="5">
        <v>1828</v>
      </c>
      <c r="B1834" s="10" t="s">
        <v>3663</v>
      </c>
      <c r="C1834" s="10" t="s">
        <v>3664</v>
      </c>
      <c r="D1834" s="7">
        <v>825.49</v>
      </c>
      <c r="E1834" s="5">
        <v>1618</v>
      </c>
      <c r="F1834" s="5">
        <v>71</v>
      </c>
      <c r="G1834" s="12">
        <f>SUM($D$7:D1834)</f>
        <v>10107114.490000034</v>
      </c>
      <c r="H1834" s="11">
        <f t="shared" si="28"/>
        <v>0.94754039535979573</v>
      </c>
    </row>
    <row r="1835" spans="1:8" ht="15" customHeight="1" x14ac:dyDescent="0.25">
      <c r="A1835" s="5">
        <v>1829</v>
      </c>
      <c r="B1835" s="10" t="s">
        <v>3665</v>
      </c>
      <c r="C1835" s="10" t="s">
        <v>3666</v>
      </c>
      <c r="D1835" s="7">
        <v>824.08</v>
      </c>
      <c r="E1835" s="5">
        <v>1835</v>
      </c>
      <c r="F1835" s="5">
        <v>160</v>
      </c>
      <c r="G1835" s="12">
        <f>SUM($D$7:D1835)</f>
        <v>10107938.570000034</v>
      </c>
      <c r="H1835" s="11">
        <f t="shared" si="28"/>
        <v>0.9476176527303124</v>
      </c>
    </row>
    <row r="1836" spans="1:8" ht="15" customHeight="1" x14ac:dyDescent="0.25">
      <c r="A1836" s="5">
        <v>1830</v>
      </c>
      <c r="B1836" s="10" t="s">
        <v>3667</v>
      </c>
      <c r="C1836" s="10" t="s">
        <v>3668</v>
      </c>
      <c r="D1836" s="7">
        <v>823.74</v>
      </c>
      <c r="E1836" s="5">
        <v>948</v>
      </c>
      <c r="F1836" s="5">
        <v>73</v>
      </c>
      <c r="G1836" s="12">
        <f>SUM($D$7:D1836)</f>
        <v>10108762.310000034</v>
      </c>
      <c r="H1836" s="11">
        <f t="shared" si="28"/>
        <v>0.9476948782258825</v>
      </c>
    </row>
    <row r="1837" spans="1:8" ht="15" customHeight="1" x14ac:dyDescent="0.25">
      <c r="A1837" s="5">
        <v>1831</v>
      </c>
      <c r="B1837" s="10" t="s">
        <v>3669</v>
      </c>
      <c r="C1837" s="10" t="s">
        <v>3670</v>
      </c>
      <c r="D1837" s="7">
        <v>823.71</v>
      </c>
      <c r="E1837" s="5">
        <v>761</v>
      </c>
      <c r="F1837" s="5">
        <v>160</v>
      </c>
      <c r="G1837" s="12">
        <f>SUM($D$7:D1837)</f>
        <v>10109586.020000035</v>
      </c>
      <c r="H1837" s="11">
        <f t="shared" si="28"/>
        <v>0.94777210090895736</v>
      </c>
    </row>
    <row r="1838" spans="1:8" ht="15" customHeight="1" x14ac:dyDescent="0.25">
      <c r="A1838" s="5">
        <v>1832</v>
      </c>
      <c r="B1838" s="10" t="s">
        <v>3671</v>
      </c>
      <c r="C1838" s="10" t="s">
        <v>3672</v>
      </c>
      <c r="D1838" s="7">
        <v>821.98</v>
      </c>
      <c r="E1838" s="5">
        <v>1845</v>
      </c>
      <c r="F1838" s="5">
        <v>76</v>
      </c>
      <c r="G1838" s="12">
        <f>SUM($D$7:D1838)</f>
        <v>10110408.000000035</v>
      </c>
      <c r="H1838" s="11">
        <f t="shared" si="28"/>
        <v>0.94784916140480402</v>
      </c>
    </row>
    <row r="1839" spans="1:8" ht="15" customHeight="1" x14ac:dyDescent="0.25">
      <c r="A1839" s="5">
        <v>1833</v>
      </c>
      <c r="B1839" s="10" t="s">
        <v>3673</v>
      </c>
      <c r="C1839" s="10" t="s">
        <v>3674</v>
      </c>
      <c r="D1839" s="7">
        <v>819.64</v>
      </c>
      <c r="E1839" s="5">
        <v>943</v>
      </c>
      <c r="F1839" s="5">
        <v>52</v>
      </c>
      <c r="G1839" s="12">
        <f>SUM($D$7:D1839)</f>
        <v>10111227.640000036</v>
      </c>
      <c r="H1839" s="11">
        <f t="shared" si="28"/>
        <v>0.94792600252601833</v>
      </c>
    </row>
    <row r="1840" spans="1:8" ht="15" customHeight="1" x14ac:dyDescent="0.25">
      <c r="A1840" s="5">
        <v>1834</v>
      </c>
      <c r="B1840" s="10" t="s">
        <v>3675</v>
      </c>
      <c r="C1840" s="10" t="s">
        <v>3676</v>
      </c>
      <c r="D1840" s="7">
        <v>819.46</v>
      </c>
      <c r="E1840" s="5">
        <v>1982</v>
      </c>
      <c r="F1840" s="5">
        <v>70</v>
      </c>
      <c r="G1840" s="12">
        <f>SUM($D$7:D1840)</f>
        <v>10112047.100000037</v>
      </c>
      <c r="H1840" s="11">
        <f t="shared" si="28"/>
        <v>0.948002826772261</v>
      </c>
    </row>
    <row r="1841" spans="1:8" ht="15" customHeight="1" x14ac:dyDescent="0.25">
      <c r="A1841" s="5">
        <v>1835</v>
      </c>
      <c r="B1841" s="10" t="s">
        <v>3677</v>
      </c>
      <c r="C1841" s="10" t="s">
        <v>3678</v>
      </c>
      <c r="D1841" s="7">
        <v>813.02</v>
      </c>
      <c r="E1841" s="5">
        <v>812</v>
      </c>
      <c r="F1841" s="5">
        <v>88</v>
      </c>
      <c r="G1841" s="12">
        <f>SUM($D$7:D1841)</f>
        <v>10112860.120000036</v>
      </c>
      <c r="H1841" s="11">
        <f t="shared" si="28"/>
        <v>0.94807904726951542</v>
      </c>
    </row>
    <row r="1842" spans="1:8" ht="15" customHeight="1" x14ac:dyDescent="0.25">
      <c r="A1842" s="5">
        <v>1836</v>
      </c>
      <c r="B1842" s="10" t="s">
        <v>3679</v>
      </c>
      <c r="C1842" s="10" t="s">
        <v>1355</v>
      </c>
      <c r="D1842" s="7">
        <v>812.84</v>
      </c>
      <c r="E1842" s="5">
        <v>244</v>
      </c>
      <c r="F1842" s="5">
        <v>36</v>
      </c>
      <c r="G1842" s="12">
        <f>SUM($D$7:D1842)</f>
        <v>10113672.960000036</v>
      </c>
      <c r="H1842" s="11">
        <f t="shared" si="28"/>
        <v>0.94815525089179808</v>
      </c>
    </row>
    <row r="1843" spans="1:8" ht="15" customHeight="1" x14ac:dyDescent="0.25">
      <c r="A1843" s="5">
        <v>1837</v>
      </c>
      <c r="B1843" s="10" t="s">
        <v>3680</v>
      </c>
      <c r="C1843" s="10" t="s">
        <v>3681</v>
      </c>
      <c r="D1843" s="7">
        <v>812.53</v>
      </c>
      <c r="E1843" s="5">
        <v>1105</v>
      </c>
      <c r="F1843" s="5">
        <v>65</v>
      </c>
      <c r="G1843" s="12">
        <f>SUM($D$7:D1843)</f>
        <v>10114485.490000036</v>
      </c>
      <c r="H1843" s="11">
        <f t="shared" si="28"/>
        <v>0.94823142545162953</v>
      </c>
    </row>
    <row r="1844" spans="1:8" ht="15" customHeight="1" x14ac:dyDescent="0.25">
      <c r="A1844" s="5">
        <v>1838</v>
      </c>
      <c r="B1844" s="10" t="s">
        <v>3682</v>
      </c>
      <c r="C1844" s="10" t="s">
        <v>3683</v>
      </c>
      <c r="D1844" s="7">
        <v>808.16</v>
      </c>
      <c r="E1844" s="5">
        <v>422</v>
      </c>
      <c r="F1844" s="5">
        <v>22</v>
      </c>
      <c r="G1844" s="12">
        <f>SUM($D$7:D1844)</f>
        <v>10115293.650000036</v>
      </c>
      <c r="H1844" s="11">
        <f t="shared" si="28"/>
        <v>0.94830719032464761</v>
      </c>
    </row>
    <row r="1845" spans="1:8" ht="15" customHeight="1" x14ac:dyDescent="0.25">
      <c r="A1845" s="5">
        <v>1839</v>
      </c>
      <c r="B1845" s="10" t="s">
        <v>3684</v>
      </c>
      <c r="C1845" s="10" t="s">
        <v>3685</v>
      </c>
      <c r="D1845" s="7">
        <v>806.2</v>
      </c>
      <c r="E1845" s="5">
        <v>928</v>
      </c>
      <c r="F1845" s="5">
        <v>92</v>
      </c>
      <c r="G1845" s="12">
        <f>SUM($D$7:D1845)</f>
        <v>10116099.850000035</v>
      </c>
      <c r="H1845" s="11">
        <f t="shared" si="28"/>
        <v>0.94838277144797356</v>
      </c>
    </row>
    <row r="1846" spans="1:8" ht="15" customHeight="1" x14ac:dyDescent="0.25">
      <c r="A1846" s="5">
        <v>1840</v>
      </c>
      <c r="B1846" s="10" t="s">
        <v>3686</v>
      </c>
      <c r="C1846" s="10" t="s">
        <v>3687</v>
      </c>
      <c r="D1846" s="7">
        <v>806.04</v>
      </c>
      <c r="E1846" s="5">
        <v>217</v>
      </c>
      <c r="F1846" s="5">
        <v>79</v>
      </c>
      <c r="G1846" s="12">
        <f>SUM($D$7:D1846)</f>
        <v>10116905.890000034</v>
      </c>
      <c r="H1846" s="11">
        <f t="shared" si="28"/>
        <v>0.94845833757132469</v>
      </c>
    </row>
    <row r="1847" spans="1:8" ht="15" customHeight="1" x14ac:dyDescent="0.25">
      <c r="A1847" s="5">
        <v>1841</v>
      </c>
      <c r="B1847" s="10" t="s">
        <v>3688</v>
      </c>
      <c r="C1847" s="10" t="s">
        <v>3689</v>
      </c>
      <c r="D1847" s="7">
        <v>804.65</v>
      </c>
      <c r="E1847" s="5">
        <v>1446</v>
      </c>
      <c r="F1847" s="5">
        <v>153</v>
      </c>
      <c r="G1847" s="12">
        <f>SUM($D$7:D1847)</f>
        <v>10117710.540000034</v>
      </c>
      <c r="H1847" s="11">
        <f t="shared" si="28"/>
        <v>0.94853377338239431</v>
      </c>
    </row>
    <row r="1848" spans="1:8" ht="15" customHeight="1" x14ac:dyDescent="0.25">
      <c r="A1848" s="5">
        <v>1842</v>
      </c>
      <c r="B1848" s="10" t="s">
        <v>3690</v>
      </c>
      <c r="C1848" s="10" t="s">
        <v>3691</v>
      </c>
      <c r="D1848" s="7">
        <v>802.13</v>
      </c>
      <c r="E1848" s="5">
        <v>447</v>
      </c>
      <c r="F1848" s="5">
        <v>49</v>
      </c>
      <c r="G1848" s="12">
        <f>SUM($D$7:D1848)</f>
        <v>10118512.670000035</v>
      </c>
      <c r="H1848" s="11">
        <f t="shared" si="28"/>
        <v>0.94860897294385993</v>
      </c>
    </row>
    <row r="1849" spans="1:8" ht="15" customHeight="1" x14ac:dyDescent="0.25">
      <c r="A1849" s="5">
        <v>1843</v>
      </c>
      <c r="B1849" s="10" t="s">
        <v>3692</v>
      </c>
      <c r="C1849" s="10" t="s">
        <v>3693</v>
      </c>
      <c r="D1849" s="7">
        <v>801.68</v>
      </c>
      <c r="E1849" s="5">
        <v>215</v>
      </c>
      <c r="F1849" s="5">
        <v>43</v>
      </c>
      <c r="G1849" s="12">
        <f>SUM($D$7:D1849)</f>
        <v>10119314.350000035</v>
      </c>
      <c r="H1849" s="11">
        <f t="shared" si="28"/>
        <v>0.94868413031789611</v>
      </c>
    </row>
    <row r="1850" spans="1:8" ht="15" customHeight="1" x14ac:dyDescent="0.25">
      <c r="A1850" s="5">
        <v>1844</v>
      </c>
      <c r="B1850" s="10" t="s">
        <v>3694</v>
      </c>
      <c r="C1850" s="10" t="s">
        <v>3695</v>
      </c>
      <c r="D1850" s="7">
        <v>801.36</v>
      </c>
      <c r="E1850" s="5">
        <v>1908</v>
      </c>
      <c r="F1850" s="5">
        <v>77</v>
      </c>
      <c r="G1850" s="12">
        <f>SUM($D$7:D1850)</f>
        <v>10120115.710000034</v>
      </c>
      <c r="H1850" s="11">
        <f t="shared" si="28"/>
        <v>0.94875925769198255</v>
      </c>
    </row>
    <row r="1851" spans="1:8" ht="15" customHeight="1" x14ac:dyDescent="0.25">
      <c r="A1851" s="5">
        <v>1845</v>
      </c>
      <c r="B1851" s="10" t="s">
        <v>3696</v>
      </c>
      <c r="C1851" s="10" t="s">
        <v>3697</v>
      </c>
      <c r="D1851" s="7">
        <v>800.4</v>
      </c>
      <c r="E1851" s="5">
        <v>2104</v>
      </c>
      <c r="F1851" s="5">
        <v>86</v>
      </c>
      <c r="G1851" s="12">
        <f>SUM($D$7:D1851)</f>
        <v>10120916.110000035</v>
      </c>
      <c r="H1851" s="11">
        <f t="shared" si="28"/>
        <v>0.94883429506621997</v>
      </c>
    </row>
    <row r="1852" spans="1:8" ht="15" customHeight="1" x14ac:dyDescent="0.25">
      <c r="A1852" s="5">
        <v>1846</v>
      </c>
      <c r="B1852" s="10" t="s">
        <v>3698</v>
      </c>
      <c r="C1852" s="10" t="s">
        <v>3699</v>
      </c>
      <c r="D1852" s="7">
        <v>797.31</v>
      </c>
      <c r="E1852" s="5">
        <v>256</v>
      </c>
      <c r="F1852" s="5">
        <v>17</v>
      </c>
      <c r="G1852" s="12">
        <f>SUM($D$7:D1852)</f>
        <v>10121713.420000035</v>
      </c>
      <c r="H1852" s="11">
        <f t="shared" si="28"/>
        <v>0.9489090427534429</v>
      </c>
    </row>
    <row r="1853" spans="1:8" ht="15" customHeight="1" x14ac:dyDescent="0.25">
      <c r="A1853" s="5">
        <v>1847</v>
      </c>
      <c r="B1853" s="10" t="s">
        <v>3700</v>
      </c>
      <c r="C1853" s="10" t="s">
        <v>3701</v>
      </c>
      <c r="D1853" s="7">
        <v>797.14</v>
      </c>
      <c r="E1853" s="5">
        <v>262</v>
      </c>
      <c r="F1853" s="5">
        <v>57</v>
      </c>
      <c r="G1853" s="12">
        <f>SUM($D$7:D1853)</f>
        <v>10122510.560000036</v>
      </c>
      <c r="H1853" s="11">
        <f t="shared" si="28"/>
        <v>0.94898377450319249</v>
      </c>
    </row>
    <row r="1854" spans="1:8" ht="15" customHeight="1" x14ac:dyDescent="0.25">
      <c r="A1854" s="5">
        <v>1848</v>
      </c>
      <c r="B1854" s="10" t="s">
        <v>3702</v>
      </c>
      <c r="C1854" s="10" t="s">
        <v>3703</v>
      </c>
      <c r="D1854" s="7">
        <v>796.99</v>
      </c>
      <c r="E1854" s="5">
        <v>451</v>
      </c>
      <c r="F1854" s="5">
        <v>100</v>
      </c>
      <c r="G1854" s="12">
        <f>SUM($D$7:D1854)</f>
        <v>10123307.550000036</v>
      </c>
      <c r="H1854" s="11">
        <f t="shared" si="28"/>
        <v>0.94905849219046567</v>
      </c>
    </row>
    <row r="1855" spans="1:8" ht="15" customHeight="1" x14ac:dyDescent="0.25">
      <c r="A1855" s="5">
        <v>1849</v>
      </c>
      <c r="B1855" s="10" t="s">
        <v>3704</v>
      </c>
      <c r="C1855" s="10" t="s">
        <v>3705</v>
      </c>
      <c r="D1855" s="7">
        <v>795.58</v>
      </c>
      <c r="E1855" s="5">
        <v>80</v>
      </c>
      <c r="F1855" s="5">
        <v>44</v>
      </c>
      <c r="G1855" s="12">
        <f>SUM($D$7:D1855)</f>
        <v>10124103.130000036</v>
      </c>
      <c r="H1855" s="11">
        <f t="shared" si="28"/>
        <v>0.9491330776904604</v>
      </c>
    </row>
    <row r="1856" spans="1:8" ht="15" customHeight="1" x14ac:dyDescent="0.25">
      <c r="A1856" s="5">
        <v>1850</v>
      </c>
      <c r="B1856" s="10" t="s">
        <v>3706</v>
      </c>
      <c r="C1856" s="10" t="s">
        <v>3707</v>
      </c>
      <c r="D1856" s="7">
        <v>795.05</v>
      </c>
      <c r="E1856" s="5">
        <v>279</v>
      </c>
      <c r="F1856" s="5">
        <v>81</v>
      </c>
      <c r="G1856" s="12">
        <f>SUM($D$7:D1856)</f>
        <v>10124898.180000037</v>
      </c>
      <c r="H1856" s="11">
        <f t="shared" si="28"/>
        <v>0.94920761350303839</v>
      </c>
    </row>
    <row r="1857" spans="1:8" ht="15" customHeight="1" x14ac:dyDescent="0.25">
      <c r="A1857" s="5">
        <v>1851</v>
      </c>
      <c r="B1857" s="10" t="s">
        <v>3708</v>
      </c>
      <c r="C1857" s="10" t="s">
        <v>3709</v>
      </c>
      <c r="D1857" s="7">
        <v>795.02</v>
      </c>
      <c r="E1857" s="5">
        <v>479</v>
      </c>
      <c r="F1857" s="5">
        <v>86</v>
      </c>
      <c r="G1857" s="12">
        <f>SUM($D$7:D1857)</f>
        <v>10125693.200000037</v>
      </c>
      <c r="H1857" s="11">
        <f t="shared" si="28"/>
        <v>0.94928214650312115</v>
      </c>
    </row>
    <row r="1858" spans="1:8" ht="15" customHeight="1" x14ac:dyDescent="0.25">
      <c r="A1858" s="5">
        <v>1852</v>
      </c>
      <c r="B1858" s="10" t="s">
        <v>3710</v>
      </c>
      <c r="C1858" s="10" t="s">
        <v>3711</v>
      </c>
      <c r="D1858" s="7">
        <v>794.88</v>
      </c>
      <c r="E1858" s="5">
        <v>879</v>
      </c>
      <c r="F1858" s="5">
        <v>150</v>
      </c>
      <c r="G1858" s="12">
        <f>SUM($D$7:D1858)</f>
        <v>10126488.080000037</v>
      </c>
      <c r="H1858" s="11">
        <f t="shared" si="28"/>
        <v>0.94935666637822591</v>
      </c>
    </row>
    <row r="1859" spans="1:8" ht="15" customHeight="1" x14ac:dyDescent="0.25">
      <c r="A1859" s="5">
        <v>1853</v>
      </c>
      <c r="B1859" s="10" t="s">
        <v>3712</v>
      </c>
      <c r="C1859" s="10" t="s">
        <v>3713</v>
      </c>
      <c r="D1859" s="7">
        <v>794.15</v>
      </c>
      <c r="E1859" s="5">
        <v>1465</v>
      </c>
      <c r="F1859" s="5">
        <v>162</v>
      </c>
      <c r="G1859" s="12">
        <f>SUM($D$7:D1859)</f>
        <v>10127282.230000038</v>
      </c>
      <c r="H1859" s="11">
        <f t="shared" si="28"/>
        <v>0.94943111781594525</v>
      </c>
    </row>
    <row r="1860" spans="1:8" ht="15" customHeight="1" x14ac:dyDescent="0.25">
      <c r="A1860" s="5">
        <v>1854</v>
      </c>
      <c r="B1860" s="10" t="s">
        <v>3714</v>
      </c>
      <c r="C1860" s="10" t="s">
        <v>3715</v>
      </c>
      <c r="D1860" s="7">
        <v>792.86</v>
      </c>
      <c r="E1860" s="5">
        <v>378</v>
      </c>
      <c r="F1860" s="5">
        <v>96</v>
      </c>
      <c r="G1860" s="12">
        <f>SUM($D$7:D1860)</f>
        <v>10128075.090000037</v>
      </c>
      <c r="H1860" s="11">
        <f t="shared" si="28"/>
        <v>0.9495054483163673</v>
      </c>
    </row>
    <row r="1861" spans="1:8" ht="15" customHeight="1" x14ac:dyDescent="0.25">
      <c r="A1861" s="5">
        <v>1855</v>
      </c>
      <c r="B1861" s="10" t="s">
        <v>3716</v>
      </c>
      <c r="C1861" s="10" t="s">
        <v>3717</v>
      </c>
      <c r="D1861" s="7">
        <v>792.47</v>
      </c>
      <c r="E1861" s="5">
        <v>283</v>
      </c>
      <c r="F1861" s="5">
        <v>52</v>
      </c>
      <c r="G1861" s="12">
        <f>SUM($D$7:D1861)</f>
        <v>10128867.560000038</v>
      </c>
      <c r="H1861" s="11">
        <f t="shared" si="28"/>
        <v>0.94957974225435071</v>
      </c>
    </row>
    <row r="1862" spans="1:8" ht="15" customHeight="1" x14ac:dyDescent="0.25">
      <c r="A1862" s="5">
        <v>1856</v>
      </c>
      <c r="B1862" s="10" t="s">
        <v>3718</v>
      </c>
      <c r="C1862" s="10" t="s">
        <v>3719</v>
      </c>
      <c r="D1862" s="7">
        <v>792.31</v>
      </c>
      <c r="E1862" s="5">
        <v>224</v>
      </c>
      <c r="F1862" s="5">
        <v>24</v>
      </c>
      <c r="G1862" s="12">
        <f>SUM($D$7:D1862)</f>
        <v>10129659.870000038</v>
      </c>
      <c r="H1862" s="11">
        <f t="shared" si="28"/>
        <v>0.94965402119235931</v>
      </c>
    </row>
    <row r="1863" spans="1:8" ht="15" customHeight="1" x14ac:dyDescent="0.25">
      <c r="A1863" s="5">
        <v>1857</v>
      </c>
      <c r="B1863" s="10" t="s">
        <v>3720</v>
      </c>
      <c r="C1863" s="10" t="s">
        <v>3721</v>
      </c>
      <c r="D1863" s="7">
        <v>792.28</v>
      </c>
      <c r="E1863" s="5">
        <v>1411</v>
      </c>
      <c r="F1863" s="5">
        <v>128</v>
      </c>
      <c r="G1863" s="12">
        <f>SUM($D$7:D1863)</f>
        <v>10130452.150000038</v>
      </c>
      <c r="H1863" s="11">
        <f t="shared" ref="H1863:H1926" si="29">G1863/SUM($D$7:$D$4167)</f>
        <v>0.94972829731787245</v>
      </c>
    </row>
    <row r="1864" spans="1:8" ht="15" customHeight="1" x14ac:dyDescent="0.25">
      <c r="A1864" s="5">
        <v>1858</v>
      </c>
      <c r="B1864" s="10" t="s">
        <v>3722</v>
      </c>
      <c r="C1864" s="10" t="s">
        <v>3723</v>
      </c>
      <c r="D1864" s="7">
        <v>788.97</v>
      </c>
      <c r="E1864" s="5">
        <v>1915</v>
      </c>
      <c r="F1864" s="5">
        <v>115</v>
      </c>
      <c r="G1864" s="12">
        <f>SUM($D$7:D1864)</f>
        <v>10131241.120000038</v>
      </c>
      <c r="H1864" s="11">
        <f t="shared" si="29"/>
        <v>0.94980226313140581</v>
      </c>
    </row>
    <row r="1865" spans="1:8" ht="15" customHeight="1" x14ac:dyDescent="0.25">
      <c r="A1865" s="5">
        <v>1859</v>
      </c>
      <c r="B1865" s="10" t="s">
        <v>3724</v>
      </c>
      <c r="C1865" s="10" t="s">
        <v>3725</v>
      </c>
      <c r="D1865" s="7">
        <v>787.52</v>
      </c>
      <c r="E1865" s="5">
        <v>630</v>
      </c>
      <c r="F1865" s="5">
        <v>48</v>
      </c>
      <c r="G1865" s="12">
        <f>SUM($D$7:D1865)</f>
        <v>10132028.640000038</v>
      </c>
      <c r="H1865" s="11">
        <f t="shared" si="29"/>
        <v>0.94987609300766684</v>
      </c>
    </row>
    <row r="1866" spans="1:8" ht="15" customHeight="1" x14ac:dyDescent="0.25">
      <c r="A1866" s="5">
        <v>1860</v>
      </c>
      <c r="B1866" s="10" t="s">
        <v>3726</v>
      </c>
      <c r="C1866" s="10" t="s">
        <v>3727</v>
      </c>
      <c r="D1866" s="7">
        <v>786.31</v>
      </c>
      <c r="E1866" s="5">
        <v>868</v>
      </c>
      <c r="F1866" s="5">
        <v>103</v>
      </c>
      <c r="G1866" s="12">
        <f>SUM($D$7:D1866)</f>
        <v>10132814.950000038</v>
      </c>
      <c r="H1866" s="11">
        <f t="shared" si="29"/>
        <v>0.94994980944661822</v>
      </c>
    </row>
    <row r="1867" spans="1:8" ht="15" customHeight="1" x14ac:dyDescent="0.25">
      <c r="A1867" s="5">
        <v>1861</v>
      </c>
      <c r="B1867" s="10" t="s">
        <v>3728</v>
      </c>
      <c r="C1867" s="10" t="s">
        <v>3729</v>
      </c>
      <c r="D1867" s="7">
        <v>785.95</v>
      </c>
      <c r="E1867" s="5">
        <v>195</v>
      </c>
      <c r="F1867" s="5">
        <v>69</v>
      </c>
      <c r="G1867" s="12">
        <f>SUM($D$7:D1867)</f>
        <v>10133600.900000038</v>
      </c>
      <c r="H1867" s="11">
        <f t="shared" si="29"/>
        <v>0.95002349213562587</v>
      </c>
    </row>
    <row r="1868" spans="1:8" ht="15" customHeight="1" x14ac:dyDescent="0.25">
      <c r="A1868" s="5">
        <v>1862</v>
      </c>
      <c r="B1868" s="10" t="s">
        <v>3730</v>
      </c>
      <c r="C1868" s="10" t="s">
        <v>3731</v>
      </c>
      <c r="D1868" s="7">
        <v>785.17</v>
      </c>
      <c r="E1868" s="5">
        <v>155</v>
      </c>
      <c r="F1868" s="5">
        <v>45</v>
      </c>
      <c r="G1868" s="12">
        <f>SUM($D$7:D1868)</f>
        <v>10134386.070000038</v>
      </c>
      <c r="H1868" s="11">
        <f t="shared" si="29"/>
        <v>0.95009710169975625</v>
      </c>
    </row>
    <row r="1869" spans="1:8" ht="15" customHeight="1" x14ac:dyDescent="0.25">
      <c r="A1869" s="5">
        <v>1863</v>
      </c>
      <c r="B1869" s="10" t="s">
        <v>3732</v>
      </c>
      <c r="C1869" s="10" t="s">
        <v>3733</v>
      </c>
      <c r="D1869" s="7">
        <v>783.82</v>
      </c>
      <c r="E1869" s="5">
        <v>553</v>
      </c>
      <c r="F1869" s="5">
        <v>103</v>
      </c>
      <c r="G1869" s="12">
        <f>SUM($D$7:D1869)</f>
        <v>10135169.890000038</v>
      </c>
      <c r="H1869" s="11">
        <f t="shared" si="29"/>
        <v>0.95017058470159876</v>
      </c>
    </row>
    <row r="1870" spans="1:8" ht="15" customHeight="1" x14ac:dyDescent="0.25">
      <c r="A1870" s="5">
        <v>1864</v>
      </c>
      <c r="B1870" s="10" t="s">
        <v>3734</v>
      </c>
      <c r="C1870" s="10" t="s">
        <v>3735</v>
      </c>
      <c r="D1870" s="7">
        <v>783.82</v>
      </c>
      <c r="E1870" s="5">
        <v>1474</v>
      </c>
      <c r="F1870" s="5">
        <v>170</v>
      </c>
      <c r="G1870" s="12">
        <f>SUM($D$7:D1870)</f>
        <v>10135953.710000038</v>
      </c>
      <c r="H1870" s="11">
        <f t="shared" si="29"/>
        <v>0.95024406770344128</v>
      </c>
    </row>
    <row r="1871" spans="1:8" ht="15" customHeight="1" x14ac:dyDescent="0.25">
      <c r="A1871" s="5">
        <v>1865</v>
      </c>
      <c r="B1871" s="10" t="s">
        <v>3736</v>
      </c>
      <c r="C1871" s="10" t="s">
        <v>3737</v>
      </c>
      <c r="D1871" s="7">
        <v>783.68</v>
      </c>
      <c r="E1871" s="5">
        <v>84</v>
      </c>
      <c r="F1871" s="5">
        <v>36</v>
      </c>
      <c r="G1871" s="12">
        <f>SUM($D$7:D1871)</f>
        <v>10136737.390000038</v>
      </c>
      <c r="H1871" s="11">
        <f t="shared" si="29"/>
        <v>0.95031753758030579</v>
      </c>
    </row>
    <row r="1872" spans="1:8" ht="15" customHeight="1" x14ac:dyDescent="0.25">
      <c r="A1872" s="5">
        <v>1866</v>
      </c>
      <c r="B1872" s="10" t="s">
        <v>3738</v>
      </c>
      <c r="C1872" s="10" t="s">
        <v>3739</v>
      </c>
      <c r="D1872" s="7">
        <v>783.54</v>
      </c>
      <c r="E1872" s="5">
        <v>363</v>
      </c>
      <c r="F1872" s="5">
        <v>81</v>
      </c>
      <c r="G1872" s="12">
        <f>SUM($D$7:D1872)</f>
        <v>10137520.930000037</v>
      </c>
      <c r="H1872" s="11">
        <f t="shared" si="29"/>
        <v>0.95039099433219221</v>
      </c>
    </row>
    <row r="1873" spans="1:8" ht="15" customHeight="1" x14ac:dyDescent="0.25">
      <c r="A1873" s="5">
        <v>1867</v>
      </c>
      <c r="B1873" s="10" t="s">
        <v>3740</v>
      </c>
      <c r="C1873" s="10" t="s">
        <v>3741</v>
      </c>
      <c r="D1873" s="7">
        <v>783.45</v>
      </c>
      <c r="E1873" s="5">
        <v>843</v>
      </c>
      <c r="F1873" s="5">
        <v>42</v>
      </c>
      <c r="G1873" s="12">
        <f>SUM($D$7:D1873)</f>
        <v>10138304.380000036</v>
      </c>
      <c r="H1873" s="11">
        <f t="shared" si="29"/>
        <v>0.95046444264659269</v>
      </c>
    </row>
    <row r="1874" spans="1:8" ht="15" customHeight="1" x14ac:dyDescent="0.25">
      <c r="A1874" s="5">
        <v>1868</v>
      </c>
      <c r="B1874" s="10" t="s">
        <v>3742</v>
      </c>
      <c r="C1874" s="10" t="s">
        <v>3743</v>
      </c>
      <c r="D1874" s="7">
        <v>783.35</v>
      </c>
      <c r="E1874" s="5">
        <v>453</v>
      </c>
      <c r="F1874" s="5">
        <v>47</v>
      </c>
      <c r="G1874" s="12">
        <f>SUM($D$7:D1874)</f>
        <v>10139087.730000036</v>
      </c>
      <c r="H1874" s="11">
        <f t="shared" si="29"/>
        <v>0.95053788158600905</v>
      </c>
    </row>
    <row r="1875" spans="1:8" ht="15" customHeight="1" x14ac:dyDescent="0.25">
      <c r="A1875" s="5">
        <v>1869</v>
      </c>
      <c r="B1875" s="10" t="s">
        <v>3744</v>
      </c>
      <c r="C1875" s="10" t="s">
        <v>3745</v>
      </c>
      <c r="D1875" s="7">
        <v>780.8</v>
      </c>
      <c r="E1875" s="5">
        <v>594</v>
      </c>
      <c r="F1875" s="5">
        <v>99</v>
      </c>
      <c r="G1875" s="12">
        <f>SUM($D$7:D1875)</f>
        <v>10139868.530000037</v>
      </c>
      <c r="H1875" s="11">
        <f t="shared" si="29"/>
        <v>0.95061108146332607</v>
      </c>
    </row>
    <row r="1876" spans="1:8" ht="15" customHeight="1" x14ac:dyDescent="0.25">
      <c r="A1876" s="5">
        <v>1870</v>
      </c>
      <c r="B1876" s="10" t="s">
        <v>3746</v>
      </c>
      <c r="C1876" s="10" t="s">
        <v>3747</v>
      </c>
      <c r="D1876" s="7">
        <v>779.15</v>
      </c>
      <c r="E1876" s="5">
        <v>223</v>
      </c>
      <c r="F1876" s="5">
        <v>51</v>
      </c>
      <c r="G1876" s="12">
        <f>SUM($D$7:D1876)</f>
        <v>10140647.680000037</v>
      </c>
      <c r="H1876" s="11">
        <f t="shared" si="29"/>
        <v>0.95068412665340241</v>
      </c>
    </row>
    <row r="1877" spans="1:8" ht="15" customHeight="1" x14ac:dyDescent="0.25">
      <c r="A1877" s="5">
        <v>1871</v>
      </c>
      <c r="B1877" s="10" t="s">
        <v>3748</v>
      </c>
      <c r="C1877" s="10" t="s">
        <v>3749</v>
      </c>
      <c r="D1877" s="7">
        <v>778.63</v>
      </c>
      <c r="E1877" s="5">
        <v>1001</v>
      </c>
      <c r="F1877" s="5">
        <v>147</v>
      </c>
      <c r="G1877" s="12">
        <f>SUM($D$7:D1877)</f>
        <v>10141426.310000038</v>
      </c>
      <c r="H1877" s="11">
        <f t="shared" si="29"/>
        <v>0.95075712309356042</v>
      </c>
    </row>
    <row r="1878" spans="1:8" ht="15" customHeight="1" x14ac:dyDescent="0.25">
      <c r="A1878" s="5">
        <v>1872</v>
      </c>
      <c r="B1878" s="10" t="s">
        <v>3750</v>
      </c>
      <c r="C1878" s="10" t="s">
        <v>3751</v>
      </c>
      <c r="D1878" s="7">
        <v>777.67</v>
      </c>
      <c r="E1878" s="5">
        <v>2301</v>
      </c>
      <c r="F1878" s="5">
        <v>155</v>
      </c>
      <c r="G1878" s="12">
        <f>SUM($D$7:D1878)</f>
        <v>10142203.980000038</v>
      </c>
      <c r="H1878" s="11">
        <f t="shared" si="29"/>
        <v>0.95083002953386919</v>
      </c>
    </row>
    <row r="1879" spans="1:8" ht="15" customHeight="1" x14ac:dyDescent="0.25">
      <c r="A1879" s="5">
        <v>1873</v>
      </c>
      <c r="B1879" s="10" t="s">
        <v>3752</v>
      </c>
      <c r="C1879" s="10" t="s">
        <v>3753</v>
      </c>
      <c r="D1879" s="7">
        <v>777.58</v>
      </c>
      <c r="E1879" s="5">
        <v>868</v>
      </c>
      <c r="F1879" s="5">
        <v>151</v>
      </c>
      <c r="G1879" s="12">
        <f>SUM($D$7:D1879)</f>
        <v>10142981.560000038</v>
      </c>
      <c r="H1879" s="11">
        <f t="shared" si="29"/>
        <v>0.95090292753669214</v>
      </c>
    </row>
    <row r="1880" spans="1:8" ht="15" customHeight="1" x14ac:dyDescent="0.25">
      <c r="A1880" s="5">
        <v>1874</v>
      </c>
      <c r="B1880" s="10" t="s">
        <v>3754</v>
      </c>
      <c r="C1880" s="10" t="s">
        <v>3755</v>
      </c>
      <c r="D1880" s="7">
        <v>777.14</v>
      </c>
      <c r="E1880" s="5">
        <v>790</v>
      </c>
      <c r="F1880" s="5">
        <v>135</v>
      </c>
      <c r="G1880" s="12">
        <f>SUM($D$7:D1880)</f>
        <v>10143758.700000038</v>
      </c>
      <c r="H1880" s="11">
        <f t="shared" si="29"/>
        <v>0.95097578428958429</v>
      </c>
    </row>
    <row r="1881" spans="1:8" ht="15" customHeight="1" x14ac:dyDescent="0.25">
      <c r="A1881" s="5">
        <v>1875</v>
      </c>
      <c r="B1881" s="10" t="s">
        <v>3756</v>
      </c>
      <c r="C1881" s="10" t="s">
        <v>3757</v>
      </c>
      <c r="D1881" s="7">
        <v>776.75</v>
      </c>
      <c r="E1881" s="5">
        <v>1274</v>
      </c>
      <c r="F1881" s="5">
        <v>205</v>
      </c>
      <c r="G1881" s="12">
        <f>SUM($D$7:D1881)</f>
        <v>10144535.450000038</v>
      </c>
      <c r="H1881" s="11">
        <f t="shared" si="29"/>
        <v>0.9510486044800377</v>
      </c>
    </row>
    <row r="1882" spans="1:8" ht="15" customHeight="1" x14ac:dyDescent="0.25">
      <c r="A1882" s="5">
        <v>1876</v>
      </c>
      <c r="B1882" s="10" t="s">
        <v>3758</v>
      </c>
      <c r="C1882" s="10" t="s">
        <v>1521</v>
      </c>
      <c r="D1882" s="7">
        <v>775.84</v>
      </c>
      <c r="E1882" s="5">
        <v>104</v>
      </c>
      <c r="F1882" s="5">
        <v>68</v>
      </c>
      <c r="G1882" s="12">
        <f>SUM($D$7:D1882)</f>
        <v>10145311.290000038</v>
      </c>
      <c r="H1882" s="11">
        <f t="shared" si="29"/>
        <v>0.95112133935813403</v>
      </c>
    </row>
    <row r="1883" spans="1:8" ht="15" customHeight="1" x14ac:dyDescent="0.25">
      <c r="A1883" s="5">
        <v>1877</v>
      </c>
      <c r="B1883" s="10" t="s">
        <v>3759</v>
      </c>
      <c r="C1883" s="10" t="s">
        <v>3760</v>
      </c>
      <c r="D1883" s="7">
        <v>774.55</v>
      </c>
      <c r="E1883" s="5">
        <v>856</v>
      </c>
      <c r="F1883" s="5">
        <v>161</v>
      </c>
      <c r="G1883" s="12">
        <f>SUM($D$7:D1883)</f>
        <v>10146085.840000039</v>
      </c>
      <c r="H1883" s="11">
        <f t="shared" si="29"/>
        <v>0.95119395329893308</v>
      </c>
    </row>
    <row r="1884" spans="1:8" ht="15" customHeight="1" x14ac:dyDescent="0.25">
      <c r="A1884" s="5">
        <v>1878</v>
      </c>
      <c r="B1884" s="10" t="s">
        <v>3761</v>
      </c>
      <c r="C1884" s="10" t="s">
        <v>3762</v>
      </c>
      <c r="D1884" s="7">
        <v>774.55</v>
      </c>
      <c r="E1884" s="5">
        <v>472</v>
      </c>
      <c r="F1884" s="5">
        <v>126</v>
      </c>
      <c r="G1884" s="12">
        <f>SUM($D$7:D1884)</f>
        <v>10146860.39000004</v>
      </c>
      <c r="H1884" s="11">
        <f t="shared" si="29"/>
        <v>0.95126656723973224</v>
      </c>
    </row>
    <row r="1885" spans="1:8" ht="15" customHeight="1" x14ac:dyDescent="0.25">
      <c r="A1885" s="5">
        <v>1879</v>
      </c>
      <c r="B1885" s="10" t="s">
        <v>3763</v>
      </c>
      <c r="C1885" s="10" t="s">
        <v>3764</v>
      </c>
      <c r="D1885" s="7">
        <v>774.29</v>
      </c>
      <c r="E1885" s="5">
        <v>932</v>
      </c>
      <c r="F1885" s="5">
        <v>128</v>
      </c>
      <c r="G1885" s="12">
        <f>SUM($D$7:D1885)</f>
        <v>10147634.680000039</v>
      </c>
      <c r="H1885" s="11">
        <f t="shared" si="29"/>
        <v>0.95133915680557202</v>
      </c>
    </row>
    <row r="1886" spans="1:8" ht="15" customHeight="1" x14ac:dyDescent="0.25">
      <c r="A1886" s="5">
        <v>1880</v>
      </c>
      <c r="B1886" s="10" t="s">
        <v>3765</v>
      </c>
      <c r="C1886" s="10" t="s">
        <v>3766</v>
      </c>
      <c r="D1886" s="7">
        <v>773.14</v>
      </c>
      <c r="E1886" s="5">
        <v>2610</v>
      </c>
      <c r="F1886" s="5">
        <v>181</v>
      </c>
      <c r="G1886" s="12">
        <f>SUM($D$7:D1886)</f>
        <v>10148407.820000039</v>
      </c>
      <c r="H1886" s="11">
        <f t="shared" si="29"/>
        <v>0.95141163855909272</v>
      </c>
    </row>
    <row r="1887" spans="1:8" ht="15" customHeight="1" x14ac:dyDescent="0.25">
      <c r="A1887" s="5">
        <v>1881</v>
      </c>
      <c r="B1887" s="10" t="s">
        <v>3767</v>
      </c>
      <c r="C1887" s="10" t="s">
        <v>3768</v>
      </c>
      <c r="D1887" s="7">
        <v>771.15</v>
      </c>
      <c r="E1887" s="5">
        <v>623</v>
      </c>
      <c r="F1887" s="5">
        <v>99</v>
      </c>
      <c r="G1887" s="12">
        <f>SUM($D$7:D1887)</f>
        <v>10149178.97000004</v>
      </c>
      <c r="H1887" s="11">
        <f t="shared" si="29"/>
        <v>0.95148393375042595</v>
      </c>
    </row>
    <row r="1888" spans="1:8" ht="15" customHeight="1" x14ac:dyDescent="0.25">
      <c r="A1888" s="5">
        <v>1882</v>
      </c>
      <c r="B1888" s="10" t="s">
        <v>3769</v>
      </c>
      <c r="C1888" s="10" t="s">
        <v>3770</v>
      </c>
      <c r="D1888" s="7">
        <v>770.87</v>
      </c>
      <c r="E1888" s="5">
        <v>406</v>
      </c>
      <c r="F1888" s="5">
        <v>91</v>
      </c>
      <c r="G1888" s="12">
        <f>SUM($D$7:D1888)</f>
        <v>10149949.840000039</v>
      </c>
      <c r="H1888" s="11">
        <f t="shared" si="29"/>
        <v>0.95155620269180319</v>
      </c>
    </row>
    <row r="1889" spans="1:8" ht="15" customHeight="1" x14ac:dyDescent="0.25">
      <c r="A1889" s="5">
        <v>1883</v>
      </c>
      <c r="B1889" s="10" t="s">
        <v>3771</v>
      </c>
      <c r="C1889" s="10" t="s">
        <v>3772</v>
      </c>
      <c r="D1889" s="7">
        <v>770.73</v>
      </c>
      <c r="E1889" s="5">
        <v>816</v>
      </c>
      <c r="F1889" s="5">
        <v>133</v>
      </c>
      <c r="G1889" s="12">
        <f>SUM($D$7:D1889)</f>
        <v>10150720.570000039</v>
      </c>
      <c r="H1889" s="11">
        <f t="shared" si="29"/>
        <v>0.95162845850820243</v>
      </c>
    </row>
    <row r="1890" spans="1:8" ht="15" customHeight="1" x14ac:dyDescent="0.25">
      <c r="A1890" s="5">
        <v>1884</v>
      </c>
      <c r="B1890" s="10" t="s">
        <v>3773</v>
      </c>
      <c r="C1890" s="10" t="s">
        <v>3774</v>
      </c>
      <c r="D1890" s="7">
        <v>770.59</v>
      </c>
      <c r="E1890" s="5">
        <v>93</v>
      </c>
      <c r="F1890" s="5">
        <v>20</v>
      </c>
      <c r="G1890" s="12">
        <f>SUM($D$7:D1890)</f>
        <v>10151491.160000039</v>
      </c>
      <c r="H1890" s="11">
        <f t="shared" si="29"/>
        <v>0.95170070119962369</v>
      </c>
    </row>
    <row r="1891" spans="1:8" ht="15" customHeight="1" x14ac:dyDescent="0.25">
      <c r="A1891" s="5">
        <v>1885</v>
      </c>
      <c r="B1891" s="10" t="s">
        <v>3775</v>
      </c>
      <c r="C1891" s="10" t="s">
        <v>3776</v>
      </c>
      <c r="D1891" s="7">
        <v>770.32</v>
      </c>
      <c r="E1891" s="5">
        <v>650</v>
      </c>
      <c r="F1891" s="5">
        <v>67</v>
      </c>
      <c r="G1891" s="12">
        <f>SUM($D$7:D1891)</f>
        <v>10152261.48000004</v>
      </c>
      <c r="H1891" s="11">
        <f t="shared" si="29"/>
        <v>0.95177291857858737</v>
      </c>
    </row>
    <row r="1892" spans="1:8" ht="15" customHeight="1" x14ac:dyDescent="0.25">
      <c r="A1892" s="5">
        <v>1886</v>
      </c>
      <c r="B1892" s="10" t="s">
        <v>3777</v>
      </c>
      <c r="C1892" s="10" t="s">
        <v>3778</v>
      </c>
      <c r="D1892" s="7">
        <v>770.29</v>
      </c>
      <c r="E1892" s="5">
        <v>163</v>
      </c>
      <c r="F1892" s="5">
        <v>33</v>
      </c>
      <c r="G1892" s="12">
        <f>SUM($D$7:D1892)</f>
        <v>10153031.770000039</v>
      </c>
      <c r="H1892" s="11">
        <f t="shared" si="29"/>
        <v>0.9518451331450557</v>
      </c>
    </row>
    <row r="1893" spans="1:8" ht="15" customHeight="1" x14ac:dyDescent="0.25">
      <c r="A1893" s="5">
        <v>1887</v>
      </c>
      <c r="B1893" s="10" t="s">
        <v>3779</v>
      </c>
      <c r="C1893" s="10" t="s">
        <v>3780</v>
      </c>
      <c r="D1893" s="7">
        <v>769.57</v>
      </c>
      <c r="E1893" s="5">
        <v>777</v>
      </c>
      <c r="F1893" s="5">
        <v>104</v>
      </c>
      <c r="G1893" s="12">
        <f>SUM($D$7:D1893)</f>
        <v>10153801.340000039</v>
      </c>
      <c r="H1893" s="11">
        <f t="shared" si="29"/>
        <v>0.95191728021163724</v>
      </c>
    </row>
    <row r="1894" spans="1:8" ht="15" customHeight="1" x14ac:dyDescent="0.25">
      <c r="A1894" s="5">
        <v>1888</v>
      </c>
      <c r="B1894" s="10" t="s">
        <v>3781</v>
      </c>
      <c r="C1894" s="10" t="s">
        <v>3782</v>
      </c>
      <c r="D1894" s="7">
        <v>769.02</v>
      </c>
      <c r="E1894" s="5">
        <v>1831</v>
      </c>
      <c r="F1894" s="5">
        <v>64</v>
      </c>
      <c r="G1894" s="12">
        <f>SUM($D$7:D1894)</f>
        <v>10154570.360000039</v>
      </c>
      <c r="H1894" s="11">
        <f t="shared" si="29"/>
        <v>0.95198937571580511</v>
      </c>
    </row>
    <row r="1895" spans="1:8" ht="15" customHeight="1" x14ac:dyDescent="0.25">
      <c r="A1895" s="5">
        <v>1889</v>
      </c>
      <c r="B1895" s="10" t="s">
        <v>3446</v>
      </c>
      <c r="C1895" s="10" t="s">
        <v>3783</v>
      </c>
      <c r="D1895" s="7">
        <v>768.18</v>
      </c>
      <c r="E1895" s="5">
        <v>1829</v>
      </c>
      <c r="F1895" s="5">
        <v>73</v>
      </c>
      <c r="G1895" s="12">
        <f>SUM($D$7:D1895)</f>
        <v>10155338.540000038</v>
      </c>
      <c r="H1895" s="11">
        <f t="shared" si="29"/>
        <v>0.95206139247010502</v>
      </c>
    </row>
    <row r="1896" spans="1:8" ht="15" customHeight="1" x14ac:dyDescent="0.25">
      <c r="A1896" s="5">
        <v>1890</v>
      </c>
      <c r="B1896" s="10" t="s">
        <v>3784</v>
      </c>
      <c r="C1896" s="10" t="s">
        <v>3785</v>
      </c>
      <c r="D1896" s="7">
        <v>766.1</v>
      </c>
      <c r="E1896" s="5">
        <v>182</v>
      </c>
      <c r="F1896" s="5">
        <v>52</v>
      </c>
      <c r="G1896" s="12">
        <f>SUM($D$7:D1896)</f>
        <v>10156104.640000038</v>
      </c>
      <c r="H1896" s="11">
        <f t="shared" si="29"/>
        <v>0.95213321422473174</v>
      </c>
    </row>
    <row r="1897" spans="1:8" ht="15" customHeight="1" x14ac:dyDescent="0.25">
      <c r="A1897" s="5">
        <v>1891</v>
      </c>
      <c r="B1897" s="10" t="s">
        <v>3786</v>
      </c>
      <c r="C1897" s="10" t="s">
        <v>3787</v>
      </c>
      <c r="D1897" s="7">
        <v>766.09</v>
      </c>
      <c r="E1897" s="5">
        <v>1847</v>
      </c>
      <c r="F1897" s="5">
        <v>130</v>
      </c>
      <c r="G1897" s="12">
        <f>SUM($D$7:D1897)</f>
        <v>10156870.730000038</v>
      </c>
      <c r="H1897" s="11">
        <f t="shared" si="29"/>
        <v>0.95220503504186005</v>
      </c>
    </row>
    <row r="1898" spans="1:8" ht="15" customHeight="1" x14ac:dyDescent="0.25">
      <c r="A1898" s="5">
        <v>1892</v>
      </c>
      <c r="B1898" s="10" t="s">
        <v>1997</v>
      </c>
      <c r="C1898" s="10" t="s">
        <v>948</v>
      </c>
      <c r="D1898" s="7">
        <v>765.55</v>
      </c>
      <c r="E1898" s="5">
        <v>91</v>
      </c>
      <c r="F1898" s="5">
        <v>12</v>
      </c>
      <c r="G1898" s="12">
        <f>SUM($D$7:D1898)</f>
        <v>10157636.280000038</v>
      </c>
      <c r="H1898" s="11">
        <f t="shared" si="29"/>
        <v>0.95227680523407321</v>
      </c>
    </row>
    <row r="1899" spans="1:8" ht="15" customHeight="1" x14ac:dyDescent="0.25">
      <c r="A1899" s="5">
        <v>1893</v>
      </c>
      <c r="B1899" s="10" t="s">
        <v>3788</v>
      </c>
      <c r="C1899" s="10" t="s">
        <v>3789</v>
      </c>
      <c r="D1899" s="7">
        <v>765.27</v>
      </c>
      <c r="E1899" s="5">
        <v>1764</v>
      </c>
      <c r="F1899" s="5">
        <v>173</v>
      </c>
      <c r="G1899" s="12">
        <f>SUM($D$7:D1899)</f>
        <v>10158401.550000038</v>
      </c>
      <c r="H1899" s="11">
        <f t="shared" si="29"/>
        <v>0.95234854917633038</v>
      </c>
    </row>
    <row r="1900" spans="1:8" ht="15" customHeight="1" x14ac:dyDescent="0.25">
      <c r="A1900" s="5">
        <v>1894</v>
      </c>
      <c r="B1900" s="10" t="s">
        <v>3790</v>
      </c>
      <c r="C1900" s="10" t="s">
        <v>3791</v>
      </c>
      <c r="D1900" s="7">
        <v>764.63</v>
      </c>
      <c r="E1900" s="5">
        <v>123</v>
      </c>
      <c r="F1900" s="5">
        <v>47</v>
      </c>
      <c r="G1900" s="12">
        <f>SUM($D$7:D1900)</f>
        <v>10159166.180000039</v>
      </c>
      <c r="H1900" s="11">
        <f t="shared" si="29"/>
        <v>0.95242023311868818</v>
      </c>
    </row>
    <row r="1901" spans="1:8" ht="15" customHeight="1" x14ac:dyDescent="0.25">
      <c r="A1901" s="5">
        <v>1895</v>
      </c>
      <c r="B1901" s="10" t="s">
        <v>3792</v>
      </c>
      <c r="C1901" s="10" t="s">
        <v>3793</v>
      </c>
      <c r="D1901" s="7">
        <v>763.66</v>
      </c>
      <c r="E1901" s="5">
        <v>160</v>
      </c>
      <c r="F1901" s="5">
        <v>74</v>
      </c>
      <c r="G1901" s="12">
        <f>SUM($D$7:D1901)</f>
        <v>10159929.840000039</v>
      </c>
      <c r="H1901" s="11">
        <f t="shared" si="29"/>
        <v>0.95249182612369832</v>
      </c>
    </row>
    <row r="1902" spans="1:8" ht="15" customHeight="1" x14ac:dyDescent="0.25">
      <c r="A1902" s="5">
        <v>1896</v>
      </c>
      <c r="B1902" s="10" t="s">
        <v>3794</v>
      </c>
      <c r="C1902" s="10" t="s">
        <v>3795</v>
      </c>
      <c r="D1902" s="7">
        <v>763.1</v>
      </c>
      <c r="E1902" s="5">
        <v>1855</v>
      </c>
      <c r="F1902" s="5">
        <v>64</v>
      </c>
      <c r="G1902" s="12">
        <f>SUM($D$7:D1902)</f>
        <v>10160692.940000039</v>
      </c>
      <c r="H1902" s="11">
        <f t="shared" si="29"/>
        <v>0.95256336662879637</v>
      </c>
    </row>
    <row r="1903" spans="1:8" ht="15" customHeight="1" x14ac:dyDescent="0.25">
      <c r="A1903" s="5">
        <v>1897</v>
      </c>
      <c r="B1903" s="10" t="s">
        <v>3796</v>
      </c>
      <c r="C1903" s="10" t="s">
        <v>3797</v>
      </c>
      <c r="D1903" s="7">
        <v>762.45</v>
      </c>
      <c r="E1903" s="5">
        <v>51</v>
      </c>
      <c r="F1903" s="5">
        <v>30</v>
      </c>
      <c r="G1903" s="12">
        <f>SUM($D$7:D1903)</f>
        <v>10161455.390000038</v>
      </c>
      <c r="H1903" s="11">
        <f t="shared" si="29"/>
        <v>0.95263484619649652</v>
      </c>
    </row>
    <row r="1904" spans="1:8" ht="15" customHeight="1" x14ac:dyDescent="0.25">
      <c r="A1904" s="5">
        <v>1898</v>
      </c>
      <c r="B1904" s="10" t="s">
        <v>3798</v>
      </c>
      <c r="C1904" s="10" t="s">
        <v>3799</v>
      </c>
      <c r="D1904" s="7">
        <v>761.4</v>
      </c>
      <c r="E1904" s="5">
        <v>2476</v>
      </c>
      <c r="F1904" s="5">
        <v>79</v>
      </c>
      <c r="G1904" s="12">
        <f>SUM($D$7:D1904)</f>
        <v>10162216.790000038</v>
      </c>
      <c r="H1904" s="11">
        <f t="shared" si="29"/>
        <v>0.95270622732686183</v>
      </c>
    </row>
    <row r="1905" spans="1:8" ht="15" customHeight="1" x14ac:dyDescent="0.25">
      <c r="A1905" s="5">
        <v>1899</v>
      </c>
      <c r="B1905" s="10" t="s">
        <v>3800</v>
      </c>
      <c r="C1905" s="10" t="s">
        <v>3801</v>
      </c>
      <c r="D1905" s="7">
        <v>760.8</v>
      </c>
      <c r="E1905" s="5">
        <v>350</v>
      </c>
      <c r="F1905" s="5">
        <v>54</v>
      </c>
      <c r="G1905" s="12">
        <f>SUM($D$7:D1905)</f>
        <v>10162977.590000039</v>
      </c>
      <c r="H1905" s="11">
        <f t="shared" si="29"/>
        <v>0.9527775522073213</v>
      </c>
    </row>
    <row r="1906" spans="1:8" ht="15" customHeight="1" x14ac:dyDescent="0.25">
      <c r="A1906" s="5">
        <v>1900</v>
      </c>
      <c r="B1906" s="10" t="s">
        <v>3802</v>
      </c>
      <c r="C1906" s="10" t="s">
        <v>3803</v>
      </c>
      <c r="D1906" s="7">
        <v>760.43</v>
      </c>
      <c r="E1906" s="5">
        <v>834</v>
      </c>
      <c r="F1906" s="5">
        <v>62</v>
      </c>
      <c r="G1906" s="12">
        <f>SUM($D$7:D1906)</f>
        <v>10163738.020000039</v>
      </c>
      <c r="H1906" s="11">
        <f t="shared" si="29"/>
        <v>0.95284884240033896</v>
      </c>
    </row>
    <row r="1907" spans="1:8" ht="15" customHeight="1" x14ac:dyDescent="0.25">
      <c r="A1907" s="5">
        <v>1901</v>
      </c>
      <c r="B1907" s="10" t="s">
        <v>3804</v>
      </c>
      <c r="C1907" s="10" t="s">
        <v>3805</v>
      </c>
      <c r="D1907" s="7">
        <v>760.4</v>
      </c>
      <c r="E1907" s="5">
        <v>936</v>
      </c>
      <c r="F1907" s="5">
        <v>95</v>
      </c>
      <c r="G1907" s="12">
        <f>SUM($D$7:D1907)</f>
        <v>10164498.420000039</v>
      </c>
      <c r="H1907" s="11">
        <f t="shared" si="29"/>
        <v>0.95292012978086138</v>
      </c>
    </row>
    <row r="1908" spans="1:8" ht="15" customHeight="1" x14ac:dyDescent="0.25">
      <c r="A1908" s="5">
        <v>1902</v>
      </c>
      <c r="B1908" s="10" t="s">
        <v>3698</v>
      </c>
      <c r="C1908" s="10" t="s">
        <v>3806</v>
      </c>
      <c r="D1908" s="7">
        <v>760.32</v>
      </c>
      <c r="E1908" s="5">
        <v>225</v>
      </c>
      <c r="F1908" s="5">
        <v>46</v>
      </c>
      <c r="G1908" s="12">
        <f>SUM($D$7:D1908)</f>
        <v>10165258.740000039</v>
      </c>
      <c r="H1908" s="11">
        <f t="shared" si="29"/>
        <v>0.95299140966139628</v>
      </c>
    </row>
    <row r="1909" spans="1:8" ht="15" customHeight="1" x14ac:dyDescent="0.25">
      <c r="A1909" s="5">
        <v>1903</v>
      </c>
      <c r="B1909" s="10" t="s">
        <v>3807</v>
      </c>
      <c r="C1909" s="10" t="s">
        <v>3808</v>
      </c>
      <c r="D1909" s="7">
        <v>760.32</v>
      </c>
      <c r="E1909" s="5">
        <v>4032</v>
      </c>
      <c r="F1909" s="5">
        <v>27</v>
      </c>
      <c r="G1909" s="12">
        <f>SUM($D$7:D1909)</f>
        <v>10166019.06000004</v>
      </c>
      <c r="H1909" s="11">
        <f t="shared" si="29"/>
        <v>0.95306268954193119</v>
      </c>
    </row>
    <row r="1910" spans="1:8" ht="15" customHeight="1" x14ac:dyDescent="0.25">
      <c r="A1910" s="5">
        <v>1904</v>
      </c>
      <c r="B1910" s="10" t="s">
        <v>3809</v>
      </c>
      <c r="C1910" s="10" t="s">
        <v>3810</v>
      </c>
      <c r="D1910" s="7">
        <v>760.15</v>
      </c>
      <c r="E1910" s="5">
        <v>1790</v>
      </c>
      <c r="F1910" s="5">
        <v>55</v>
      </c>
      <c r="G1910" s="12">
        <f>SUM($D$7:D1910)</f>
        <v>10166779.21000004</v>
      </c>
      <c r="H1910" s="11">
        <f t="shared" si="29"/>
        <v>0.95313395348499286</v>
      </c>
    </row>
    <row r="1911" spans="1:8" ht="15" customHeight="1" x14ac:dyDescent="0.25">
      <c r="A1911" s="5">
        <v>1905</v>
      </c>
      <c r="B1911" s="10" t="s">
        <v>3811</v>
      </c>
      <c r="C1911" s="10" t="s">
        <v>3812</v>
      </c>
      <c r="D1911" s="7">
        <v>759.89</v>
      </c>
      <c r="E1911" s="5">
        <v>860</v>
      </c>
      <c r="F1911" s="5">
        <v>71</v>
      </c>
      <c r="G1911" s="12">
        <f>SUM($D$7:D1911)</f>
        <v>10167539.100000041</v>
      </c>
      <c r="H1911" s="11">
        <f t="shared" si="29"/>
        <v>0.95320519305309548</v>
      </c>
    </row>
    <row r="1912" spans="1:8" ht="15" customHeight="1" x14ac:dyDescent="0.25">
      <c r="A1912" s="5">
        <v>1906</v>
      </c>
      <c r="B1912" s="10" t="s">
        <v>3813</v>
      </c>
      <c r="C1912" s="10" t="s">
        <v>3814</v>
      </c>
      <c r="D1912" s="7">
        <v>759.44</v>
      </c>
      <c r="E1912" s="5">
        <v>740</v>
      </c>
      <c r="F1912" s="5">
        <v>97</v>
      </c>
      <c r="G1912" s="12">
        <f>SUM($D$7:D1912)</f>
        <v>10168298.54000004</v>
      </c>
      <c r="H1912" s="11">
        <f t="shared" si="29"/>
        <v>0.95327639043376855</v>
      </c>
    </row>
    <row r="1913" spans="1:8" ht="15" customHeight="1" x14ac:dyDescent="0.25">
      <c r="A1913" s="5">
        <v>1907</v>
      </c>
      <c r="B1913" s="10" t="s">
        <v>3815</v>
      </c>
      <c r="C1913" s="10" t="s">
        <v>3816</v>
      </c>
      <c r="D1913" s="7">
        <v>759.35</v>
      </c>
      <c r="E1913" s="5">
        <v>223</v>
      </c>
      <c r="F1913" s="5">
        <v>60</v>
      </c>
      <c r="G1913" s="12">
        <f>SUM($D$7:D1913)</f>
        <v>10169057.89000004</v>
      </c>
      <c r="H1913" s="11">
        <f t="shared" si="29"/>
        <v>0.95334757937695591</v>
      </c>
    </row>
    <row r="1914" spans="1:8" ht="15" customHeight="1" x14ac:dyDescent="0.25">
      <c r="A1914" s="5">
        <v>1908</v>
      </c>
      <c r="B1914" s="10" t="s">
        <v>3817</v>
      </c>
      <c r="C1914" s="10" t="s">
        <v>3818</v>
      </c>
      <c r="D1914" s="7">
        <v>758.98</v>
      </c>
      <c r="E1914" s="5">
        <v>1011</v>
      </c>
      <c r="F1914" s="5">
        <v>217</v>
      </c>
      <c r="G1914" s="12">
        <f>SUM($D$7:D1914)</f>
        <v>10169816.87000004</v>
      </c>
      <c r="H1914" s="11">
        <f t="shared" si="29"/>
        <v>0.95341873363270135</v>
      </c>
    </row>
    <row r="1915" spans="1:8" ht="15" customHeight="1" x14ac:dyDescent="0.25">
      <c r="A1915" s="5">
        <v>1909</v>
      </c>
      <c r="B1915" s="10" t="s">
        <v>3819</v>
      </c>
      <c r="C1915" s="10" t="s">
        <v>3820</v>
      </c>
      <c r="D1915" s="7">
        <v>757.21</v>
      </c>
      <c r="E1915" s="5">
        <v>631</v>
      </c>
      <c r="F1915" s="5">
        <v>73</v>
      </c>
      <c r="G1915" s="12">
        <f>SUM($D$7:D1915)</f>
        <v>10170574.080000041</v>
      </c>
      <c r="H1915" s="11">
        <f t="shared" si="29"/>
        <v>0.95348972195122506</v>
      </c>
    </row>
    <row r="1916" spans="1:8" ht="15" customHeight="1" x14ac:dyDescent="0.25">
      <c r="A1916" s="5">
        <v>1910</v>
      </c>
      <c r="B1916" s="10" t="s">
        <v>3821</v>
      </c>
      <c r="C1916" s="10" t="s">
        <v>3822</v>
      </c>
      <c r="D1916" s="7">
        <v>755.83</v>
      </c>
      <c r="E1916" s="5">
        <v>998</v>
      </c>
      <c r="F1916" s="5">
        <v>167</v>
      </c>
      <c r="G1916" s="12">
        <f>SUM($D$7:D1916)</f>
        <v>10171329.910000041</v>
      </c>
      <c r="H1916" s="11">
        <f t="shared" si="29"/>
        <v>0.95356058089496543</v>
      </c>
    </row>
    <row r="1917" spans="1:8" ht="15" customHeight="1" x14ac:dyDescent="0.25">
      <c r="A1917" s="5">
        <v>1911</v>
      </c>
      <c r="B1917" s="10" t="s">
        <v>3823</v>
      </c>
      <c r="C1917" s="10" t="s">
        <v>3824</v>
      </c>
      <c r="D1917" s="7">
        <v>754.41</v>
      </c>
      <c r="E1917" s="5">
        <v>2383</v>
      </c>
      <c r="F1917" s="5">
        <v>79</v>
      </c>
      <c r="G1917" s="12">
        <f>SUM($D$7:D1917)</f>
        <v>10172084.320000041</v>
      </c>
      <c r="H1917" s="11">
        <f t="shared" si="29"/>
        <v>0.95363130671392904</v>
      </c>
    </row>
    <row r="1918" spans="1:8" ht="15" customHeight="1" x14ac:dyDescent="0.25">
      <c r="A1918" s="5">
        <v>1912</v>
      </c>
      <c r="B1918" s="10" t="s">
        <v>3825</v>
      </c>
      <c r="C1918" s="10" t="s">
        <v>3826</v>
      </c>
      <c r="D1918" s="7">
        <v>754.07</v>
      </c>
      <c r="E1918" s="5">
        <v>196</v>
      </c>
      <c r="F1918" s="5">
        <v>86</v>
      </c>
      <c r="G1918" s="12">
        <f>SUM($D$7:D1918)</f>
        <v>10172838.390000042</v>
      </c>
      <c r="H1918" s="11">
        <f t="shared" si="29"/>
        <v>0.95370200065794597</v>
      </c>
    </row>
    <row r="1919" spans="1:8" ht="15" customHeight="1" x14ac:dyDescent="0.25">
      <c r="A1919" s="5">
        <v>1913</v>
      </c>
      <c r="B1919" s="10" t="s">
        <v>3827</v>
      </c>
      <c r="C1919" s="10" t="s">
        <v>3828</v>
      </c>
      <c r="D1919" s="7">
        <v>751.85</v>
      </c>
      <c r="E1919" s="5">
        <v>803</v>
      </c>
      <c r="F1919" s="5">
        <v>88</v>
      </c>
      <c r="G1919" s="12">
        <f>SUM($D$7:D1919)</f>
        <v>10173590.240000041</v>
      </c>
      <c r="H1919" s="11">
        <f t="shared" si="29"/>
        <v>0.95377248647731172</v>
      </c>
    </row>
    <row r="1920" spans="1:8" ht="15" customHeight="1" x14ac:dyDescent="0.25">
      <c r="A1920" s="5">
        <v>1914</v>
      </c>
      <c r="B1920" s="10" t="s">
        <v>3829</v>
      </c>
      <c r="C1920" s="10" t="s">
        <v>3830</v>
      </c>
      <c r="D1920" s="7">
        <v>751.77</v>
      </c>
      <c r="E1920" s="5">
        <v>283</v>
      </c>
      <c r="F1920" s="5">
        <v>98</v>
      </c>
      <c r="G1920" s="12">
        <f>SUM($D$7:D1920)</f>
        <v>10174342.010000041</v>
      </c>
      <c r="H1920" s="11">
        <f t="shared" si="29"/>
        <v>0.95384296479669006</v>
      </c>
    </row>
    <row r="1921" spans="1:8" ht="15" customHeight="1" x14ac:dyDescent="0.25">
      <c r="A1921" s="5">
        <v>1915</v>
      </c>
      <c r="B1921" s="10" t="s">
        <v>3831</v>
      </c>
      <c r="C1921" s="10" t="s">
        <v>3832</v>
      </c>
      <c r="D1921" s="7">
        <v>751.66</v>
      </c>
      <c r="E1921" s="5">
        <v>865</v>
      </c>
      <c r="F1921" s="5">
        <v>135</v>
      </c>
      <c r="G1921" s="12">
        <f>SUM($D$7:D1921)</f>
        <v>10175093.670000041</v>
      </c>
      <c r="H1921" s="11">
        <f t="shared" si="29"/>
        <v>0.95391343280358565</v>
      </c>
    </row>
    <row r="1922" spans="1:8" ht="15" customHeight="1" x14ac:dyDescent="0.25">
      <c r="A1922" s="5">
        <v>1916</v>
      </c>
      <c r="B1922" s="10" t="s">
        <v>3833</v>
      </c>
      <c r="C1922" s="10" t="s">
        <v>3834</v>
      </c>
      <c r="D1922" s="7">
        <v>751.38</v>
      </c>
      <c r="E1922" s="5">
        <v>567</v>
      </c>
      <c r="F1922" s="5">
        <v>43</v>
      </c>
      <c r="G1922" s="12">
        <f>SUM($D$7:D1922)</f>
        <v>10175845.050000042</v>
      </c>
      <c r="H1922" s="11">
        <f t="shared" si="29"/>
        <v>0.95398387456052536</v>
      </c>
    </row>
    <row r="1923" spans="1:8" ht="15" customHeight="1" x14ac:dyDescent="0.25">
      <c r="A1923" s="5">
        <v>1917</v>
      </c>
      <c r="B1923" s="10" t="s">
        <v>3835</v>
      </c>
      <c r="C1923" s="10" t="s">
        <v>3836</v>
      </c>
      <c r="D1923" s="7">
        <v>751.17</v>
      </c>
      <c r="E1923" s="5">
        <v>57</v>
      </c>
      <c r="F1923" s="5">
        <v>34</v>
      </c>
      <c r="G1923" s="12">
        <f>SUM($D$7:D1923)</f>
        <v>10176596.220000042</v>
      </c>
      <c r="H1923" s="11">
        <f t="shared" si="29"/>
        <v>0.95405429662999797</v>
      </c>
    </row>
    <row r="1924" spans="1:8" ht="15" customHeight="1" x14ac:dyDescent="0.25">
      <c r="A1924" s="5">
        <v>1918</v>
      </c>
      <c r="B1924" s="10" t="s">
        <v>3837</v>
      </c>
      <c r="C1924" s="10" t="s">
        <v>3838</v>
      </c>
      <c r="D1924" s="7">
        <v>750.2</v>
      </c>
      <c r="E1924" s="5">
        <v>593</v>
      </c>
      <c r="F1924" s="5">
        <v>126</v>
      </c>
      <c r="G1924" s="12">
        <f>SUM($D$7:D1924)</f>
        <v>10177346.420000041</v>
      </c>
      <c r="H1924" s="11">
        <f t="shared" si="29"/>
        <v>0.95412462776212292</v>
      </c>
    </row>
    <row r="1925" spans="1:8" ht="15" customHeight="1" x14ac:dyDescent="0.25">
      <c r="A1925" s="5">
        <v>1919</v>
      </c>
      <c r="B1925" s="10" t="s">
        <v>3839</v>
      </c>
      <c r="C1925" s="10" t="s">
        <v>3840</v>
      </c>
      <c r="D1925" s="7">
        <v>748.34</v>
      </c>
      <c r="E1925" s="5">
        <v>601</v>
      </c>
      <c r="F1925" s="5">
        <v>57</v>
      </c>
      <c r="G1925" s="12">
        <f>SUM($D$7:D1925)</f>
        <v>10178094.760000041</v>
      </c>
      <c r="H1925" s="11">
        <f t="shared" si="29"/>
        <v>0.95419478451954021</v>
      </c>
    </row>
    <row r="1926" spans="1:8" ht="15" customHeight="1" x14ac:dyDescent="0.25">
      <c r="A1926" s="5">
        <v>1920</v>
      </c>
      <c r="B1926" s="10" t="s">
        <v>3841</v>
      </c>
      <c r="C1926" s="10" t="s">
        <v>3842</v>
      </c>
      <c r="D1926" s="7">
        <v>748.08</v>
      </c>
      <c r="E1926" s="5">
        <v>827</v>
      </c>
      <c r="F1926" s="5">
        <v>128</v>
      </c>
      <c r="G1926" s="12">
        <f>SUM($D$7:D1926)</f>
        <v>10178842.840000041</v>
      </c>
      <c r="H1926" s="11">
        <f t="shared" si="29"/>
        <v>0.95426491690199833</v>
      </c>
    </row>
    <row r="1927" spans="1:8" ht="15" customHeight="1" x14ac:dyDescent="0.25">
      <c r="A1927" s="5">
        <v>1921</v>
      </c>
      <c r="B1927" s="10" t="s">
        <v>3843</v>
      </c>
      <c r="C1927" s="10" t="s">
        <v>3844</v>
      </c>
      <c r="D1927" s="7">
        <v>747.81</v>
      </c>
      <c r="E1927" s="5">
        <v>820</v>
      </c>
      <c r="F1927" s="5">
        <v>139</v>
      </c>
      <c r="G1927" s="12">
        <f>SUM($D$7:D1927)</f>
        <v>10179590.650000041</v>
      </c>
      <c r="H1927" s="11">
        <f t="shared" ref="H1927:H1990" si="30">G1927/SUM($D$7:$D$4167)</f>
        <v>0.95433502397199887</v>
      </c>
    </row>
    <row r="1928" spans="1:8" ht="15" customHeight="1" x14ac:dyDescent="0.25">
      <c r="A1928" s="5">
        <v>1922</v>
      </c>
      <c r="B1928" s="10" t="s">
        <v>3845</v>
      </c>
      <c r="C1928" s="10" t="s">
        <v>3846</v>
      </c>
      <c r="D1928" s="7">
        <v>747.79</v>
      </c>
      <c r="E1928" s="5">
        <v>798</v>
      </c>
      <c r="F1928" s="5">
        <v>133</v>
      </c>
      <c r="G1928" s="12">
        <f>SUM($D$7:D1928)</f>
        <v>10180338.44000004</v>
      </c>
      <c r="H1928" s="11">
        <f t="shared" si="30"/>
        <v>0.95440512916700249</v>
      </c>
    </row>
    <row r="1929" spans="1:8" ht="15" customHeight="1" x14ac:dyDescent="0.25">
      <c r="A1929" s="5">
        <v>1923</v>
      </c>
      <c r="B1929" s="10" t="s">
        <v>3847</v>
      </c>
      <c r="C1929" s="10" t="s">
        <v>3848</v>
      </c>
      <c r="D1929" s="7">
        <v>745.45</v>
      </c>
      <c r="E1929" s="5">
        <v>1089</v>
      </c>
      <c r="F1929" s="5">
        <v>124</v>
      </c>
      <c r="G1929" s="12">
        <f>SUM($D$7:D1929)</f>
        <v>10181083.89000004</v>
      </c>
      <c r="H1929" s="11">
        <f t="shared" si="30"/>
        <v>0.95447501498737375</v>
      </c>
    </row>
    <row r="1930" spans="1:8" ht="15" customHeight="1" x14ac:dyDescent="0.25">
      <c r="A1930" s="5">
        <v>1924</v>
      </c>
      <c r="B1930" s="10" t="s">
        <v>3849</v>
      </c>
      <c r="C1930" s="10" t="s">
        <v>3850</v>
      </c>
      <c r="D1930" s="7">
        <v>743.89</v>
      </c>
      <c r="E1930" s="5">
        <v>912</v>
      </c>
      <c r="F1930" s="5">
        <v>77</v>
      </c>
      <c r="G1930" s="12">
        <f>SUM($D$7:D1930)</f>
        <v>10181827.78000004</v>
      </c>
      <c r="H1930" s="11">
        <f t="shared" si="30"/>
        <v>0.95454475455799037</v>
      </c>
    </row>
    <row r="1931" spans="1:8" ht="15" customHeight="1" x14ac:dyDescent="0.25">
      <c r="A1931" s="5">
        <v>1925</v>
      </c>
      <c r="B1931" s="10" t="s">
        <v>3851</v>
      </c>
      <c r="C1931" s="10" t="s">
        <v>3852</v>
      </c>
      <c r="D1931" s="7">
        <v>743.62</v>
      </c>
      <c r="E1931" s="5">
        <v>661</v>
      </c>
      <c r="F1931" s="5">
        <v>55</v>
      </c>
      <c r="G1931" s="12">
        <f>SUM($D$7:D1931)</f>
        <v>10182571.400000039</v>
      </c>
      <c r="H1931" s="11">
        <f t="shared" si="30"/>
        <v>0.9546144688161492</v>
      </c>
    </row>
    <row r="1932" spans="1:8" ht="15" customHeight="1" x14ac:dyDescent="0.25">
      <c r="A1932" s="5">
        <v>1926</v>
      </c>
      <c r="B1932" s="10" t="s">
        <v>3853</v>
      </c>
      <c r="C1932" s="10" t="s">
        <v>3854</v>
      </c>
      <c r="D1932" s="7">
        <v>743.31</v>
      </c>
      <c r="E1932" s="5">
        <v>550</v>
      </c>
      <c r="F1932" s="5">
        <v>60</v>
      </c>
      <c r="G1932" s="12">
        <f>SUM($D$7:D1932)</f>
        <v>10183314.71000004</v>
      </c>
      <c r="H1932" s="11">
        <f t="shared" si="30"/>
        <v>0.9546841540118568</v>
      </c>
    </row>
    <row r="1933" spans="1:8" ht="15" customHeight="1" x14ac:dyDescent="0.25">
      <c r="A1933" s="5">
        <v>1927</v>
      </c>
      <c r="B1933" s="10" t="s">
        <v>3855</v>
      </c>
      <c r="C1933" s="10" t="s">
        <v>3856</v>
      </c>
      <c r="D1933" s="7">
        <v>742.92</v>
      </c>
      <c r="E1933" s="5">
        <v>794</v>
      </c>
      <c r="F1933" s="5">
        <v>133</v>
      </c>
      <c r="G1933" s="12">
        <f>SUM($D$7:D1933)</f>
        <v>10184057.63000004</v>
      </c>
      <c r="H1933" s="11">
        <f t="shared" si="30"/>
        <v>0.95475380264512566</v>
      </c>
    </row>
    <row r="1934" spans="1:8" ht="15" customHeight="1" x14ac:dyDescent="0.25">
      <c r="A1934" s="5">
        <v>1928</v>
      </c>
      <c r="B1934" s="10" t="s">
        <v>3857</v>
      </c>
      <c r="C1934" s="10" t="s">
        <v>3858</v>
      </c>
      <c r="D1934" s="7">
        <v>741.98</v>
      </c>
      <c r="E1934" s="5">
        <v>512</v>
      </c>
      <c r="F1934" s="5">
        <v>71</v>
      </c>
      <c r="G1934" s="12">
        <f>SUM($D$7:D1934)</f>
        <v>10184799.61000004</v>
      </c>
      <c r="H1934" s="11">
        <f t="shared" si="30"/>
        <v>0.95482336315354233</v>
      </c>
    </row>
    <row r="1935" spans="1:8" ht="15" customHeight="1" x14ac:dyDescent="0.25">
      <c r="A1935" s="5">
        <v>1929</v>
      </c>
      <c r="B1935" s="10" t="s">
        <v>3859</v>
      </c>
      <c r="C1935" s="10" t="s">
        <v>3860</v>
      </c>
      <c r="D1935" s="7">
        <v>739.57</v>
      </c>
      <c r="E1935" s="5">
        <v>1610</v>
      </c>
      <c r="F1935" s="5">
        <v>145</v>
      </c>
      <c r="G1935" s="12">
        <f>SUM($D$7:D1935)</f>
        <v>10185539.180000041</v>
      </c>
      <c r="H1935" s="11">
        <f t="shared" si="30"/>
        <v>0.95489269772483765</v>
      </c>
    </row>
    <row r="1936" spans="1:8" ht="15" customHeight="1" x14ac:dyDescent="0.25">
      <c r="A1936" s="5">
        <v>1930</v>
      </c>
      <c r="B1936" s="10" t="s">
        <v>3861</v>
      </c>
      <c r="C1936" s="10" t="s">
        <v>3862</v>
      </c>
      <c r="D1936" s="7">
        <v>738.68</v>
      </c>
      <c r="E1936" s="5">
        <v>1563</v>
      </c>
      <c r="F1936" s="5">
        <v>96</v>
      </c>
      <c r="G1936" s="12">
        <f>SUM($D$7:D1936)</f>
        <v>10186277.86000004</v>
      </c>
      <c r="H1936" s="11">
        <f t="shared" si="30"/>
        <v>0.95496194885877272</v>
      </c>
    </row>
    <row r="1937" spans="1:8" ht="15" customHeight="1" x14ac:dyDescent="0.25">
      <c r="A1937" s="5">
        <v>1931</v>
      </c>
      <c r="B1937" s="10" t="s">
        <v>3863</v>
      </c>
      <c r="C1937" s="10" t="s">
        <v>3864</v>
      </c>
      <c r="D1937" s="7">
        <v>737.95</v>
      </c>
      <c r="E1937" s="5">
        <v>149</v>
      </c>
      <c r="F1937" s="5">
        <v>45</v>
      </c>
      <c r="G1937" s="12">
        <f>SUM($D$7:D1937)</f>
        <v>10187015.81000004</v>
      </c>
      <c r="H1937" s="11">
        <f t="shared" si="30"/>
        <v>0.95503113155532238</v>
      </c>
    </row>
    <row r="1938" spans="1:8" ht="15" customHeight="1" x14ac:dyDescent="0.25">
      <c r="A1938" s="5">
        <v>1932</v>
      </c>
      <c r="B1938" s="10" t="s">
        <v>3865</v>
      </c>
      <c r="C1938" s="10" t="s">
        <v>3866</v>
      </c>
      <c r="D1938" s="7">
        <v>737.84</v>
      </c>
      <c r="E1938" s="5">
        <v>835</v>
      </c>
      <c r="F1938" s="5">
        <v>119</v>
      </c>
      <c r="G1938" s="12">
        <f>SUM($D$7:D1938)</f>
        <v>10187753.650000039</v>
      </c>
      <c r="H1938" s="11">
        <f t="shared" si="30"/>
        <v>0.95510030393938949</v>
      </c>
    </row>
    <row r="1939" spans="1:8" ht="15" customHeight="1" x14ac:dyDescent="0.25">
      <c r="A1939" s="5">
        <v>1933</v>
      </c>
      <c r="B1939" s="10" t="s">
        <v>3867</v>
      </c>
      <c r="C1939" s="10" t="s">
        <v>3868</v>
      </c>
      <c r="D1939" s="7">
        <v>734.86</v>
      </c>
      <c r="E1939" s="5">
        <v>709</v>
      </c>
      <c r="F1939" s="5">
        <v>40</v>
      </c>
      <c r="G1939" s="12">
        <f>SUM($D$7:D1939)</f>
        <v>10188488.510000039</v>
      </c>
      <c r="H1939" s="11">
        <f t="shared" si="30"/>
        <v>0.95516919694892477</v>
      </c>
    </row>
    <row r="1940" spans="1:8" ht="15" customHeight="1" x14ac:dyDescent="0.25">
      <c r="A1940" s="5">
        <v>1934</v>
      </c>
      <c r="B1940" s="10" t="s">
        <v>3869</v>
      </c>
      <c r="C1940" s="10" t="s">
        <v>3870</v>
      </c>
      <c r="D1940" s="7">
        <v>734.79</v>
      </c>
      <c r="E1940" s="5">
        <v>827</v>
      </c>
      <c r="F1940" s="5">
        <v>99</v>
      </c>
      <c r="G1940" s="12">
        <f>SUM($D$7:D1940)</f>
        <v>10189223.300000038</v>
      </c>
      <c r="H1940" s="11">
        <f t="shared" si="30"/>
        <v>0.95523808339597094</v>
      </c>
    </row>
    <row r="1941" spans="1:8" ht="15" customHeight="1" x14ac:dyDescent="0.25">
      <c r="A1941" s="5">
        <v>1935</v>
      </c>
      <c r="B1941" s="10" t="s">
        <v>272</v>
      </c>
      <c r="C1941" s="10" t="s">
        <v>3871</v>
      </c>
      <c r="D1941" s="7">
        <v>734.4</v>
      </c>
      <c r="E1941" s="5">
        <v>288</v>
      </c>
      <c r="F1941" s="5">
        <v>1</v>
      </c>
      <c r="G1941" s="12">
        <f>SUM($D$7:D1941)</f>
        <v>10189957.700000038</v>
      </c>
      <c r="H1941" s="11">
        <f t="shared" si="30"/>
        <v>0.95530693328057859</v>
      </c>
    </row>
    <row r="1942" spans="1:8" ht="15" customHeight="1" x14ac:dyDescent="0.25">
      <c r="A1942" s="5">
        <v>1936</v>
      </c>
      <c r="B1942" s="10" t="s">
        <v>3872</v>
      </c>
      <c r="C1942" s="10" t="s">
        <v>3873</v>
      </c>
      <c r="D1942" s="7">
        <v>732.65</v>
      </c>
      <c r="E1942" s="5">
        <v>821</v>
      </c>
      <c r="F1942" s="5">
        <v>147</v>
      </c>
      <c r="G1942" s="12">
        <f>SUM($D$7:D1942)</f>
        <v>10190690.350000039</v>
      </c>
      <c r="H1942" s="11">
        <f t="shared" si="30"/>
        <v>0.9553756191029612</v>
      </c>
    </row>
    <row r="1943" spans="1:8" ht="15" customHeight="1" x14ac:dyDescent="0.25">
      <c r="A1943" s="5">
        <v>1937</v>
      </c>
      <c r="B1943" s="10" t="s">
        <v>3874</v>
      </c>
      <c r="C1943" s="10" t="s">
        <v>3875</v>
      </c>
      <c r="D1943" s="7">
        <v>731.82</v>
      </c>
      <c r="E1943" s="5">
        <v>1400</v>
      </c>
      <c r="F1943" s="5">
        <v>150</v>
      </c>
      <c r="G1943" s="12">
        <f>SUM($D$7:D1943)</f>
        <v>10191422.170000039</v>
      </c>
      <c r="H1943" s="11">
        <f t="shared" si="30"/>
        <v>0.95544422711297416</v>
      </c>
    </row>
    <row r="1944" spans="1:8" ht="15" customHeight="1" x14ac:dyDescent="0.25">
      <c r="A1944" s="5">
        <v>1938</v>
      </c>
      <c r="B1944" s="10" t="s">
        <v>3781</v>
      </c>
      <c r="C1944" s="10" t="s">
        <v>3876</v>
      </c>
      <c r="D1944" s="7">
        <v>731.42</v>
      </c>
      <c r="E1944" s="5">
        <v>1951</v>
      </c>
      <c r="F1944" s="5">
        <v>35</v>
      </c>
      <c r="G1944" s="12">
        <f>SUM($D$7:D1944)</f>
        <v>10192153.590000039</v>
      </c>
      <c r="H1944" s="11">
        <f t="shared" si="30"/>
        <v>0.95551279762304997</v>
      </c>
    </row>
    <row r="1945" spans="1:8" ht="15" customHeight="1" x14ac:dyDescent="0.25">
      <c r="A1945" s="5">
        <v>1939</v>
      </c>
      <c r="B1945" s="10" t="s">
        <v>3877</v>
      </c>
      <c r="C1945" s="10" t="s">
        <v>3878</v>
      </c>
      <c r="D1945" s="7">
        <v>730.97</v>
      </c>
      <c r="E1945" s="5">
        <v>531</v>
      </c>
      <c r="F1945" s="5">
        <v>41</v>
      </c>
      <c r="G1945" s="12">
        <f>SUM($D$7:D1945)</f>
        <v>10192884.56000004</v>
      </c>
      <c r="H1945" s="11">
        <f t="shared" si="30"/>
        <v>0.95558132594569656</v>
      </c>
    </row>
    <row r="1946" spans="1:8" ht="15" customHeight="1" x14ac:dyDescent="0.25">
      <c r="A1946" s="5">
        <v>1940</v>
      </c>
      <c r="B1946" s="10" t="s">
        <v>3879</v>
      </c>
      <c r="C1946" s="10" t="s">
        <v>3880</v>
      </c>
      <c r="D1946" s="7">
        <v>730.47</v>
      </c>
      <c r="E1946" s="5">
        <v>1183</v>
      </c>
      <c r="F1946" s="5">
        <v>139</v>
      </c>
      <c r="G1946" s="12">
        <f>SUM($D$7:D1946)</f>
        <v>10193615.03000004</v>
      </c>
      <c r="H1946" s="11">
        <f t="shared" si="30"/>
        <v>0.95564980739342176</v>
      </c>
    </row>
    <row r="1947" spans="1:8" ht="15" customHeight="1" x14ac:dyDescent="0.25">
      <c r="A1947" s="5">
        <v>1941</v>
      </c>
      <c r="B1947" s="10" t="s">
        <v>3881</v>
      </c>
      <c r="C1947" s="10" t="s">
        <v>3882</v>
      </c>
      <c r="D1947" s="7">
        <v>730.37</v>
      </c>
      <c r="E1947" s="5">
        <v>253</v>
      </c>
      <c r="F1947" s="5">
        <v>43</v>
      </c>
      <c r="G1947" s="12">
        <f>SUM($D$7:D1947)</f>
        <v>10194345.400000039</v>
      </c>
      <c r="H1947" s="11">
        <f t="shared" si="30"/>
        <v>0.9557182794661625</v>
      </c>
    </row>
    <row r="1948" spans="1:8" ht="15" customHeight="1" x14ac:dyDescent="0.25">
      <c r="A1948" s="5">
        <v>1942</v>
      </c>
      <c r="B1948" s="10" t="s">
        <v>3883</v>
      </c>
      <c r="C1948" s="10" t="s">
        <v>3884</v>
      </c>
      <c r="D1948" s="7">
        <v>729.6</v>
      </c>
      <c r="E1948" s="5">
        <v>1532</v>
      </c>
      <c r="F1948" s="5">
        <v>63</v>
      </c>
      <c r="G1948" s="12">
        <f>SUM($D$7:D1948)</f>
        <v>10195075.000000039</v>
      </c>
      <c r="H1948" s="11">
        <f t="shared" si="30"/>
        <v>0.95578667935152428</v>
      </c>
    </row>
    <row r="1949" spans="1:8" ht="15" customHeight="1" x14ac:dyDescent="0.25">
      <c r="A1949" s="5">
        <v>1943</v>
      </c>
      <c r="B1949" s="10" t="s">
        <v>3885</v>
      </c>
      <c r="C1949" s="10" t="s">
        <v>3886</v>
      </c>
      <c r="D1949" s="7">
        <v>729.57</v>
      </c>
      <c r="E1949" s="5">
        <v>176</v>
      </c>
      <c r="F1949" s="5">
        <v>78</v>
      </c>
      <c r="G1949" s="12">
        <f>SUM($D$7:D1949)</f>
        <v>10195804.570000039</v>
      </c>
      <c r="H1949" s="11">
        <f t="shared" si="30"/>
        <v>0.95585507642439083</v>
      </c>
    </row>
    <row r="1950" spans="1:8" ht="15" customHeight="1" x14ac:dyDescent="0.25">
      <c r="A1950" s="5">
        <v>1944</v>
      </c>
      <c r="B1950" s="10" t="s">
        <v>3887</v>
      </c>
      <c r="C1950" s="10" t="s">
        <v>3888</v>
      </c>
      <c r="D1950" s="7">
        <v>729.57</v>
      </c>
      <c r="E1950" s="5">
        <v>569</v>
      </c>
      <c r="F1950" s="5">
        <v>27</v>
      </c>
      <c r="G1950" s="12">
        <f>SUM($D$7:D1950)</f>
        <v>10196534.14000004</v>
      </c>
      <c r="H1950" s="11">
        <f t="shared" si="30"/>
        <v>0.95592347349725737</v>
      </c>
    </row>
    <row r="1951" spans="1:8" ht="15" customHeight="1" x14ac:dyDescent="0.25">
      <c r="A1951" s="5">
        <v>1945</v>
      </c>
      <c r="B1951" s="10" t="s">
        <v>3889</v>
      </c>
      <c r="C1951" s="10" t="s">
        <v>3890</v>
      </c>
      <c r="D1951" s="7">
        <v>728.57</v>
      </c>
      <c r="E1951" s="5">
        <v>533</v>
      </c>
      <c r="F1951" s="5">
        <v>98</v>
      </c>
      <c r="G1951" s="12">
        <f>SUM($D$7:D1951)</f>
        <v>10197262.71000004</v>
      </c>
      <c r="H1951" s="11">
        <f t="shared" si="30"/>
        <v>0.95599177682028103</v>
      </c>
    </row>
    <row r="1952" spans="1:8" ht="15" customHeight="1" x14ac:dyDescent="0.25">
      <c r="A1952" s="5">
        <v>1946</v>
      </c>
      <c r="B1952" s="10" t="s">
        <v>3891</v>
      </c>
      <c r="C1952" s="10" t="s">
        <v>3892</v>
      </c>
      <c r="D1952" s="7">
        <v>727.46</v>
      </c>
      <c r="E1952" s="5">
        <v>3194</v>
      </c>
      <c r="F1952" s="5">
        <v>225</v>
      </c>
      <c r="G1952" s="12">
        <f>SUM($D$7:D1952)</f>
        <v>10197990.170000041</v>
      </c>
      <c r="H1952" s="11">
        <f t="shared" si="30"/>
        <v>0.95605997608097915</v>
      </c>
    </row>
    <row r="1953" spans="1:8" ht="15" customHeight="1" x14ac:dyDescent="0.25">
      <c r="A1953" s="5">
        <v>1947</v>
      </c>
      <c r="B1953" s="10" t="s">
        <v>3893</v>
      </c>
      <c r="C1953" s="10" t="s">
        <v>3894</v>
      </c>
      <c r="D1953" s="7">
        <v>727.31</v>
      </c>
      <c r="E1953" s="5">
        <v>1657</v>
      </c>
      <c r="F1953" s="5">
        <v>168</v>
      </c>
      <c r="G1953" s="12">
        <f>SUM($D$7:D1953)</f>
        <v>10198717.480000041</v>
      </c>
      <c r="H1953" s="11">
        <f t="shared" si="30"/>
        <v>0.95612816127920075</v>
      </c>
    </row>
    <row r="1954" spans="1:8" ht="15" customHeight="1" x14ac:dyDescent="0.25">
      <c r="A1954" s="5">
        <v>1948</v>
      </c>
      <c r="B1954" s="10" t="s">
        <v>3895</v>
      </c>
      <c r="C1954" s="10" t="s">
        <v>3896</v>
      </c>
      <c r="D1954" s="7">
        <v>725.52</v>
      </c>
      <c r="E1954" s="5">
        <v>558</v>
      </c>
      <c r="F1954" s="5">
        <v>62</v>
      </c>
      <c r="G1954" s="12">
        <f>SUM($D$7:D1954)</f>
        <v>10199443.000000041</v>
      </c>
      <c r="H1954" s="11">
        <f t="shared" si="30"/>
        <v>0.95619617866520357</v>
      </c>
    </row>
    <row r="1955" spans="1:8" ht="15" customHeight="1" x14ac:dyDescent="0.25">
      <c r="A1955" s="5">
        <v>1949</v>
      </c>
      <c r="B1955" s="10" t="s">
        <v>3897</v>
      </c>
      <c r="C1955" s="10" t="s">
        <v>3898</v>
      </c>
      <c r="D1955" s="7">
        <v>725.42</v>
      </c>
      <c r="E1955" s="5">
        <v>1653</v>
      </c>
      <c r="F1955" s="5">
        <v>133</v>
      </c>
      <c r="G1955" s="12">
        <f>SUM($D$7:D1955)</f>
        <v>10200168.420000041</v>
      </c>
      <c r="H1955" s="11">
        <f t="shared" si="30"/>
        <v>0.95626418667622215</v>
      </c>
    </row>
    <row r="1956" spans="1:8" ht="15" customHeight="1" x14ac:dyDescent="0.25">
      <c r="A1956" s="5">
        <v>1950</v>
      </c>
      <c r="B1956" s="10" t="s">
        <v>3899</v>
      </c>
      <c r="C1956" s="10" t="s">
        <v>3900</v>
      </c>
      <c r="D1956" s="7">
        <v>725.26</v>
      </c>
      <c r="E1956" s="5">
        <v>850</v>
      </c>
      <c r="F1956" s="5">
        <v>206</v>
      </c>
      <c r="G1956" s="12">
        <f>SUM($D$7:D1956)</f>
        <v>10200893.680000041</v>
      </c>
      <c r="H1956" s="11">
        <f t="shared" si="30"/>
        <v>0.9563321796872658</v>
      </c>
    </row>
    <row r="1957" spans="1:8" ht="15" customHeight="1" x14ac:dyDescent="0.25">
      <c r="A1957" s="5">
        <v>1951</v>
      </c>
      <c r="B1957" s="10" t="s">
        <v>3901</v>
      </c>
      <c r="C1957" s="10" t="s">
        <v>3902</v>
      </c>
      <c r="D1957" s="7">
        <v>720.93</v>
      </c>
      <c r="E1957" s="5">
        <v>60</v>
      </c>
      <c r="F1957" s="5">
        <v>39</v>
      </c>
      <c r="G1957" s="12">
        <f>SUM($D$7:D1957)</f>
        <v>10201614.61000004</v>
      </c>
      <c r="H1957" s="11">
        <f t="shared" si="30"/>
        <v>0.95639976676148986</v>
      </c>
    </row>
    <row r="1958" spans="1:8" ht="15" customHeight="1" x14ac:dyDescent="0.25">
      <c r="A1958" s="5">
        <v>1952</v>
      </c>
      <c r="B1958" s="10" t="s">
        <v>3903</v>
      </c>
      <c r="C1958" s="10" t="s">
        <v>3904</v>
      </c>
      <c r="D1958" s="7">
        <v>719.84</v>
      </c>
      <c r="E1958" s="5">
        <v>685</v>
      </c>
      <c r="F1958" s="5">
        <v>140</v>
      </c>
      <c r="G1958" s="12">
        <f>SUM($D$7:D1958)</f>
        <v>10202334.45000004</v>
      </c>
      <c r="H1958" s="11">
        <f t="shared" si="30"/>
        <v>0.9564672516483852</v>
      </c>
    </row>
    <row r="1959" spans="1:8" ht="15" customHeight="1" x14ac:dyDescent="0.25">
      <c r="A1959" s="5">
        <v>1953</v>
      </c>
      <c r="B1959" s="10" t="s">
        <v>3905</v>
      </c>
      <c r="C1959" s="10" t="s">
        <v>3906</v>
      </c>
      <c r="D1959" s="7">
        <v>719.69</v>
      </c>
      <c r="E1959" s="5">
        <v>172</v>
      </c>
      <c r="F1959" s="5">
        <v>38</v>
      </c>
      <c r="G1959" s="12">
        <f>SUM($D$7:D1959)</f>
        <v>10203054.14000004</v>
      </c>
      <c r="H1959" s="11">
        <f t="shared" si="30"/>
        <v>0.95653472247280402</v>
      </c>
    </row>
    <row r="1960" spans="1:8" ht="15" customHeight="1" x14ac:dyDescent="0.25">
      <c r="A1960" s="5">
        <v>1954</v>
      </c>
      <c r="B1960" s="10" t="s">
        <v>3907</v>
      </c>
      <c r="C1960" s="10" t="s">
        <v>3908</v>
      </c>
      <c r="D1960" s="7">
        <v>718.53</v>
      </c>
      <c r="E1960" s="5">
        <v>799</v>
      </c>
      <c r="F1960" s="5">
        <v>75</v>
      </c>
      <c r="G1960" s="12">
        <f>SUM($D$7:D1960)</f>
        <v>10203772.670000039</v>
      </c>
      <c r="H1960" s="11">
        <f t="shared" si="30"/>
        <v>0.95660208454740514</v>
      </c>
    </row>
    <row r="1961" spans="1:8" ht="15" customHeight="1" x14ac:dyDescent="0.25">
      <c r="A1961" s="5">
        <v>1955</v>
      </c>
      <c r="B1961" s="10" t="s">
        <v>3909</v>
      </c>
      <c r="C1961" s="10" t="s">
        <v>3910</v>
      </c>
      <c r="D1961" s="7">
        <v>718.14</v>
      </c>
      <c r="E1961" s="5">
        <v>69</v>
      </c>
      <c r="F1961" s="5">
        <v>35</v>
      </c>
      <c r="G1961" s="12">
        <f>SUM($D$7:D1961)</f>
        <v>10204490.81000004</v>
      </c>
      <c r="H1961" s="11">
        <f t="shared" si="30"/>
        <v>0.95666941005956763</v>
      </c>
    </row>
    <row r="1962" spans="1:8" ht="15" customHeight="1" x14ac:dyDescent="0.25">
      <c r="A1962" s="5">
        <v>1956</v>
      </c>
      <c r="B1962" s="10" t="s">
        <v>3911</v>
      </c>
      <c r="C1962" s="10" t="s">
        <v>3912</v>
      </c>
      <c r="D1962" s="7">
        <v>717.21</v>
      </c>
      <c r="E1962" s="5">
        <v>189</v>
      </c>
      <c r="F1962" s="5">
        <v>90</v>
      </c>
      <c r="G1962" s="12">
        <f>SUM($D$7:D1962)</f>
        <v>10205208.020000041</v>
      </c>
      <c r="H1962" s="11">
        <f t="shared" si="30"/>
        <v>0.95673664838437633</v>
      </c>
    </row>
    <row r="1963" spans="1:8" ht="15" customHeight="1" x14ac:dyDescent="0.25">
      <c r="A1963" s="5">
        <v>1957</v>
      </c>
      <c r="B1963" s="10" t="s">
        <v>3913</v>
      </c>
      <c r="C1963" s="10" t="s">
        <v>3914</v>
      </c>
      <c r="D1963" s="7">
        <v>717.12</v>
      </c>
      <c r="E1963" s="5">
        <v>1656</v>
      </c>
      <c r="F1963" s="5">
        <v>160</v>
      </c>
      <c r="G1963" s="12">
        <f>SUM($D$7:D1963)</f>
        <v>10205925.14000004</v>
      </c>
      <c r="H1963" s="11">
        <f t="shared" si="30"/>
        <v>0.95680387827169888</v>
      </c>
    </row>
    <row r="1964" spans="1:8" ht="15" customHeight="1" x14ac:dyDescent="0.25">
      <c r="A1964" s="5">
        <v>1958</v>
      </c>
      <c r="B1964" s="10" t="s">
        <v>3915</v>
      </c>
      <c r="C1964" s="10" t="s">
        <v>3916</v>
      </c>
      <c r="D1964" s="7">
        <v>716.86</v>
      </c>
      <c r="E1964" s="5">
        <v>515</v>
      </c>
      <c r="F1964" s="5">
        <v>139</v>
      </c>
      <c r="G1964" s="12">
        <f>SUM($D$7:D1964)</f>
        <v>10206642.000000039</v>
      </c>
      <c r="H1964" s="11">
        <f t="shared" si="30"/>
        <v>0.95687108378406238</v>
      </c>
    </row>
    <row r="1965" spans="1:8" ht="15" customHeight="1" x14ac:dyDescent="0.25">
      <c r="A1965" s="5">
        <v>1959</v>
      </c>
      <c r="B1965" s="10" t="s">
        <v>3917</v>
      </c>
      <c r="C1965" s="10" t="s">
        <v>3918</v>
      </c>
      <c r="D1965" s="7">
        <v>716.8</v>
      </c>
      <c r="E1965" s="5">
        <v>193</v>
      </c>
      <c r="F1965" s="5">
        <v>87</v>
      </c>
      <c r="G1965" s="12">
        <f>SUM($D$7:D1965)</f>
        <v>10207358.80000004</v>
      </c>
      <c r="H1965" s="11">
        <f t="shared" si="30"/>
        <v>0.95693828367143552</v>
      </c>
    </row>
    <row r="1966" spans="1:8" ht="15" customHeight="1" x14ac:dyDescent="0.25">
      <c r="A1966" s="5">
        <v>1960</v>
      </c>
      <c r="B1966" s="10" t="s">
        <v>3919</v>
      </c>
      <c r="C1966" s="10" t="s">
        <v>3920</v>
      </c>
      <c r="D1966" s="7">
        <v>711.51</v>
      </c>
      <c r="E1966" s="5">
        <v>103</v>
      </c>
      <c r="F1966" s="5">
        <v>28</v>
      </c>
      <c r="G1966" s="12">
        <f>SUM($D$7:D1966)</f>
        <v>10208070.31000004</v>
      </c>
      <c r="H1966" s="11">
        <f t="shared" si="30"/>
        <v>0.95700498762213959</v>
      </c>
    </row>
    <row r="1967" spans="1:8" ht="15" customHeight="1" x14ac:dyDescent="0.25">
      <c r="A1967" s="5">
        <v>1961</v>
      </c>
      <c r="B1967" s="10" t="s">
        <v>3921</v>
      </c>
      <c r="C1967" s="10" t="s">
        <v>3922</v>
      </c>
      <c r="D1967" s="7">
        <v>710.95</v>
      </c>
      <c r="E1967" s="5">
        <v>598</v>
      </c>
      <c r="F1967" s="5">
        <v>90</v>
      </c>
      <c r="G1967" s="12">
        <f>SUM($D$7:D1967)</f>
        <v>10208781.260000039</v>
      </c>
      <c r="H1967" s="11">
        <f t="shared" si="30"/>
        <v>0.95707163907293169</v>
      </c>
    </row>
    <row r="1968" spans="1:8" ht="15" customHeight="1" x14ac:dyDescent="0.25">
      <c r="A1968" s="5">
        <v>1962</v>
      </c>
      <c r="B1968" s="10" t="s">
        <v>3923</v>
      </c>
      <c r="C1968" s="10" t="s">
        <v>3924</v>
      </c>
      <c r="D1968" s="7">
        <v>710.64</v>
      </c>
      <c r="E1968" s="5">
        <v>951</v>
      </c>
      <c r="F1968" s="5">
        <v>55</v>
      </c>
      <c r="G1968" s="12">
        <f>SUM($D$7:D1968)</f>
        <v>10209491.900000039</v>
      </c>
      <c r="H1968" s="11">
        <f t="shared" si="30"/>
        <v>0.95713826146127268</v>
      </c>
    </row>
    <row r="1969" spans="1:8" ht="15" customHeight="1" x14ac:dyDescent="0.25">
      <c r="A1969" s="5">
        <v>1963</v>
      </c>
      <c r="B1969" s="10" t="s">
        <v>3925</v>
      </c>
      <c r="C1969" s="10" t="s">
        <v>3926</v>
      </c>
      <c r="D1969" s="7">
        <v>709.66</v>
      </c>
      <c r="E1969" s="5">
        <v>919</v>
      </c>
      <c r="F1969" s="5">
        <v>73</v>
      </c>
      <c r="G1969" s="12">
        <f>SUM($D$7:D1969)</f>
        <v>10210201.56000004</v>
      </c>
      <c r="H1969" s="11">
        <f t="shared" si="30"/>
        <v>0.95720479197476749</v>
      </c>
    </row>
    <row r="1970" spans="1:8" ht="15" customHeight="1" x14ac:dyDescent="0.25">
      <c r="A1970" s="5">
        <v>1964</v>
      </c>
      <c r="B1970" s="10" t="s">
        <v>3927</v>
      </c>
      <c r="C1970" s="10" t="s">
        <v>3928</v>
      </c>
      <c r="D1970" s="7">
        <v>709.54</v>
      </c>
      <c r="E1970" s="5">
        <v>160</v>
      </c>
      <c r="F1970" s="5">
        <v>44</v>
      </c>
      <c r="G1970" s="12">
        <f>SUM($D$7:D1970)</f>
        <v>10210911.100000039</v>
      </c>
      <c r="H1970" s="11">
        <f t="shared" si="30"/>
        <v>0.95727131123828113</v>
      </c>
    </row>
    <row r="1971" spans="1:8" ht="15" customHeight="1" x14ac:dyDescent="0.25">
      <c r="A1971" s="5">
        <v>1965</v>
      </c>
      <c r="B1971" s="10" t="s">
        <v>3929</v>
      </c>
      <c r="C1971" s="10" t="s">
        <v>3930</v>
      </c>
      <c r="D1971" s="7">
        <v>709.18</v>
      </c>
      <c r="E1971" s="5">
        <v>328</v>
      </c>
      <c r="F1971" s="5">
        <v>36</v>
      </c>
      <c r="G1971" s="12">
        <f>SUM($D$7:D1971)</f>
        <v>10211620.280000038</v>
      </c>
      <c r="H1971" s="11">
        <f t="shared" si="30"/>
        <v>0.95733779675185138</v>
      </c>
    </row>
    <row r="1972" spans="1:8" ht="15" customHeight="1" x14ac:dyDescent="0.25">
      <c r="A1972" s="5">
        <v>1966</v>
      </c>
      <c r="B1972" s="10" t="s">
        <v>3931</v>
      </c>
      <c r="C1972" s="10" t="s">
        <v>3932</v>
      </c>
      <c r="D1972" s="7">
        <v>708.98</v>
      </c>
      <c r="E1972" s="5">
        <v>256</v>
      </c>
      <c r="F1972" s="5">
        <v>111</v>
      </c>
      <c r="G1972" s="12">
        <f>SUM($D$7:D1972)</f>
        <v>10212329.260000039</v>
      </c>
      <c r="H1972" s="11">
        <f t="shared" si="30"/>
        <v>0.95740426351545316</v>
      </c>
    </row>
    <row r="1973" spans="1:8" ht="15" customHeight="1" x14ac:dyDescent="0.25">
      <c r="A1973" s="5">
        <v>1967</v>
      </c>
      <c r="B1973" s="10" t="s">
        <v>3933</v>
      </c>
      <c r="C1973" s="10" t="s">
        <v>3934</v>
      </c>
      <c r="D1973" s="7">
        <v>708.75</v>
      </c>
      <c r="E1973" s="5">
        <v>567</v>
      </c>
      <c r="F1973" s="5">
        <v>49</v>
      </c>
      <c r="G1973" s="12">
        <f>SUM($D$7:D1973)</f>
        <v>10213038.010000039</v>
      </c>
      <c r="H1973" s="11">
        <f t="shared" si="30"/>
        <v>0.95747070871659101</v>
      </c>
    </row>
    <row r="1974" spans="1:8" ht="15" customHeight="1" x14ac:dyDescent="0.25">
      <c r="A1974" s="5">
        <v>1968</v>
      </c>
      <c r="B1974" s="10" t="s">
        <v>3935</v>
      </c>
      <c r="C1974" s="10" t="s">
        <v>3936</v>
      </c>
      <c r="D1974" s="7">
        <v>706.55</v>
      </c>
      <c r="E1974" s="5">
        <v>303</v>
      </c>
      <c r="F1974" s="5">
        <v>99</v>
      </c>
      <c r="G1974" s="12">
        <f>SUM($D$7:D1974)</f>
        <v>10213744.56000004</v>
      </c>
      <c r="H1974" s="11">
        <f t="shared" si="30"/>
        <v>0.95753694766807462</v>
      </c>
    </row>
    <row r="1975" spans="1:8" ht="15" customHeight="1" x14ac:dyDescent="0.25">
      <c r="A1975" s="5">
        <v>1969</v>
      </c>
      <c r="B1975" s="10" t="s">
        <v>3937</v>
      </c>
      <c r="C1975" s="10" t="s">
        <v>3938</v>
      </c>
      <c r="D1975" s="7">
        <v>705.58</v>
      </c>
      <c r="E1975" s="5">
        <v>472</v>
      </c>
      <c r="F1975" s="5">
        <v>105</v>
      </c>
      <c r="G1975" s="12">
        <f>SUM($D$7:D1975)</f>
        <v>10214450.14000004</v>
      </c>
      <c r="H1975" s="11">
        <f t="shared" si="30"/>
        <v>0.95760309568221058</v>
      </c>
    </row>
    <row r="1976" spans="1:8" ht="15" customHeight="1" x14ac:dyDescent="0.25">
      <c r="A1976" s="5">
        <v>1970</v>
      </c>
      <c r="B1976" s="10" t="s">
        <v>3939</v>
      </c>
      <c r="C1976" s="10" t="s">
        <v>3940</v>
      </c>
      <c r="D1976" s="7">
        <v>704.55</v>
      </c>
      <c r="E1976" s="5">
        <v>643</v>
      </c>
      <c r="F1976" s="5">
        <v>151</v>
      </c>
      <c r="G1976" s="12">
        <f>SUM($D$7:D1976)</f>
        <v>10215154.69000004</v>
      </c>
      <c r="H1976" s="11">
        <f t="shared" si="30"/>
        <v>0.95766914713400841</v>
      </c>
    </row>
    <row r="1977" spans="1:8" ht="15" customHeight="1" x14ac:dyDescent="0.25">
      <c r="A1977" s="5">
        <v>1971</v>
      </c>
      <c r="B1977" s="10" t="s">
        <v>3941</v>
      </c>
      <c r="C1977" s="10" t="s">
        <v>3942</v>
      </c>
      <c r="D1977" s="7">
        <v>702.96</v>
      </c>
      <c r="E1977" s="5">
        <v>3104</v>
      </c>
      <c r="F1977" s="5">
        <v>168</v>
      </c>
      <c r="G1977" s="12">
        <f>SUM($D$7:D1977)</f>
        <v>10215857.650000041</v>
      </c>
      <c r="H1977" s="11">
        <f t="shared" si="30"/>
        <v>0.95773504952355604</v>
      </c>
    </row>
    <row r="1978" spans="1:8" ht="15" customHeight="1" x14ac:dyDescent="0.25">
      <c r="A1978" s="5">
        <v>1972</v>
      </c>
      <c r="B1978" s="10" t="s">
        <v>3943</v>
      </c>
      <c r="C1978" s="10" t="s">
        <v>3944</v>
      </c>
      <c r="D1978" s="7">
        <v>702.51</v>
      </c>
      <c r="E1978" s="5">
        <v>237</v>
      </c>
      <c r="F1978" s="5">
        <v>53</v>
      </c>
      <c r="G1978" s="12">
        <f>SUM($D$7:D1978)</f>
        <v>10216560.160000041</v>
      </c>
      <c r="H1978" s="11">
        <f t="shared" si="30"/>
        <v>0.95780090972567433</v>
      </c>
    </row>
    <row r="1979" spans="1:8" ht="15" customHeight="1" x14ac:dyDescent="0.25">
      <c r="A1979" s="5">
        <v>1973</v>
      </c>
      <c r="B1979" s="10" t="s">
        <v>3945</v>
      </c>
      <c r="C1979" s="10" t="s">
        <v>3946</v>
      </c>
      <c r="D1979" s="7">
        <v>699.96</v>
      </c>
      <c r="E1979" s="5">
        <v>1672</v>
      </c>
      <c r="F1979" s="5">
        <v>19</v>
      </c>
      <c r="G1979" s="12">
        <f>SUM($D$7:D1979)</f>
        <v>10217260.120000042</v>
      </c>
      <c r="H1979" s="11">
        <f t="shared" si="30"/>
        <v>0.9578665308656934</v>
      </c>
    </row>
    <row r="1980" spans="1:8" ht="15" customHeight="1" x14ac:dyDescent="0.25">
      <c r="A1980" s="5">
        <v>1974</v>
      </c>
      <c r="B1980" s="10" t="s">
        <v>3947</v>
      </c>
      <c r="C1980" s="10" t="s">
        <v>3948</v>
      </c>
      <c r="D1980" s="7">
        <v>699.63</v>
      </c>
      <c r="E1980" s="5">
        <v>41</v>
      </c>
      <c r="F1980" s="5">
        <v>24</v>
      </c>
      <c r="G1980" s="12">
        <f>SUM($D$7:D1980)</f>
        <v>10217959.750000043</v>
      </c>
      <c r="H1980" s="11">
        <f t="shared" si="30"/>
        <v>0.95793212106826431</v>
      </c>
    </row>
    <row r="1981" spans="1:8" ht="15" customHeight="1" x14ac:dyDescent="0.25">
      <c r="A1981" s="5">
        <v>1975</v>
      </c>
      <c r="B1981" s="10" t="s">
        <v>3949</v>
      </c>
      <c r="C1981" s="10" t="s">
        <v>3950</v>
      </c>
      <c r="D1981" s="7">
        <v>697.77</v>
      </c>
      <c r="E1981" s="5">
        <v>940</v>
      </c>
      <c r="F1981" s="5">
        <v>83</v>
      </c>
      <c r="G1981" s="12">
        <f>SUM($D$7:D1981)</f>
        <v>10218657.520000042</v>
      </c>
      <c r="H1981" s="11">
        <f t="shared" si="30"/>
        <v>0.95799753689612732</v>
      </c>
    </row>
    <row r="1982" spans="1:8" ht="15" customHeight="1" x14ac:dyDescent="0.25">
      <c r="A1982" s="5">
        <v>1976</v>
      </c>
      <c r="B1982" s="10" t="s">
        <v>3951</v>
      </c>
      <c r="C1982" s="10" t="s">
        <v>3952</v>
      </c>
      <c r="D1982" s="7">
        <v>697.7</v>
      </c>
      <c r="E1982" s="5">
        <v>216</v>
      </c>
      <c r="F1982" s="5">
        <v>44</v>
      </c>
      <c r="G1982" s="12">
        <f>SUM($D$7:D1982)</f>
        <v>10219355.220000042</v>
      </c>
      <c r="H1982" s="11">
        <f t="shared" si="30"/>
        <v>0.95806294616150134</v>
      </c>
    </row>
    <row r="1983" spans="1:8" ht="15" customHeight="1" x14ac:dyDescent="0.25">
      <c r="A1983" s="5">
        <v>1977</v>
      </c>
      <c r="B1983" s="10" t="s">
        <v>3953</v>
      </c>
      <c r="C1983" s="10" t="s">
        <v>3954</v>
      </c>
      <c r="D1983" s="7">
        <v>697.49</v>
      </c>
      <c r="E1983" s="5">
        <v>549</v>
      </c>
      <c r="F1983" s="5">
        <v>107</v>
      </c>
      <c r="G1983" s="12">
        <f>SUM($D$7:D1983)</f>
        <v>10220052.710000042</v>
      </c>
      <c r="H1983" s="11">
        <f t="shared" si="30"/>
        <v>0.95812833573940837</v>
      </c>
    </row>
    <row r="1984" spans="1:8" ht="15" customHeight="1" x14ac:dyDescent="0.25">
      <c r="A1984" s="5">
        <v>1978</v>
      </c>
      <c r="B1984" s="10" t="s">
        <v>3955</v>
      </c>
      <c r="C1984" s="10" t="s">
        <v>3956</v>
      </c>
      <c r="D1984" s="7">
        <v>696.8</v>
      </c>
      <c r="E1984" s="5">
        <v>1932</v>
      </c>
      <c r="F1984" s="5">
        <v>124</v>
      </c>
      <c r="G1984" s="12">
        <f>SUM($D$7:D1984)</f>
        <v>10220749.510000043</v>
      </c>
      <c r="H1984" s="11">
        <f t="shared" si="30"/>
        <v>0.95819366062992395</v>
      </c>
    </row>
    <row r="1985" spans="1:8" ht="15" customHeight="1" x14ac:dyDescent="0.25">
      <c r="A1985" s="5">
        <v>1979</v>
      </c>
      <c r="B1985" s="10" t="s">
        <v>3957</v>
      </c>
      <c r="C1985" s="10" t="s">
        <v>3958</v>
      </c>
      <c r="D1985" s="7">
        <v>695.41</v>
      </c>
      <c r="E1985" s="5">
        <v>1716</v>
      </c>
      <c r="F1985" s="5">
        <v>100</v>
      </c>
      <c r="G1985" s="12">
        <f>SUM($D$7:D1985)</f>
        <v>10221444.920000043</v>
      </c>
      <c r="H1985" s="11">
        <f t="shared" si="30"/>
        <v>0.9582588552081579</v>
      </c>
    </row>
    <row r="1986" spans="1:8" ht="15" customHeight="1" x14ac:dyDescent="0.25">
      <c r="A1986" s="5">
        <v>1980</v>
      </c>
      <c r="B1986" s="10" t="s">
        <v>3959</v>
      </c>
      <c r="C1986" s="10" t="s">
        <v>3960</v>
      </c>
      <c r="D1986" s="7">
        <v>695.23</v>
      </c>
      <c r="E1986" s="5">
        <v>95</v>
      </c>
      <c r="F1986" s="5">
        <v>45</v>
      </c>
      <c r="G1986" s="12">
        <f>SUM($D$7:D1986)</f>
        <v>10222140.150000043</v>
      </c>
      <c r="H1986" s="11">
        <f t="shared" si="30"/>
        <v>0.9583240329114201</v>
      </c>
    </row>
    <row r="1987" spans="1:8" ht="15" customHeight="1" x14ac:dyDescent="0.25">
      <c r="A1987" s="5">
        <v>1981</v>
      </c>
      <c r="B1987" s="10" t="s">
        <v>3961</v>
      </c>
      <c r="C1987" s="10" t="s">
        <v>3962</v>
      </c>
      <c r="D1987" s="7">
        <v>695.06</v>
      </c>
      <c r="E1987" s="5">
        <v>2338</v>
      </c>
      <c r="F1987" s="5">
        <v>74</v>
      </c>
      <c r="G1987" s="12">
        <f>SUM($D$7:D1987)</f>
        <v>10222835.210000044</v>
      </c>
      <c r="H1987" s="11">
        <f t="shared" si="30"/>
        <v>0.95838919467720896</v>
      </c>
    </row>
    <row r="1988" spans="1:8" ht="15" customHeight="1" x14ac:dyDescent="0.25">
      <c r="A1988" s="5">
        <v>1982</v>
      </c>
      <c r="B1988" s="10" t="s">
        <v>3963</v>
      </c>
      <c r="C1988" s="10" t="s">
        <v>3964</v>
      </c>
      <c r="D1988" s="7">
        <v>694.72</v>
      </c>
      <c r="E1988" s="5">
        <v>703</v>
      </c>
      <c r="F1988" s="5">
        <v>54</v>
      </c>
      <c r="G1988" s="12">
        <f>SUM($D$7:D1988)</f>
        <v>10223529.930000044</v>
      </c>
      <c r="H1988" s="11">
        <f t="shared" si="30"/>
        <v>0.95845432456805135</v>
      </c>
    </row>
    <row r="1989" spans="1:8" ht="15" customHeight="1" x14ac:dyDescent="0.25">
      <c r="A1989" s="5">
        <v>1983</v>
      </c>
      <c r="B1989" s="10" t="s">
        <v>3965</v>
      </c>
      <c r="C1989" s="10" t="s">
        <v>3966</v>
      </c>
      <c r="D1989" s="7">
        <v>693.32</v>
      </c>
      <c r="E1989" s="5">
        <v>661</v>
      </c>
      <c r="F1989" s="5">
        <v>45</v>
      </c>
      <c r="G1989" s="12">
        <f>SUM($D$7:D1989)</f>
        <v>10224223.250000045</v>
      </c>
      <c r="H1989" s="11">
        <f t="shared" si="30"/>
        <v>0.9585193232091137</v>
      </c>
    </row>
    <row r="1990" spans="1:8" ht="15" customHeight="1" x14ac:dyDescent="0.25">
      <c r="A1990" s="5">
        <v>1984</v>
      </c>
      <c r="B1990" s="10" t="s">
        <v>3967</v>
      </c>
      <c r="C1990" s="10" t="s">
        <v>3968</v>
      </c>
      <c r="D1990" s="7">
        <v>692.85</v>
      </c>
      <c r="E1990" s="5">
        <v>2550</v>
      </c>
      <c r="F1990" s="5">
        <v>132</v>
      </c>
      <c r="G1990" s="12">
        <f>SUM($D$7:D1990)</f>
        <v>10224916.100000044</v>
      </c>
      <c r="H1990" s="11">
        <f t="shared" si="30"/>
        <v>0.95858427778774979</v>
      </c>
    </row>
    <row r="1991" spans="1:8" ht="15" customHeight="1" x14ac:dyDescent="0.25">
      <c r="A1991" s="5">
        <v>1985</v>
      </c>
      <c r="B1991" s="10" t="s">
        <v>3969</v>
      </c>
      <c r="C1991" s="10" t="s">
        <v>3970</v>
      </c>
      <c r="D1991" s="7">
        <v>691.85</v>
      </c>
      <c r="E1991" s="5">
        <v>815</v>
      </c>
      <c r="F1991" s="5">
        <v>102</v>
      </c>
      <c r="G1991" s="12">
        <f>SUM($D$7:D1991)</f>
        <v>10225607.950000044</v>
      </c>
      <c r="H1991" s="11">
        <f t="shared" ref="H1991:H2054" si="31">G1991/SUM($D$7:$D$4167)</f>
        <v>0.958649138616543</v>
      </c>
    </row>
    <row r="1992" spans="1:8" ht="15" customHeight="1" x14ac:dyDescent="0.25">
      <c r="A1992" s="5">
        <v>1986</v>
      </c>
      <c r="B1992" s="10" t="s">
        <v>3971</v>
      </c>
      <c r="C1992" s="10" t="s">
        <v>3972</v>
      </c>
      <c r="D1992" s="7">
        <v>690.52</v>
      </c>
      <c r="E1992" s="5">
        <v>1318</v>
      </c>
      <c r="F1992" s="5">
        <v>62</v>
      </c>
      <c r="G1992" s="12">
        <f>SUM($D$7:D1992)</f>
        <v>10226298.470000044</v>
      </c>
      <c r="H1992" s="11">
        <f t="shared" si="31"/>
        <v>0.95871387475804515</v>
      </c>
    </row>
    <row r="1993" spans="1:8" ht="15" customHeight="1" x14ac:dyDescent="0.25">
      <c r="A1993" s="5">
        <v>1987</v>
      </c>
      <c r="B1993" s="10" t="s">
        <v>3973</v>
      </c>
      <c r="C1993" s="10" t="s">
        <v>3974</v>
      </c>
      <c r="D1993" s="7">
        <v>690.1</v>
      </c>
      <c r="E1993" s="5">
        <v>230</v>
      </c>
      <c r="F1993" s="5">
        <v>33</v>
      </c>
      <c r="G1993" s="12">
        <f>SUM($D$7:D1993)</f>
        <v>10226988.570000043</v>
      </c>
      <c r="H1993" s="11">
        <f t="shared" si="31"/>
        <v>0.95877857152461332</v>
      </c>
    </row>
    <row r="1994" spans="1:8" ht="15" customHeight="1" x14ac:dyDescent="0.25">
      <c r="A1994" s="5">
        <v>1988</v>
      </c>
      <c r="B1994" s="10" t="s">
        <v>3975</v>
      </c>
      <c r="C1994" s="10" t="s">
        <v>3976</v>
      </c>
      <c r="D1994" s="7">
        <v>689.67</v>
      </c>
      <c r="E1994" s="5">
        <v>1323</v>
      </c>
      <c r="F1994" s="5">
        <v>125</v>
      </c>
      <c r="G1994" s="12">
        <f>SUM($D$7:D1994)</f>
        <v>10227678.240000043</v>
      </c>
      <c r="H1994" s="11">
        <f t="shared" si="31"/>
        <v>0.9588432279787491</v>
      </c>
    </row>
    <row r="1995" spans="1:8" ht="15" customHeight="1" x14ac:dyDescent="0.25">
      <c r="A1995" s="5">
        <v>1989</v>
      </c>
      <c r="B1995" s="10" t="s">
        <v>3977</v>
      </c>
      <c r="C1995" s="10" t="s">
        <v>3978</v>
      </c>
      <c r="D1995" s="7">
        <v>689.53</v>
      </c>
      <c r="E1995" s="5">
        <v>112</v>
      </c>
      <c r="F1995" s="5">
        <v>34</v>
      </c>
      <c r="G1995" s="12">
        <f>SUM($D$7:D1995)</f>
        <v>10228367.770000042</v>
      </c>
      <c r="H1995" s="11">
        <f t="shared" si="31"/>
        <v>0.95890787130790678</v>
      </c>
    </row>
    <row r="1996" spans="1:8" ht="15" customHeight="1" x14ac:dyDescent="0.25">
      <c r="A1996" s="5">
        <v>1990</v>
      </c>
      <c r="B1996" s="10" t="s">
        <v>3979</v>
      </c>
      <c r="C1996" s="10" t="s">
        <v>3980</v>
      </c>
      <c r="D1996" s="7">
        <v>689.34</v>
      </c>
      <c r="E1996" s="5">
        <v>783</v>
      </c>
      <c r="F1996" s="5">
        <v>146</v>
      </c>
      <c r="G1996" s="12">
        <f>SUM($D$7:D1996)</f>
        <v>10229057.110000042</v>
      </c>
      <c r="H1996" s="11">
        <f t="shared" si="31"/>
        <v>0.9589724968245944</v>
      </c>
    </row>
    <row r="1997" spans="1:8" ht="15" customHeight="1" x14ac:dyDescent="0.25">
      <c r="A1997" s="5">
        <v>1991</v>
      </c>
      <c r="B1997" s="10" t="s">
        <v>3981</v>
      </c>
      <c r="C1997" s="10" t="s">
        <v>3982</v>
      </c>
      <c r="D1997" s="7">
        <v>688.91</v>
      </c>
      <c r="E1997" s="5">
        <v>1301</v>
      </c>
      <c r="F1997" s="5">
        <v>125</v>
      </c>
      <c r="G1997" s="12">
        <f>SUM($D$7:D1997)</f>
        <v>10229746.020000042</v>
      </c>
      <c r="H1997" s="11">
        <f t="shared" si="31"/>
        <v>0.95903708202884963</v>
      </c>
    </row>
    <row r="1998" spans="1:8" ht="15" customHeight="1" x14ac:dyDescent="0.25">
      <c r="A1998" s="5">
        <v>1992</v>
      </c>
      <c r="B1998" s="10" t="s">
        <v>3983</v>
      </c>
      <c r="C1998" s="10" t="s">
        <v>3984</v>
      </c>
      <c r="D1998" s="7">
        <v>688.3</v>
      </c>
      <c r="E1998" s="5">
        <v>286</v>
      </c>
      <c r="F1998" s="5">
        <v>74</v>
      </c>
      <c r="G1998" s="12">
        <f>SUM($D$7:D1998)</f>
        <v>10230434.320000043</v>
      </c>
      <c r="H1998" s="11">
        <f t="shared" si="31"/>
        <v>0.95910161004570083</v>
      </c>
    </row>
    <row r="1999" spans="1:8" ht="15" customHeight="1" x14ac:dyDescent="0.25">
      <c r="A1999" s="5">
        <v>1993</v>
      </c>
      <c r="B1999" s="10" t="s">
        <v>3985</v>
      </c>
      <c r="C1999" s="10" t="s">
        <v>3986</v>
      </c>
      <c r="D1999" s="7">
        <v>687.95</v>
      </c>
      <c r="E1999" s="5">
        <v>73</v>
      </c>
      <c r="F1999" s="5">
        <v>42</v>
      </c>
      <c r="G1999" s="12">
        <f>SUM($D$7:D1999)</f>
        <v>10231122.270000042</v>
      </c>
      <c r="H1999" s="11">
        <f t="shared" si="31"/>
        <v>0.9591661052501067</v>
      </c>
    </row>
    <row r="2000" spans="1:8" ht="15" customHeight="1" x14ac:dyDescent="0.25">
      <c r="A2000" s="5">
        <v>1994</v>
      </c>
      <c r="B2000" s="10" t="s">
        <v>3987</v>
      </c>
      <c r="C2000" s="10" t="s">
        <v>3988</v>
      </c>
      <c r="D2000" s="7">
        <v>686.86</v>
      </c>
      <c r="E2000" s="5">
        <v>112</v>
      </c>
      <c r="F2000" s="5">
        <v>56</v>
      </c>
      <c r="G2000" s="12">
        <f>SUM($D$7:D2000)</f>
        <v>10231809.130000042</v>
      </c>
      <c r="H2000" s="11">
        <f t="shared" si="31"/>
        <v>0.95923049826718398</v>
      </c>
    </row>
    <row r="2001" spans="1:8" ht="15" customHeight="1" x14ac:dyDescent="0.25">
      <c r="A2001" s="5">
        <v>1995</v>
      </c>
      <c r="B2001" s="10" t="s">
        <v>3989</v>
      </c>
      <c r="C2001" s="10" t="s">
        <v>3990</v>
      </c>
      <c r="D2001" s="7">
        <v>684.97</v>
      </c>
      <c r="E2001" s="5">
        <v>251</v>
      </c>
      <c r="F2001" s="5">
        <v>31</v>
      </c>
      <c r="G2001" s="12">
        <f>SUM($D$7:D2001)</f>
        <v>10232494.100000042</v>
      </c>
      <c r="H2001" s="11">
        <f t="shared" si="31"/>
        <v>0.95929471409705835</v>
      </c>
    </row>
    <row r="2002" spans="1:8" ht="15" customHeight="1" x14ac:dyDescent="0.25">
      <c r="A2002" s="5">
        <v>1996</v>
      </c>
      <c r="B2002" s="10" t="s">
        <v>3991</v>
      </c>
      <c r="C2002" s="10" t="s">
        <v>3992</v>
      </c>
      <c r="D2002" s="7">
        <v>684.62</v>
      </c>
      <c r="E2002" s="5">
        <v>1201</v>
      </c>
      <c r="F2002" s="5">
        <v>127</v>
      </c>
      <c r="G2002" s="12">
        <f>SUM($D$7:D2002)</f>
        <v>10233178.720000042</v>
      </c>
      <c r="H2002" s="11">
        <f t="shared" si="31"/>
        <v>0.95935889711448752</v>
      </c>
    </row>
    <row r="2003" spans="1:8" ht="15" customHeight="1" x14ac:dyDescent="0.25">
      <c r="A2003" s="5">
        <v>1997</v>
      </c>
      <c r="B2003" s="10" t="s">
        <v>3993</v>
      </c>
      <c r="C2003" s="10" t="s">
        <v>3994</v>
      </c>
      <c r="D2003" s="7">
        <v>683.31</v>
      </c>
      <c r="E2003" s="5">
        <v>2468</v>
      </c>
      <c r="F2003" s="5">
        <v>83</v>
      </c>
      <c r="G2003" s="12">
        <f>SUM($D$7:D2003)</f>
        <v>10233862.030000042</v>
      </c>
      <c r="H2003" s="11">
        <f t="shared" si="31"/>
        <v>0.95942295731962268</v>
      </c>
    </row>
    <row r="2004" spans="1:8" ht="15" customHeight="1" x14ac:dyDescent="0.25">
      <c r="A2004" s="5">
        <v>1998</v>
      </c>
      <c r="B2004" s="10" t="s">
        <v>3995</v>
      </c>
      <c r="C2004" s="10" t="s">
        <v>3996</v>
      </c>
      <c r="D2004" s="7">
        <v>682.97</v>
      </c>
      <c r="E2004" s="5">
        <v>512</v>
      </c>
      <c r="F2004" s="5">
        <v>36</v>
      </c>
      <c r="G2004" s="12">
        <f>SUM($D$7:D2004)</f>
        <v>10234545.000000043</v>
      </c>
      <c r="H2004" s="11">
        <f t="shared" si="31"/>
        <v>0.95948698564981127</v>
      </c>
    </row>
    <row r="2005" spans="1:8" ht="15" customHeight="1" x14ac:dyDescent="0.25">
      <c r="A2005" s="5">
        <v>1999</v>
      </c>
      <c r="B2005" s="10" t="s">
        <v>3997</v>
      </c>
      <c r="C2005" s="10" t="s">
        <v>3998</v>
      </c>
      <c r="D2005" s="7">
        <v>682.01</v>
      </c>
      <c r="E2005" s="5">
        <v>588</v>
      </c>
      <c r="F2005" s="5">
        <v>73</v>
      </c>
      <c r="G2005" s="12">
        <f>SUM($D$7:D2005)</f>
        <v>10235227.010000043</v>
      </c>
      <c r="H2005" s="11">
        <f t="shared" si="31"/>
        <v>0.95955092398015052</v>
      </c>
    </row>
    <row r="2006" spans="1:8" ht="15" customHeight="1" x14ac:dyDescent="0.25">
      <c r="A2006" s="5">
        <v>2000</v>
      </c>
      <c r="B2006" s="10" t="s">
        <v>3999</v>
      </c>
      <c r="C2006" s="10" t="s">
        <v>4000</v>
      </c>
      <c r="D2006" s="7">
        <v>681.59</v>
      </c>
      <c r="E2006" s="5">
        <v>199</v>
      </c>
      <c r="F2006" s="5">
        <v>30</v>
      </c>
      <c r="G2006" s="12">
        <f>SUM($D$7:D2006)</f>
        <v>10235908.600000042</v>
      </c>
      <c r="H2006" s="11">
        <f t="shared" si="31"/>
        <v>0.95961482293555589</v>
      </c>
    </row>
    <row r="2007" spans="1:8" ht="15" customHeight="1" x14ac:dyDescent="0.25">
      <c r="A2007" s="5">
        <v>2001</v>
      </c>
      <c r="B2007" s="10" t="s">
        <v>4001</v>
      </c>
      <c r="C2007" s="10" t="s">
        <v>4002</v>
      </c>
      <c r="D2007" s="7">
        <v>681.54</v>
      </c>
      <c r="E2007" s="5">
        <v>426</v>
      </c>
      <c r="F2007" s="5">
        <v>32</v>
      </c>
      <c r="G2007" s="12">
        <f>SUM($D$7:D2007)</f>
        <v>10236590.140000042</v>
      </c>
      <c r="H2007" s="11">
        <f t="shared" si="31"/>
        <v>0.95967871720346898</v>
      </c>
    </row>
    <row r="2008" spans="1:8" ht="15" customHeight="1" x14ac:dyDescent="0.25">
      <c r="A2008" s="5">
        <v>2002</v>
      </c>
      <c r="B2008" s="10" t="s">
        <v>4003</v>
      </c>
      <c r="C2008" s="10" t="s">
        <v>4004</v>
      </c>
      <c r="D2008" s="7">
        <v>680.93</v>
      </c>
      <c r="E2008" s="5">
        <v>379</v>
      </c>
      <c r="F2008" s="5">
        <v>84</v>
      </c>
      <c r="G2008" s="12">
        <f>SUM($D$7:D2008)</f>
        <v>10237271.070000041</v>
      </c>
      <c r="H2008" s="11">
        <f t="shared" si="31"/>
        <v>0.95974255428397803</v>
      </c>
    </row>
    <row r="2009" spans="1:8" ht="15" customHeight="1" x14ac:dyDescent="0.25">
      <c r="A2009" s="5">
        <v>2003</v>
      </c>
      <c r="B2009" s="10" t="s">
        <v>4005</v>
      </c>
      <c r="C2009" s="10" t="s">
        <v>4006</v>
      </c>
      <c r="D2009" s="7">
        <v>679.67</v>
      </c>
      <c r="E2009" s="5">
        <v>161</v>
      </c>
      <c r="F2009" s="5">
        <v>88</v>
      </c>
      <c r="G2009" s="12">
        <f>SUM($D$7:D2009)</f>
        <v>10237950.740000041</v>
      </c>
      <c r="H2009" s="11">
        <f t="shared" si="31"/>
        <v>0.95980627323968504</v>
      </c>
    </row>
    <row r="2010" spans="1:8" ht="15" customHeight="1" x14ac:dyDescent="0.25">
      <c r="A2010" s="5">
        <v>2004</v>
      </c>
      <c r="B2010" s="10" t="s">
        <v>4007</v>
      </c>
      <c r="C2010" s="10" t="s">
        <v>4008</v>
      </c>
      <c r="D2010" s="7">
        <v>677.19</v>
      </c>
      <c r="E2010" s="5">
        <v>253</v>
      </c>
      <c r="F2010" s="5">
        <v>68</v>
      </c>
      <c r="G2010" s="12">
        <f>SUM($D$7:D2010)</f>
        <v>10238627.930000041</v>
      </c>
      <c r="H2010" s="11">
        <f t="shared" si="31"/>
        <v>0.9598697596957817</v>
      </c>
    </row>
    <row r="2011" spans="1:8" ht="15" customHeight="1" x14ac:dyDescent="0.25">
      <c r="A2011" s="5">
        <v>2005</v>
      </c>
      <c r="B2011" s="10" t="s">
        <v>4009</v>
      </c>
      <c r="C2011" s="10" t="s">
        <v>4010</v>
      </c>
      <c r="D2011" s="7">
        <v>677.04</v>
      </c>
      <c r="E2011" s="5">
        <v>260</v>
      </c>
      <c r="F2011" s="5">
        <v>38</v>
      </c>
      <c r="G2011" s="12">
        <f>SUM($D$7:D2011)</f>
        <v>10239304.97000004</v>
      </c>
      <c r="H2011" s="11">
        <f t="shared" si="31"/>
        <v>0.95993323208940196</v>
      </c>
    </row>
    <row r="2012" spans="1:8" ht="15" customHeight="1" x14ac:dyDescent="0.25">
      <c r="A2012" s="5">
        <v>2006</v>
      </c>
      <c r="B2012" s="10" t="s">
        <v>4011</v>
      </c>
      <c r="C2012" s="10" t="s">
        <v>4012</v>
      </c>
      <c r="D2012" s="7">
        <v>676.27</v>
      </c>
      <c r="E2012" s="5">
        <v>280</v>
      </c>
      <c r="F2012" s="5">
        <v>89</v>
      </c>
      <c r="G2012" s="12">
        <f>SUM($D$7:D2012)</f>
        <v>10239981.240000039</v>
      </c>
      <c r="H2012" s="11">
        <f t="shared" si="31"/>
        <v>0.95999663229564314</v>
      </c>
    </row>
    <row r="2013" spans="1:8" ht="15" customHeight="1" x14ac:dyDescent="0.25">
      <c r="A2013" s="5">
        <v>2007</v>
      </c>
      <c r="B2013" s="10" t="s">
        <v>4013</v>
      </c>
      <c r="C2013" s="10" t="s">
        <v>4014</v>
      </c>
      <c r="D2013" s="7">
        <v>675.91</v>
      </c>
      <c r="E2013" s="5">
        <v>77</v>
      </c>
      <c r="F2013" s="5">
        <v>33</v>
      </c>
      <c r="G2013" s="12">
        <f>SUM($D$7:D2013)</f>
        <v>10240657.150000039</v>
      </c>
      <c r="H2013" s="11">
        <f t="shared" si="31"/>
        <v>0.96005999875194092</v>
      </c>
    </row>
    <row r="2014" spans="1:8" ht="15" customHeight="1" x14ac:dyDescent="0.25">
      <c r="A2014" s="5">
        <v>2008</v>
      </c>
      <c r="B2014" s="10" t="s">
        <v>4015</v>
      </c>
      <c r="C2014" s="10" t="s">
        <v>4016</v>
      </c>
      <c r="D2014" s="7">
        <v>675.23</v>
      </c>
      <c r="E2014" s="5">
        <v>821</v>
      </c>
      <c r="F2014" s="5">
        <v>56</v>
      </c>
      <c r="G2014" s="12">
        <f>SUM($D$7:D2014)</f>
        <v>10241332.38000004</v>
      </c>
      <c r="H2014" s="11">
        <f t="shared" si="31"/>
        <v>0.96012330145834568</v>
      </c>
    </row>
    <row r="2015" spans="1:8" ht="15" customHeight="1" x14ac:dyDescent="0.25">
      <c r="A2015" s="5">
        <v>2009</v>
      </c>
      <c r="B2015" s="10" t="s">
        <v>4017</v>
      </c>
      <c r="C2015" s="10" t="s">
        <v>4018</v>
      </c>
      <c r="D2015" s="7">
        <v>674.53</v>
      </c>
      <c r="E2015" s="5">
        <v>1545</v>
      </c>
      <c r="F2015" s="5">
        <v>105</v>
      </c>
      <c r="G2015" s="12">
        <f>SUM($D$7:D2015)</f>
        <v>10242006.910000039</v>
      </c>
      <c r="H2015" s="11">
        <f t="shared" si="31"/>
        <v>0.96018653853986025</v>
      </c>
    </row>
    <row r="2016" spans="1:8" ht="15" customHeight="1" x14ac:dyDescent="0.25">
      <c r="A2016" s="5">
        <v>2010</v>
      </c>
      <c r="B2016" s="10" t="s">
        <v>4019</v>
      </c>
      <c r="C2016" s="10" t="s">
        <v>4020</v>
      </c>
      <c r="D2016" s="7">
        <v>673.17</v>
      </c>
      <c r="E2016" s="5">
        <v>836</v>
      </c>
      <c r="F2016" s="5">
        <v>83</v>
      </c>
      <c r="G2016" s="12">
        <f>SUM($D$7:D2016)</f>
        <v>10242680.080000039</v>
      </c>
      <c r="H2016" s="11">
        <f t="shared" si="31"/>
        <v>0.96024964812158853</v>
      </c>
    </row>
    <row r="2017" spans="1:8" ht="15" customHeight="1" x14ac:dyDescent="0.25">
      <c r="A2017" s="5">
        <v>2011</v>
      </c>
      <c r="B2017" s="10" t="s">
        <v>4021</v>
      </c>
      <c r="C2017" s="10" t="s">
        <v>4022</v>
      </c>
      <c r="D2017" s="7">
        <v>672.88</v>
      </c>
      <c r="E2017" s="5">
        <v>104</v>
      </c>
      <c r="F2017" s="5">
        <v>34</v>
      </c>
      <c r="G2017" s="12">
        <f>SUM($D$7:D2017)</f>
        <v>10243352.96000004</v>
      </c>
      <c r="H2017" s="11">
        <f t="shared" si="31"/>
        <v>0.96031273051586252</v>
      </c>
    </row>
    <row r="2018" spans="1:8" ht="15" customHeight="1" x14ac:dyDescent="0.25">
      <c r="A2018" s="5">
        <v>2012</v>
      </c>
      <c r="B2018" s="10" t="s">
        <v>4023</v>
      </c>
      <c r="C2018" s="10" t="s">
        <v>901</v>
      </c>
      <c r="D2018" s="7">
        <v>672.24</v>
      </c>
      <c r="E2018" s="5">
        <v>134</v>
      </c>
      <c r="F2018" s="5">
        <v>56</v>
      </c>
      <c r="G2018" s="12">
        <f>SUM($D$7:D2018)</f>
        <v>10244025.20000004</v>
      </c>
      <c r="H2018" s="11">
        <f t="shared" si="31"/>
        <v>0.96037575291023702</v>
      </c>
    </row>
    <row r="2019" spans="1:8" ht="15" customHeight="1" x14ac:dyDescent="0.25">
      <c r="A2019" s="5">
        <v>2013</v>
      </c>
      <c r="B2019" s="10" t="s">
        <v>4024</v>
      </c>
      <c r="C2019" s="10" t="s">
        <v>4025</v>
      </c>
      <c r="D2019" s="7">
        <v>672.09</v>
      </c>
      <c r="E2019" s="5">
        <v>187</v>
      </c>
      <c r="F2019" s="5">
        <v>45</v>
      </c>
      <c r="G2019" s="12">
        <f>SUM($D$7:D2019)</f>
        <v>10244697.29000004</v>
      </c>
      <c r="H2019" s="11">
        <f t="shared" si="31"/>
        <v>0.96043876124213512</v>
      </c>
    </row>
    <row r="2020" spans="1:8" ht="15" customHeight="1" x14ac:dyDescent="0.25">
      <c r="A2020" s="5">
        <v>2014</v>
      </c>
      <c r="B2020" s="10" t="s">
        <v>4026</v>
      </c>
      <c r="C2020" s="10" t="s">
        <v>4027</v>
      </c>
      <c r="D2020" s="7">
        <v>671.93</v>
      </c>
      <c r="E2020" s="5">
        <v>71</v>
      </c>
      <c r="F2020" s="5">
        <v>43</v>
      </c>
      <c r="G2020" s="12">
        <f>SUM($D$7:D2020)</f>
        <v>10245369.22000004</v>
      </c>
      <c r="H2020" s="11">
        <f t="shared" si="31"/>
        <v>0.96050175457405818</v>
      </c>
    </row>
    <row r="2021" spans="1:8" ht="15" customHeight="1" x14ac:dyDescent="0.25">
      <c r="A2021" s="5">
        <v>2015</v>
      </c>
      <c r="B2021" s="10" t="s">
        <v>4028</v>
      </c>
      <c r="C2021" s="10" t="s">
        <v>4029</v>
      </c>
      <c r="D2021" s="7">
        <v>671.62</v>
      </c>
      <c r="E2021" s="5">
        <v>162</v>
      </c>
      <c r="F2021" s="5">
        <v>98</v>
      </c>
      <c r="G2021" s="12">
        <f>SUM($D$7:D2021)</f>
        <v>10246040.840000039</v>
      </c>
      <c r="H2021" s="11">
        <f t="shared" si="31"/>
        <v>0.96056471884353001</v>
      </c>
    </row>
    <row r="2022" spans="1:8" ht="15" customHeight="1" x14ac:dyDescent="0.25">
      <c r="A2022" s="5">
        <v>2016</v>
      </c>
      <c r="B2022" s="10" t="s">
        <v>4030</v>
      </c>
      <c r="C2022" s="10" t="s">
        <v>4031</v>
      </c>
      <c r="D2022" s="7">
        <v>671.53</v>
      </c>
      <c r="E2022" s="5">
        <v>69</v>
      </c>
      <c r="F2022" s="5">
        <v>28</v>
      </c>
      <c r="G2022" s="12">
        <f>SUM($D$7:D2022)</f>
        <v>10246712.370000038</v>
      </c>
      <c r="H2022" s="11">
        <f t="shared" si="31"/>
        <v>0.96062767467551602</v>
      </c>
    </row>
    <row r="2023" spans="1:8" ht="15" customHeight="1" x14ac:dyDescent="0.25">
      <c r="A2023" s="5">
        <v>2017</v>
      </c>
      <c r="B2023" s="10" t="s">
        <v>4032</v>
      </c>
      <c r="C2023" s="10" t="s">
        <v>4033</v>
      </c>
      <c r="D2023" s="7">
        <v>671.01</v>
      </c>
      <c r="E2023" s="5">
        <v>1766</v>
      </c>
      <c r="F2023" s="5">
        <v>134</v>
      </c>
      <c r="G2023" s="12">
        <f>SUM($D$7:D2023)</f>
        <v>10247383.380000038</v>
      </c>
      <c r="H2023" s="11">
        <f t="shared" si="31"/>
        <v>0.96069058175758371</v>
      </c>
    </row>
    <row r="2024" spans="1:8" ht="15" customHeight="1" x14ac:dyDescent="0.25">
      <c r="A2024" s="5">
        <v>2018</v>
      </c>
      <c r="B2024" s="10" t="s">
        <v>4034</v>
      </c>
      <c r="C2024" s="10" t="s">
        <v>4035</v>
      </c>
      <c r="D2024" s="7">
        <v>669.54</v>
      </c>
      <c r="E2024" s="5">
        <v>197</v>
      </c>
      <c r="F2024" s="5">
        <v>79</v>
      </c>
      <c r="G2024" s="12">
        <f>SUM($D$7:D2024)</f>
        <v>10248052.920000037</v>
      </c>
      <c r="H2024" s="11">
        <f t="shared" si="31"/>
        <v>0.96075335102738235</v>
      </c>
    </row>
    <row r="2025" spans="1:8" ht="15" customHeight="1" x14ac:dyDescent="0.25">
      <c r="A2025" s="5">
        <v>2019</v>
      </c>
      <c r="B2025" s="10" t="s">
        <v>4036</v>
      </c>
      <c r="C2025" s="10" t="s">
        <v>4037</v>
      </c>
      <c r="D2025" s="7">
        <v>667.92</v>
      </c>
      <c r="E2025" s="5">
        <v>584</v>
      </c>
      <c r="F2025" s="5">
        <v>61</v>
      </c>
      <c r="G2025" s="12">
        <f>SUM($D$7:D2025)</f>
        <v>10248720.840000037</v>
      </c>
      <c r="H2025" s="11">
        <f t="shared" si="31"/>
        <v>0.96081596842243555</v>
      </c>
    </row>
    <row r="2026" spans="1:8" ht="15" customHeight="1" x14ac:dyDescent="0.25">
      <c r="A2026" s="5">
        <v>2020</v>
      </c>
      <c r="B2026" s="10" t="s">
        <v>4038</v>
      </c>
      <c r="C2026" s="10" t="s">
        <v>4039</v>
      </c>
      <c r="D2026" s="7">
        <v>667.85</v>
      </c>
      <c r="E2026" s="5">
        <v>255</v>
      </c>
      <c r="F2026" s="5">
        <v>11</v>
      </c>
      <c r="G2026" s="12">
        <f>SUM($D$7:D2026)</f>
        <v>10249388.690000037</v>
      </c>
      <c r="H2026" s="11">
        <f t="shared" si="31"/>
        <v>0.96087857925499975</v>
      </c>
    </row>
    <row r="2027" spans="1:8" ht="15" customHeight="1" x14ac:dyDescent="0.25">
      <c r="A2027" s="5">
        <v>2021</v>
      </c>
      <c r="B2027" s="10" t="s">
        <v>4040</v>
      </c>
      <c r="C2027" s="10" t="s">
        <v>4041</v>
      </c>
      <c r="D2027" s="7">
        <v>665.95</v>
      </c>
      <c r="E2027" s="5">
        <v>549</v>
      </c>
      <c r="F2027" s="5">
        <v>114</v>
      </c>
      <c r="G2027" s="12">
        <f>SUM($D$7:D2027)</f>
        <v>10250054.640000036</v>
      </c>
      <c r="H2027" s="11">
        <f t="shared" si="31"/>
        <v>0.96094101196286252</v>
      </c>
    </row>
    <row r="2028" spans="1:8" ht="15" customHeight="1" x14ac:dyDescent="0.25">
      <c r="A2028" s="5">
        <v>2022</v>
      </c>
      <c r="B2028" s="10" t="s">
        <v>4042</v>
      </c>
      <c r="C2028" s="10" t="s">
        <v>4043</v>
      </c>
      <c r="D2028" s="7">
        <v>663.71</v>
      </c>
      <c r="E2028" s="5">
        <v>253</v>
      </c>
      <c r="F2028" s="5">
        <v>79</v>
      </c>
      <c r="G2028" s="12">
        <f>SUM($D$7:D2028)</f>
        <v>10250718.350000037</v>
      </c>
      <c r="H2028" s="11">
        <f t="shared" si="31"/>
        <v>0.96100323467107729</v>
      </c>
    </row>
    <row r="2029" spans="1:8" ht="15" customHeight="1" x14ac:dyDescent="0.25">
      <c r="A2029" s="5">
        <v>2023</v>
      </c>
      <c r="B2029" s="10" t="s">
        <v>4044</v>
      </c>
      <c r="C2029" s="10" t="s">
        <v>4045</v>
      </c>
      <c r="D2029" s="7">
        <v>663.43</v>
      </c>
      <c r="E2029" s="5">
        <v>977</v>
      </c>
      <c r="F2029" s="5">
        <v>95</v>
      </c>
      <c r="G2029" s="12">
        <f>SUM($D$7:D2029)</f>
        <v>10251381.780000037</v>
      </c>
      <c r="H2029" s="11">
        <f t="shared" si="31"/>
        <v>0.96106543112933596</v>
      </c>
    </row>
    <row r="2030" spans="1:8" ht="15" customHeight="1" x14ac:dyDescent="0.25">
      <c r="A2030" s="5">
        <v>2024</v>
      </c>
      <c r="B2030" s="10" t="s">
        <v>4046</v>
      </c>
      <c r="C2030" s="10" t="s">
        <v>4047</v>
      </c>
      <c r="D2030" s="7">
        <v>661.93</v>
      </c>
      <c r="E2030" s="5">
        <v>227</v>
      </c>
      <c r="F2030" s="5">
        <v>42</v>
      </c>
      <c r="G2030" s="12">
        <f>SUM($D$7:D2030)</f>
        <v>10252043.710000036</v>
      </c>
      <c r="H2030" s="11">
        <f t="shared" si="31"/>
        <v>0.96112748696283046</v>
      </c>
    </row>
    <row r="2031" spans="1:8" ht="15" customHeight="1" x14ac:dyDescent="0.25">
      <c r="A2031" s="5">
        <v>2025</v>
      </c>
      <c r="B2031" s="10" t="s">
        <v>4048</v>
      </c>
      <c r="C2031" s="10" t="s">
        <v>4049</v>
      </c>
      <c r="D2031" s="7">
        <v>661.5</v>
      </c>
      <c r="E2031" s="5">
        <v>1575</v>
      </c>
      <c r="F2031" s="5">
        <v>62</v>
      </c>
      <c r="G2031" s="12">
        <f>SUM($D$7:D2031)</f>
        <v>10252705.210000036</v>
      </c>
      <c r="H2031" s="11">
        <f t="shared" si="31"/>
        <v>0.96118950248389234</v>
      </c>
    </row>
    <row r="2032" spans="1:8" ht="15" customHeight="1" x14ac:dyDescent="0.25">
      <c r="A2032" s="5">
        <v>2026</v>
      </c>
      <c r="B2032" s="10" t="s">
        <v>4050</v>
      </c>
      <c r="C2032" s="10" t="s">
        <v>4051</v>
      </c>
      <c r="D2032" s="7">
        <v>661.11</v>
      </c>
      <c r="E2032" s="5">
        <v>195</v>
      </c>
      <c r="F2032" s="5">
        <v>58</v>
      </c>
      <c r="G2032" s="12">
        <f>SUM($D$7:D2032)</f>
        <v>10253366.320000036</v>
      </c>
      <c r="H2032" s="11">
        <f t="shared" si="31"/>
        <v>0.9612514814425156</v>
      </c>
    </row>
    <row r="2033" spans="1:8" ht="15" customHeight="1" x14ac:dyDescent="0.25">
      <c r="A2033" s="5">
        <v>2027</v>
      </c>
      <c r="B2033" s="10" t="s">
        <v>4052</v>
      </c>
      <c r="C2033" s="10" t="s">
        <v>4053</v>
      </c>
      <c r="D2033" s="7">
        <v>661.02</v>
      </c>
      <c r="E2033" s="5">
        <v>418</v>
      </c>
      <c r="F2033" s="5">
        <v>39</v>
      </c>
      <c r="G2033" s="12">
        <f>SUM($D$7:D2033)</f>
        <v>10254027.340000035</v>
      </c>
      <c r="H2033" s="11">
        <f t="shared" si="31"/>
        <v>0.96131345196365292</v>
      </c>
    </row>
    <row r="2034" spans="1:8" ht="15" customHeight="1" x14ac:dyDescent="0.25">
      <c r="A2034" s="5">
        <v>2028</v>
      </c>
      <c r="B2034" s="10" t="s">
        <v>4054</v>
      </c>
      <c r="C2034" s="10" t="s">
        <v>4055</v>
      </c>
      <c r="D2034" s="7">
        <v>660.73</v>
      </c>
      <c r="E2034" s="5">
        <v>2075</v>
      </c>
      <c r="F2034" s="5">
        <v>102</v>
      </c>
      <c r="G2034" s="12">
        <f>SUM($D$7:D2034)</f>
        <v>10254688.070000036</v>
      </c>
      <c r="H2034" s="11">
        <f t="shared" si="31"/>
        <v>0.96137539529733596</v>
      </c>
    </row>
    <row r="2035" spans="1:8" ht="15" customHeight="1" x14ac:dyDescent="0.25">
      <c r="A2035" s="5">
        <v>2029</v>
      </c>
      <c r="B2035" s="10" t="s">
        <v>4056</v>
      </c>
      <c r="C2035" s="10" t="s">
        <v>4057</v>
      </c>
      <c r="D2035" s="7">
        <v>658.75</v>
      </c>
      <c r="E2035" s="5">
        <v>213</v>
      </c>
      <c r="F2035" s="5">
        <v>49</v>
      </c>
      <c r="G2035" s="12">
        <f>SUM($D$7:D2035)</f>
        <v>10255346.820000036</v>
      </c>
      <c r="H2035" s="11">
        <f t="shared" si="31"/>
        <v>0.96143715300633004</v>
      </c>
    </row>
    <row r="2036" spans="1:8" ht="15" customHeight="1" x14ac:dyDescent="0.25">
      <c r="A2036" s="5">
        <v>2030</v>
      </c>
      <c r="B2036" s="10" t="s">
        <v>4058</v>
      </c>
      <c r="C2036" s="10" t="s">
        <v>2683</v>
      </c>
      <c r="D2036" s="7">
        <v>658.51</v>
      </c>
      <c r="E2036" s="5">
        <v>159</v>
      </c>
      <c r="F2036" s="5">
        <v>82</v>
      </c>
      <c r="G2036" s="12">
        <f>SUM($D$7:D2036)</f>
        <v>10256005.330000035</v>
      </c>
      <c r="H2036" s="11">
        <f t="shared" si="31"/>
        <v>0.96149888821536178</v>
      </c>
    </row>
    <row r="2037" spans="1:8" ht="15" customHeight="1" x14ac:dyDescent="0.25">
      <c r="A2037" s="5">
        <v>2031</v>
      </c>
      <c r="B2037" s="10" t="s">
        <v>4059</v>
      </c>
      <c r="C2037" s="10" t="s">
        <v>4060</v>
      </c>
      <c r="D2037" s="7">
        <v>656.52</v>
      </c>
      <c r="E2037" s="5">
        <v>599</v>
      </c>
      <c r="F2037" s="5">
        <v>123</v>
      </c>
      <c r="G2037" s="12">
        <f>SUM($D$7:D2037)</f>
        <v>10256661.850000035</v>
      </c>
      <c r="H2037" s="11">
        <f t="shared" si="31"/>
        <v>0.96156043686220627</v>
      </c>
    </row>
    <row r="2038" spans="1:8" ht="15" customHeight="1" x14ac:dyDescent="0.25">
      <c r="A2038" s="5">
        <v>2032</v>
      </c>
      <c r="B2038" s="10" t="s">
        <v>4061</v>
      </c>
      <c r="C2038" s="10" t="s">
        <v>4062</v>
      </c>
      <c r="D2038" s="7">
        <v>656.43</v>
      </c>
      <c r="E2038" s="5">
        <v>201</v>
      </c>
      <c r="F2038" s="5">
        <v>45</v>
      </c>
      <c r="G2038" s="12">
        <f>SUM($D$7:D2038)</f>
        <v>10257318.280000035</v>
      </c>
      <c r="H2038" s="11">
        <f t="shared" si="31"/>
        <v>0.96162197707156483</v>
      </c>
    </row>
    <row r="2039" spans="1:8" ht="15" customHeight="1" x14ac:dyDescent="0.25">
      <c r="A2039" s="5">
        <v>2033</v>
      </c>
      <c r="B2039" s="10" t="s">
        <v>4063</v>
      </c>
      <c r="C2039" s="10" t="s">
        <v>4064</v>
      </c>
      <c r="D2039" s="7">
        <v>653.36</v>
      </c>
      <c r="E2039" s="5">
        <v>434</v>
      </c>
      <c r="F2039" s="5">
        <v>105</v>
      </c>
      <c r="G2039" s="12">
        <f>SUM($D$7:D2039)</f>
        <v>10257971.640000034</v>
      </c>
      <c r="H2039" s="11">
        <f t="shared" si="31"/>
        <v>0.96168322946890572</v>
      </c>
    </row>
    <row r="2040" spans="1:8" ht="15" customHeight="1" x14ac:dyDescent="0.25">
      <c r="A2040" s="5">
        <v>2034</v>
      </c>
      <c r="B2040" s="10" t="s">
        <v>4065</v>
      </c>
      <c r="C2040" s="10" t="s">
        <v>4066</v>
      </c>
      <c r="D2040" s="7">
        <v>651.95000000000005</v>
      </c>
      <c r="E2040" s="5">
        <v>155</v>
      </c>
      <c r="F2040" s="5">
        <v>70</v>
      </c>
      <c r="G2040" s="12">
        <f>SUM($D$7:D2040)</f>
        <v>10258623.590000033</v>
      </c>
      <c r="H2040" s="11">
        <f t="shared" si="31"/>
        <v>0.96174434967896827</v>
      </c>
    </row>
    <row r="2041" spans="1:8" ht="15" customHeight="1" x14ac:dyDescent="0.25">
      <c r="A2041" s="5">
        <v>2035</v>
      </c>
      <c r="B2041" s="10" t="s">
        <v>4067</v>
      </c>
      <c r="C2041" s="10" t="s">
        <v>4068</v>
      </c>
      <c r="D2041" s="7">
        <v>651.75</v>
      </c>
      <c r="E2041" s="5">
        <v>371</v>
      </c>
      <c r="F2041" s="5">
        <v>48</v>
      </c>
      <c r="G2041" s="12">
        <f>SUM($D$7:D2041)</f>
        <v>10259275.340000033</v>
      </c>
      <c r="H2041" s="11">
        <f t="shared" si="31"/>
        <v>0.96180545113906213</v>
      </c>
    </row>
    <row r="2042" spans="1:8" ht="15" customHeight="1" x14ac:dyDescent="0.25">
      <c r="A2042" s="5">
        <v>2036</v>
      </c>
      <c r="B2042" s="10" t="s">
        <v>4069</v>
      </c>
      <c r="C2042" s="10" t="s">
        <v>4070</v>
      </c>
      <c r="D2042" s="7">
        <v>649.02</v>
      </c>
      <c r="E2042" s="5">
        <v>738</v>
      </c>
      <c r="F2042" s="5">
        <v>71</v>
      </c>
      <c r="G2042" s="12">
        <f>SUM($D$7:D2042)</f>
        <v>10259924.360000033</v>
      </c>
      <c r="H2042" s="11">
        <f t="shared" si="31"/>
        <v>0.96186629666208501</v>
      </c>
    </row>
    <row r="2043" spans="1:8" ht="15" customHeight="1" x14ac:dyDescent="0.25">
      <c r="A2043" s="5">
        <v>2037</v>
      </c>
      <c r="B2043" s="10" t="s">
        <v>4071</v>
      </c>
      <c r="C2043" s="10" t="s">
        <v>4072</v>
      </c>
      <c r="D2043" s="7">
        <v>648.97</v>
      </c>
      <c r="E2043" s="5">
        <v>489</v>
      </c>
      <c r="F2043" s="5">
        <v>74</v>
      </c>
      <c r="G2043" s="12">
        <f>SUM($D$7:D2043)</f>
        <v>10260573.330000034</v>
      </c>
      <c r="H2043" s="11">
        <f t="shared" si="31"/>
        <v>0.96192713749761583</v>
      </c>
    </row>
    <row r="2044" spans="1:8" ht="15" customHeight="1" x14ac:dyDescent="0.25">
      <c r="A2044" s="5">
        <v>2038</v>
      </c>
      <c r="B2044" s="10" t="s">
        <v>4073</v>
      </c>
      <c r="C2044" s="10" t="s">
        <v>4074</v>
      </c>
      <c r="D2044" s="7">
        <v>646.49</v>
      </c>
      <c r="E2044" s="5">
        <v>1787</v>
      </c>
      <c r="F2044" s="5">
        <v>88</v>
      </c>
      <c r="G2044" s="12">
        <f>SUM($D$7:D2044)</f>
        <v>10261219.820000034</v>
      </c>
      <c r="H2044" s="11">
        <f t="shared" si="31"/>
        <v>0.9619877458335363</v>
      </c>
    </row>
    <row r="2045" spans="1:8" ht="15" customHeight="1" x14ac:dyDescent="0.25">
      <c r="A2045" s="5">
        <v>2039</v>
      </c>
      <c r="B2045" s="10" t="s">
        <v>4075</v>
      </c>
      <c r="C2045" s="10" t="s">
        <v>4076</v>
      </c>
      <c r="D2045" s="7">
        <v>645.64</v>
      </c>
      <c r="E2045" s="5">
        <v>1543</v>
      </c>
      <c r="F2045" s="5">
        <v>130</v>
      </c>
      <c r="G2045" s="12">
        <f>SUM($D$7:D2045)</f>
        <v>10261865.460000034</v>
      </c>
      <c r="H2045" s="11">
        <f t="shared" si="31"/>
        <v>0.96204827448209029</v>
      </c>
    </row>
    <row r="2046" spans="1:8" ht="15" customHeight="1" x14ac:dyDescent="0.25">
      <c r="A2046" s="5">
        <v>2040</v>
      </c>
      <c r="B2046" s="10" t="s">
        <v>4077</v>
      </c>
      <c r="C2046" s="10" t="s">
        <v>4078</v>
      </c>
      <c r="D2046" s="7">
        <v>645.61</v>
      </c>
      <c r="E2046" s="5">
        <v>485</v>
      </c>
      <c r="F2046" s="5">
        <v>54</v>
      </c>
      <c r="G2046" s="12">
        <f>SUM($D$7:D2046)</f>
        <v>10262511.070000034</v>
      </c>
      <c r="H2046" s="11">
        <f t="shared" si="31"/>
        <v>0.96210880031814894</v>
      </c>
    </row>
    <row r="2047" spans="1:8" ht="15" customHeight="1" x14ac:dyDescent="0.25">
      <c r="A2047" s="5">
        <v>2041</v>
      </c>
      <c r="B2047" s="10" t="s">
        <v>4079</v>
      </c>
      <c r="C2047" s="10" t="s">
        <v>4080</v>
      </c>
      <c r="D2047" s="7">
        <v>645.22</v>
      </c>
      <c r="E2047" s="5">
        <v>412</v>
      </c>
      <c r="F2047" s="5">
        <v>70</v>
      </c>
      <c r="G2047" s="12">
        <f>SUM($D$7:D2047)</f>
        <v>10263156.290000034</v>
      </c>
      <c r="H2047" s="11">
        <f t="shared" si="31"/>
        <v>0.96216928959176906</v>
      </c>
    </row>
    <row r="2048" spans="1:8" ht="15" customHeight="1" x14ac:dyDescent="0.25">
      <c r="A2048" s="5">
        <v>2042</v>
      </c>
      <c r="B2048" s="10" t="s">
        <v>4081</v>
      </c>
      <c r="C2048" s="10" t="s">
        <v>4082</v>
      </c>
      <c r="D2048" s="7">
        <v>645.05999999999995</v>
      </c>
      <c r="E2048" s="5">
        <v>813</v>
      </c>
      <c r="F2048" s="5">
        <v>63</v>
      </c>
      <c r="G2048" s="12">
        <f>SUM($D$7:D2048)</f>
        <v>10263801.350000035</v>
      </c>
      <c r="H2048" s="11">
        <f t="shared" si="31"/>
        <v>0.96222976386541414</v>
      </c>
    </row>
    <row r="2049" spans="1:8" ht="15" customHeight="1" x14ac:dyDescent="0.25">
      <c r="A2049" s="5">
        <v>2043</v>
      </c>
      <c r="B2049" s="10" t="s">
        <v>4083</v>
      </c>
      <c r="C2049" s="10" t="s">
        <v>4084</v>
      </c>
      <c r="D2049" s="7">
        <v>644.79999999999995</v>
      </c>
      <c r="E2049" s="5">
        <v>310</v>
      </c>
      <c r="F2049" s="5">
        <v>59</v>
      </c>
      <c r="G2049" s="12">
        <f>SUM($D$7:D2049)</f>
        <v>10264446.150000036</v>
      </c>
      <c r="H2049" s="11">
        <f t="shared" si="31"/>
        <v>0.96229021376410018</v>
      </c>
    </row>
    <row r="2050" spans="1:8" ht="15" customHeight="1" x14ac:dyDescent="0.25">
      <c r="A2050" s="5">
        <v>2044</v>
      </c>
      <c r="B2050" s="10" t="s">
        <v>4085</v>
      </c>
      <c r="C2050" s="10" t="s">
        <v>4086</v>
      </c>
      <c r="D2050" s="7">
        <v>644.47</v>
      </c>
      <c r="E2050" s="5">
        <v>187</v>
      </c>
      <c r="F2050" s="5">
        <v>48</v>
      </c>
      <c r="G2050" s="12">
        <f>SUM($D$7:D2050)</f>
        <v>10265090.620000036</v>
      </c>
      <c r="H2050" s="11">
        <f t="shared" si="31"/>
        <v>0.96235063272533816</v>
      </c>
    </row>
    <row r="2051" spans="1:8" ht="15" customHeight="1" x14ac:dyDescent="0.25">
      <c r="A2051" s="5">
        <v>2045</v>
      </c>
      <c r="B2051" s="10" t="s">
        <v>4087</v>
      </c>
      <c r="C2051" s="10" t="s">
        <v>4088</v>
      </c>
      <c r="D2051" s="7">
        <v>644.03</v>
      </c>
      <c r="E2051" s="5">
        <v>662</v>
      </c>
      <c r="F2051" s="5">
        <v>78</v>
      </c>
      <c r="G2051" s="12">
        <f>SUM($D$7:D2051)</f>
        <v>10265734.650000036</v>
      </c>
      <c r="H2051" s="11">
        <f t="shared" si="31"/>
        <v>0.96241101043664501</v>
      </c>
    </row>
    <row r="2052" spans="1:8" ht="15" customHeight="1" x14ac:dyDescent="0.25">
      <c r="A2052" s="5">
        <v>2046</v>
      </c>
      <c r="B2052" s="10" t="s">
        <v>4089</v>
      </c>
      <c r="C2052" s="10" t="s">
        <v>4090</v>
      </c>
      <c r="D2052" s="7">
        <v>643.14</v>
      </c>
      <c r="E2052" s="5">
        <v>2427</v>
      </c>
      <c r="F2052" s="5">
        <v>47</v>
      </c>
      <c r="G2052" s="12">
        <f>SUM($D$7:D2052)</f>
        <v>10266377.790000036</v>
      </c>
      <c r="H2052" s="11">
        <f t="shared" si="31"/>
        <v>0.96247130471059184</v>
      </c>
    </row>
    <row r="2053" spans="1:8" ht="15" customHeight="1" x14ac:dyDescent="0.25">
      <c r="A2053" s="5">
        <v>2047</v>
      </c>
      <c r="B2053" s="10" t="s">
        <v>4091</v>
      </c>
      <c r="C2053" s="10" t="s">
        <v>4092</v>
      </c>
      <c r="D2053" s="7">
        <v>641.58000000000004</v>
      </c>
      <c r="E2053" s="5">
        <v>181</v>
      </c>
      <c r="F2053" s="5">
        <v>48</v>
      </c>
      <c r="G2053" s="12">
        <f>SUM($D$7:D2053)</f>
        <v>10267019.370000036</v>
      </c>
      <c r="H2053" s="11">
        <f t="shared" si="31"/>
        <v>0.9625314527347838</v>
      </c>
    </row>
    <row r="2054" spans="1:8" ht="15" customHeight="1" x14ac:dyDescent="0.25">
      <c r="A2054" s="5">
        <v>2048</v>
      </c>
      <c r="B2054" s="10" t="s">
        <v>4093</v>
      </c>
      <c r="C2054" s="10" t="s">
        <v>4094</v>
      </c>
      <c r="D2054" s="7">
        <v>641.54999999999995</v>
      </c>
      <c r="E2054" s="5">
        <v>338</v>
      </c>
      <c r="F2054" s="5">
        <v>45</v>
      </c>
      <c r="G2054" s="12">
        <f>SUM($D$7:D2054)</f>
        <v>10267660.920000037</v>
      </c>
      <c r="H2054" s="11">
        <f t="shared" si="31"/>
        <v>0.96259159794648053</v>
      </c>
    </row>
    <row r="2055" spans="1:8" ht="15" customHeight="1" x14ac:dyDescent="0.25">
      <c r="A2055" s="5">
        <v>2049</v>
      </c>
      <c r="B2055" s="10" t="s">
        <v>4095</v>
      </c>
      <c r="C2055" s="10" t="s">
        <v>4096</v>
      </c>
      <c r="D2055" s="7">
        <v>640.91999999999996</v>
      </c>
      <c r="E2055" s="5">
        <v>457</v>
      </c>
      <c r="F2055" s="5">
        <v>105</v>
      </c>
      <c r="G2055" s="12">
        <f>SUM($D$7:D2055)</f>
        <v>10268301.840000037</v>
      </c>
      <c r="H2055" s="11">
        <f t="shared" ref="H2055:H2118" si="32">G2055/SUM($D$7:$D$4167)</f>
        <v>0.96265168409577606</v>
      </c>
    </row>
    <row r="2056" spans="1:8" ht="15" customHeight="1" x14ac:dyDescent="0.25">
      <c r="A2056" s="5">
        <v>2050</v>
      </c>
      <c r="B2056" s="10" t="s">
        <v>4097</v>
      </c>
      <c r="C2056" s="10" t="s">
        <v>4098</v>
      </c>
      <c r="D2056" s="7">
        <v>640.91999999999996</v>
      </c>
      <c r="E2056" s="5">
        <v>634</v>
      </c>
      <c r="F2056" s="5">
        <v>75</v>
      </c>
      <c r="G2056" s="12">
        <f>SUM($D$7:D2056)</f>
        <v>10268942.760000037</v>
      </c>
      <c r="H2056" s="11">
        <f t="shared" si="32"/>
        <v>0.96271177024507171</v>
      </c>
    </row>
    <row r="2057" spans="1:8" ht="15" customHeight="1" x14ac:dyDescent="0.25">
      <c r="A2057" s="5">
        <v>2051</v>
      </c>
      <c r="B2057" s="10" t="s">
        <v>4099</v>
      </c>
      <c r="C2057" s="10" t="s">
        <v>4100</v>
      </c>
      <c r="D2057" s="7">
        <v>639.36</v>
      </c>
      <c r="E2057" s="5">
        <v>360</v>
      </c>
      <c r="F2057" s="5">
        <v>22</v>
      </c>
      <c r="G2057" s="12">
        <f>SUM($D$7:D2057)</f>
        <v>10269582.120000036</v>
      </c>
      <c r="H2057" s="11">
        <f t="shared" si="32"/>
        <v>0.96277171014461238</v>
      </c>
    </row>
    <row r="2058" spans="1:8" ht="15" customHeight="1" x14ac:dyDescent="0.25">
      <c r="A2058" s="5">
        <v>2052</v>
      </c>
      <c r="B2058" s="10" t="s">
        <v>4101</v>
      </c>
      <c r="C2058" s="10" t="s">
        <v>4102</v>
      </c>
      <c r="D2058" s="7">
        <v>637.55999999999995</v>
      </c>
      <c r="E2058" s="5">
        <v>2412</v>
      </c>
      <c r="F2058" s="5">
        <v>65</v>
      </c>
      <c r="G2058" s="12">
        <f>SUM($D$7:D2058)</f>
        <v>10270219.680000037</v>
      </c>
      <c r="H2058" s="11">
        <f t="shared" si="32"/>
        <v>0.96283148129443596</v>
      </c>
    </row>
    <row r="2059" spans="1:8" ht="15" customHeight="1" x14ac:dyDescent="0.25">
      <c r="A2059" s="5">
        <v>2053</v>
      </c>
      <c r="B2059" s="10" t="s">
        <v>4103</v>
      </c>
      <c r="C2059" s="10" t="s">
        <v>4104</v>
      </c>
      <c r="D2059" s="7">
        <v>635.74</v>
      </c>
      <c r="E2059" s="5">
        <v>124</v>
      </c>
      <c r="F2059" s="5">
        <v>39</v>
      </c>
      <c r="G2059" s="12">
        <f>SUM($D$7:D2059)</f>
        <v>10270855.420000037</v>
      </c>
      <c r="H2059" s="11">
        <f t="shared" si="32"/>
        <v>0.96289108181954552</v>
      </c>
    </row>
    <row r="2060" spans="1:8" ht="15" customHeight="1" x14ac:dyDescent="0.25">
      <c r="A2060" s="5">
        <v>2054</v>
      </c>
      <c r="B2060" s="10" t="s">
        <v>4105</v>
      </c>
      <c r="C2060" s="10" t="s">
        <v>4106</v>
      </c>
      <c r="D2060" s="7">
        <v>635.38</v>
      </c>
      <c r="E2060" s="5">
        <v>76</v>
      </c>
      <c r="F2060" s="5">
        <v>28</v>
      </c>
      <c r="G2060" s="12">
        <f>SUM($D$7:D2060)</f>
        <v>10271490.800000038</v>
      </c>
      <c r="H2060" s="11">
        <f t="shared" si="32"/>
        <v>0.96295064859471169</v>
      </c>
    </row>
    <row r="2061" spans="1:8" ht="15" customHeight="1" x14ac:dyDescent="0.25">
      <c r="A2061" s="5">
        <v>2055</v>
      </c>
      <c r="B2061" s="10" t="s">
        <v>88</v>
      </c>
      <c r="C2061" s="10" t="s">
        <v>4107</v>
      </c>
      <c r="D2061" s="7">
        <v>634.70000000000005</v>
      </c>
      <c r="E2061" s="5">
        <v>146</v>
      </c>
      <c r="F2061" s="5">
        <v>7</v>
      </c>
      <c r="G2061" s="12">
        <f>SUM($D$7:D2061)</f>
        <v>10272125.500000037</v>
      </c>
      <c r="H2061" s="11">
        <f t="shared" si="32"/>
        <v>0.96301015161998449</v>
      </c>
    </row>
    <row r="2062" spans="1:8" ht="15" customHeight="1" x14ac:dyDescent="0.25">
      <c r="A2062" s="5">
        <v>2056</v>
      </c>
      <c r="B2062" s="10" t="s">
        <v>4108</v>
      </c>
      <c r="C2062" s="10" t="s">
        <v>4109</v>
      </c>
      <c r="D2062" s="7">
        <v>634.53</v>
      </c>
      <c r="E2062" s="5">
        <v>70</v>
      </c>
      <c r="F2062" s="5">
        <v>29</v>
      </c>
      <c r="G2062" s="12">
        <f>SUM($D$7:D2062)</f>
        <v>10272760.030000037</v>
      </c>
      <c r="H2062" s="11">
        <f t="shared" si="32"/>
        <v>0.96306963870778406</v>
      </c>
    </row>
    <row r="2063" spans="1:8" ht="15" customHeight="1" x14ac:dyDescent="0.25">
      <c r="A2063" s="5">
        <v>2057</v>
      </c>
      <c r="B2063" s="10" t="s">
        <v>4110</v>
      </c>
      <c r="C2063" s="10" t="s">
        <v>4111</v>
      </c>
      <c r="D2063" s="7">
        <v>634.42999999999995</v>
      </c>
      <c r="E2063" s="5">
        <v>1232</v>
      </c>
      <c r="F2063" s="5">
        <v>128</v>
      </c>
      <c r="G2063" s="12">
        <f>SUM($D$7:D2063)</f>
        <v>10273394.460000036</v>
      </c>
      <c r="H2063" s="11">
        <f t="shared" si="32"/>
        <v>0.9631291164205994</v>
      </c>
    </row>
    <row r="2064" spans="1:8" ht="15" customHeight="1" x14ac:dyDescent="0.25">
      <c r="A2064" s="5">
        <v>2058</v>
      </c>
      <c r="B2064" s="10" t="s">
        <v>4112</v>
      </c>
      <c r="C2064" s="10" t="s">
        <v>4113</v>
      </c>
      <c r="D2064" s="7">
        <v>634.07000000000005</v>
      </c>
      <c r="E2064" s="5">
        <v>222</v>
      </c>
      <c r="F2064" s="5">
        <v>53</v>
      </c>
      <c r="G2064" s="12">
        <f>SUM($D$7:D2064)</f>
        <v>10274028.530000037</v>
      </c>
      <c r="H2064" s="11">
        <f t="shared" si="32"/>
        <v>0.96318856038347134</v>
      </c>
    </row>
    <row r="2065" spans="1:8" ht="15" customHeight="1" x14ac:dyDescent="0.25">
      <c r="A2065" s="5">
        <v>2059</v>
      </c>
      <c r="B2065" s="10" t="s">
        <v>4114</v>
      </c>
      <c r="C2065" s="10" t="s">
        <v>4115</v>
      </c>
      <c r="D2065" s="7">
        <v>633.07000000000005</v>
      </c>
      <c r="E2065" s="5">
        <v>57</v>
      </c>
      <c r="F2065" s="5">
        <v>44</v>
      </c>
      <c r="G2065" s="12">
        <f>SUM($D$7:D2065)</f>
        <v>10274661.600000037</v>
      </c>
      <c r="H2065" s="11">
        <f t="shared" si="32"/>
        <v>0.96324791059650039</v>
      </c>
    </row>
    <row r="2066" spans="1:8" ht="15" customHeight="1" x14ac:dyDescent="0.25">
      <c r="A2066" s="5">
        <v>2060</v>
      </c>
      <c r="B2066" s="10" t="s">
        <v>4116</v>
      </c>
      <c r="C2066" s="10" t="s">
        <v>4117</v>
      </c>
      <c r="D2066" s="7">
        <v>632.32000000000005</v>
      </c>
      <c r="E2066" s="5">
        <v>533</v>
      </c>
      <c r="F2066" s="5">
        <v>74</v>
      </c>
      <c r="G2066" s="12">
        <f>SUM($D$7:D2066)</f>
        <v>10275293.920000037</v>
      </c>
      <c r="H2066" s="11">
        <f t="shared" si="32"/>
        <v>0.9633071904971473</v>
      </c>
    </row>
    <row r="2067" spans="1:8" ht="15" customHeight="1" x14ac:dyDescent="0.25">
      <c r="A2067" s="5">
        <v>2061</v>
      </c>
      <c r="B2067" s="10" t="s">
        <v>4118</v>
      </c>
      <c r="C2067" s="10" t="s">
        <v>4119</v>
      </c>
      <c r="D2067" s="7">
        <v>631.58000000000004</v>
      </c>
      <c r="E2067" s="5">
        <v>324</v>
      </c>
      <c r="F2067" s="5">
        <v>47</v>
      </c>
      <c r="G2067" s="12">
        <f>SUM($D$7:D2067)</f>
        <v>10275925.500000037</v>
      </c>
      <c r="H2067" s="11">
        <f t="shared" si="32"/>
        <v>0.96336640102291049</v>
      </c>
    </row>
    <row r="2068" spans="1:8" ht="15" customHeight="1" x14ac:dyDescent="0.25">
      <c r="A2068" s="5">
        <v>2062</v>
      </c>
      <c r="B2068" s="10" t="s">
        <v>4120</v>
      </c>
      <c r="C2068" s="10" t="s">
        <v>4121</v>
      </c>
      <c r="D2068" s="7">
        <v>630.75</v>
      </c>
      <c r="E2068" s="5">
        <v>147</v>
      </c>
      <c r="F2068" s="5">
        <v>50</v>
      </c>
      <c r="G2068" s="12">
        <f>SUM($D$7:D2068)</f>
        <v>10276556.250000037</v>
      </c>
      <c r="H2068" s="11">
        <f t="shared" si="32"/>
        <v>0.96342553373630413</v>
      </c>
    </row>
    <row r="2069" spans="1:8" ht="15" customHeight="1" x14ac:dyDescent="0.25">
      <c r="A2069" s="5">
        <v>2063</v>
      </c>
      <c r="B2069" s="10" t="s">
        <v>4122</v>
      </c>
      <c r="C2069" s="10" t="s">
        <v>4123</v>
      </c>
      <c r="D2069" s="7">
        <v>630.73</v>
      </c>
      <c r="E2069" s="5">
        <v>525</v>
      </c>
      <c r="F2069" s="5">
        <v>44</v>
      </c>
      <c r="G2069" s="12">
        <f>SUM($D$7:D2069)</f>
        <v>10277186.980000038</v>
      </c>
      <c r="H2069" s="11">
        <f t="shared" si="32"/>
        <v>0.96348466457470083</v>
      </c>
    </row>
    <row r="2070" spans="1:8" ht="15" customHeight="1" x14ac:dyDescent="0.25">
      <c r="A2070" s="5">
        <v>2064</v>
      </c>
      <c r="B2070" s="10" t="s">
        <v>4124</v>
      </c>
      <c r="C2070" s="10" t="s">
        <v>4125</v>
      </c>
      <c r="D2070" s="7">
        <v>630.23</v>
      </c>
      <c r="E2070" s="5">
        <v>3317</v>
      </c>
      <c r="F2070" s="5">
        <v>65</v>
      </c>
      <c r="G2070" s="12">
        <f>SUM($D$7:D2070)</f>
        <v>10277817.210000038</v>
      </c>
      <c r="H2070" s="11">
        <f t="shared" si="32"/>
        <v>0.96354374853817615</v>
      </c>
    </row>
    <row r="2071" spans="1:8" ht="15" customHeight="1" x14ac:dyDescent="0.25">
      <c r="A2071" s="5">
        <v>2065</v>
      </c>
      <c r="B2071" s="10" t="s">
        <v>4126</v>
      </c>
      <c r="C2071" s="10" t="s">
        <v>4127</v>
      </c>
      <c r="D2071" s="7">
        <v>629.79999999999995</v>
      </c>
      <c r="E2071" s="5">
        <v>340</v>
      </c>
      <c r="F2071" s="5">
        <v>68</v>
      </c>
      <c r="G2071" s="12">
        <f>SUM($D$7:D2071)</f>
        <v>10278447.010000039</v>
      </c>
      <c r="H2071" s="11">
        <f t="shared" si="32"/>
        <v>0.96360279218921907</v>
      </c>
    </row>
    <row r="2072" spans="1:8" ht="15" customHeight="1" x14ac:dyDescent="0.25">
      <c r="A2072" s="5">
        <v>2066</v>
      </c>
      <c r="B2072" s="10" t="s">
        <v>4128</v>
      </c>
      <c r="C2072" s="10" t="s">
        <v>4129</v>
      </c>
      <c r="D2072" s="7">
        <v>629.79999999999995</v>
      </c>
      <c r="E2072" s="5">
        <v>1255</v>
      </c>
      <c r="F2072" s="5">
        <v>172</v>
      </c>
      <c r="G2072" s="12">
        <f>SUM($D$7:D2072)</f>
        <v>10279076.81000004</v>
      </c>
      <c r="H2072" s="11">
        <f t="shared" si="32"/>
        <v>0.96366183584026199</v>
      </c>
    </row>
    <row r="2073" spans="1:8" ht="15" customHeight="1" x14ac:dyDescent="0.25">
      <c r="A2073" s="5">
        <v>2067</v>
      </c>
      <c r="B2073" s="10" t="s">
        <v>4130</v>
      </c>
      <c r="C2073" s="10" t="s">
        <v>4131</v>
      </c>
      <c r="D2073" s="7">
        <v>629.04999999999995</v>
      </c>
      <c r="E2073" s="5">
        <v>81</v>
      </c>
      <c r="F2073" s="5">
        <v>28</v>
      </c>
      <c r="G2073" s="12">
        <f>SUM($D$7:D2073)</f>
        <v>10279705.86000004</v>
      </c>
      <c r="H2073" s="11">
        <f t="shared" si="32"/>
        <v>0.96372080917892278</v>
      </c>
    </row>
    <row r="2074" spans="1:8" ht="15" customHeight="1" x14ac:dyDescent="0.25">
      <c r="A2074" s="5">
        <v>2068</v>
      </c>
      <c r="B2074" s="10" t="s">
        <v>4132</v>
      </c>
      <c r="C2074" s="10" t="s">
        <v>4133</v>
      </c>
      <c r="D2074" s="7">
        <v>628.79</v>
      </c>
      <c r="E2074" s="5">
        <v>204</v>
      </c>
      <c r="F2074" s="5">
        <v>35</v>
      </c>
      <c r="G2074" s="12">
        <f>SUM($D$7:D2074)</f>
        <v>10280334.650000039</v>
      </c>
      <c r="H2074" s="11">
        <f t="shared" si="32"/>
        <v>0.96377975814262418</v>
      </c>
    </row>
    <row r="2075" spans="1:8" ht="15" customHeight="1" x14ac:dyDescent="0.25">
      <c r="A2075" s="5">
        <v>2069</v>
      </c>
      <c r="B2075" s="10" t="s">
        <v>4134</v>
      </c>
      <c r="C2075" s="10" t="s">
        <v>4135</v>
      </c>
      <c r="D2075" s="7">
        <v>627.95000000000005</v>
      </c>
      <c r="E2075" s="5">
        <v>295</v>
      </c>
      <c r="F2075" s="5">
        <v>30</v>
      </c>
      <c r="G2075" s="12">
        <f>SUM($D$7:D2075)</f>
        <v>10280962.600000039</v>
      </c>
      <c r="H2075" s="11">
        <f t="shared" si="32"/>
        <v>0.96383862835645762</v>
      </c>
    </row>
    <row r="2076" spans="1:8" ht="15" customHeight="1" x14ac:dyDescent="0.25">
      <c r="A2076" s="5">
        <v>2070</v>
      </c>
      <c r="B2076" s="10" t="s">
        <v>4136</v>
      </c>
      <c r="C2076" s="10" t="s">
        <v>4137</v>
      </c>
      <c r="D2076" s="7">
        <v>626.74</v>
      </c>
      <c r="E2076" s="5">
        <v>66</v>
      </c>
      <c r="F2076" s="5">
        <v>27</v>
      </c>
      <c r="G2076" s="12">
        <f>SUM($D$7:D2076)</f>
        <v>10281589.340000039</v>
      </c>
      <c r="H2076" s="11">
        <f t="shared" si="32"/>
        <v>0.96389738513298129</v>
      </c>
    </row>
    <row r="2077" spans="1:8" ht="15" customHeight="1" x14ac:dyDescent="0.25">
      <c r="A2077" s="5">
        <v>2071</v>
      </c>
      <c r="B2077" s="10" t="s">
        <v>4138</v>
      </c>
      <c r="C2077" s="10" t="s">
        <v>4139</v>
      </c>
      <c r="D2077" s="7">
        <v>626.54999999999995</v>
      </c>
      <c r="E2077" s="5">
        <v>1529</v>
      </c>
      <c r="F2077" s="5">
        <v>35</v>
      </c>
      <c r="G2077" s="12">
        <f>SUM($D$7:D2077)</f>
        <v>10282215.89000004</v>
      </c>
      <c r="H2077" s="11">
        <f t="shared" si="32"/>
        <v>0.96395612409703491</v>
      </c>
    </row>
    <row r="2078" spans="1:8" ht="15" customHeight="1" x14ac:dyDescent="0.25">
      <c r="A2078" s="5">
        <v>2072</v>
      </c>
      <c r="B2078" s="10" t="s">
        <v>4140</v>
      </c>
      <c r="C2078" s="10" t="s">
        <v>4141</v>
      </c>
      <c r="D2078" s="7">
        <v>626.53</v>
      </c>
      <c r="E2078" s="5">
        <v>505</v>
      </c>
      <c r="F2078" s="5">
        <v>81</v>
      </c>
      <c r="G2078" s="12">
        <f>SUM($D$7:D2078)</f>
        <v>10282842.420000039</v>
      </c>
      <c r="H2078" s="11">
        <f t="shared" si="32"/>
        <v>0.96401486118609148</v>
      </c>
    </row>
    <row r="2079" spans="1:8" ht="15" customHeight="1" x14ac:dyDescent="0.25">
      <c r="A2079" s="5">
        <v>2073</v>
      </c>
      <c r="B2079" s="10" t="s">
        <v>4142</v>
      </c>
      <c r="C2079" s="10" t="s">
        <v>4143</v>
      </c>
      <c r="D2079" s="7">
        <v>625.79999999999995</v>
      </c>
      <c r="E2079" s="5">
        <v>623</v>
      </c>
      <c r="F2079" s="5">
        <v>112</v>
      </c>
      <c r="G2079" s="12">
        <f>SUM($D$7:D2079)</f>
        <v>10283468.22000004</v>
      </c>
      <c r="H2079" s="11">
        <f t="shared" si="32"/>
        <v>0.96407352983776284</v>
      </c>
    </row>
    <row r="2080" spans="1:8" ht="15" customHeight="1" x14ac:dyDescent="0.25">
      <c r="A2080" s="5">
        <v>2074</v>
      </c>
      <c r="B2080" s="10" t="s">
        <v>4144</v>
      </c>
      <c r="C2080" s="10" t="s">
        <v>4145</v>
      </c>
      <c r="D2080" s="7">
        <v>625.69000000000005</v>
      </c>
      <c r="E2080" s="5">
        <v>66</v>
      </c>
      <c r="F2080" s="5">
        <v>44</v>
      </c>
      <c r="G2080" s="12">
        <f>SUM($D$7:D2080)</f>
        <v>10284093.910000039</v>
      </c>
      <c r="H2080" s="11">
        <f t="shared" si="32"/>
        <v>0.96413218817695145</v>
      </c>
    </row>
    <row r="2081" spans="1:8" ht="15" customHeight="1" x14ac:dyDescent="0.25">
      <c r="A2081" s="5">
        <v>2075</v>
      </c>
      <c r="B2081" s="10" t="s">
        <v>4146</v>
      </c>
      <c r="C2081" s="10" t="s">
        <v>4147</v>
      </c>
      <c r="D2081" s="7">
        <v>625.23</v>
      </c>
      <c r="E2081" s="5">
        <v>274</v>
      </c>
      <c r="F2081" s="5">
        <v>106</v>
      </c>
      <c r="G2081" s="12">
        <f>SUM($D$7:D2081)</f>
        <v>10284719.14000004</v>
      </c>
      <c r="H2081" s="11">
        <f t="shared" si="32"/>
        <v>0.96419080339121233</v>
      </c>
    </row>
    <row r="2082" spans="1:8" ht="15" customHeight="1" x14ac:dyDescent="0.25">
      <c r="A2082" s="5">
        <v>2076</v>
      </c>
      <c r="B2082" s="10" t="s">
        <v>4148</v>
      </c>
      <c r="C2082" s="10" t="s">
        <v>4149</v>
      </c>
      <c r="D2082" s="7">
        <v>624.75</v>
      </c>
      <c r="E2082" s="5">
        <v>105</v>
      </c>
      <c r="F2082" s="5">
        <v>17</v>
      </c>
      <c r="G2082" s="12">
        <f>SUM($D$7:D2082)</f>
        <v>10285343.89000004</v>
      </c>
      <c r="H2082" s="11">
        <f t="shared" si="32"/>
        <v>0.96424937360554874</v>
      </c>
    </row>
    <row r="2083" spans="1:8" ht="15" customHeight="1" x14ac:dyDescent="0.25">
      <c r="A2083" s="5">
        <v>2077</v>
      </c>
      <c r="B2083" s="10" t="s">
        <v>4150</v>
      </c>
      <c r="C2083" s="10" t="s">
        <v>4151</v>
      </c>
      <c r="D2083" s="7">
        <v>624.58000000000004</v>
      </c>
      <c r="E2083" s="5">
        <v>256</v>
      </c>
      <c r="F2083" s="5">
        <v>46</v>
      </c>
      <c r="G2083" s="12">
        <f>SUM($D$7:D2083)</f>
        <v>10285968.47000004</v>
      </c>
      <c r="H2083" s="11">
        <f t="shared" si="32"/>
        <v>0.96430792788241171</v>
      </c>
    </row>
    <row r="2084" spans="1:8" ht="15" customHeight="1" x14ac:dyDescent="0.25">
      <c r="A2084" s="5">
        <v>2078</v>
      </c>
      <c r="B2084" s="10" t="s">
        <v>4152</v>
      </c>
      <c r="C2084" s="10" t="s">
        <v>4153</v>
      </c>
      <c r="D2084" s="7">
        <v>622.74</v>
      </c>
      <c r="E2084" s="5">
        <v>933</v>
      </c>
      <c r="F2084" s="5">
        <v>125</v>
      </c>
      <c r="G2084" s="12">
        <f>SUM($D$7:D2084)</f>
        <v>10286591.21000004</v>
      </c>
      <c r="H2084" s="11">
        <f t="shared" si="32"/>
        <v>0.96436630965956394</v>
      </c>
    </row>
    <row r="2085" spans="1:8" ht="15" customHeight="1" x14ac:dyDescent="0.25">
      <c r="A2085" s="5">
        <v>2079</v>
      </c>
      <c r="B2085" s="10" t="s">
        <v>4154</v>
      </c>
      <c r="C2085" s="10" t="s">
        <v>4155</v>
      </c>
      <c r="D2085" s="7">
        <v>622.36</v>
      </c>
      <c r="E2085" s="5">
        <v>1464</v>
      </c>
      <c r="F2085" s="5">
        <v>137</v>
      </c>
      <c r="G2085" s="12">
        <f>SUM($D$7:D2085)</f>
        <v>10287213.570000039</v>
      </c>
      <c r="H2085" s="11">
        <f t="shared" si="32"/>
        <v>0.96442465581177572</v>
      </c>
    </row>
    <row r="2086" spans="1:8" ht="15" customHeight="1" x14ac:dyDescent="0.25">
      <c r="A2086" s="5">
        <v>2080</v>
      </c>
      <c r="B2086" s="10" t="s">
        <v>4156</v>
      </c>
      <c r="C2086" s="10" t="s">
        <v>4157</v>
      </c>
      <c r="D2086" s="7">
        <v>622.29999999999995</v>
      </c>
      <c r="E2086" s="5">
        <v>783</v>
      </c>
      <c r="F2086" s="5">
        <v>47</v>
      </c>
      <c r="G2086" s="12">
        <f>SUM($D$7:D2086)</f>
        <v>10287835.87000004</v>
      </c>
      <c r="H2086" s="11">
        <f t="shared" si="32"/>
        <v>0.96448299633899703</v>
      </c>
    </row>
    <row r="2087" spans="1:8" ht="15" customHeight="1" x14ac:dyDescent="0.25">
      <c r="A2087" s="5">
        <v>2081</v>
      </c>
      <c r="B2087" s="10" t="s">
        <v>4158</v>
      </c>
      <c r="C2087" s="10" t="s">
        <v>4159</v>
      </c>
      <c r="D2087" s="7">
        <v>622.1</v>
      </c>
      <c r="E2087" s="5">
        <v>719</v>
      </c>
      <c r="F2087" s="5">
        <v>113</v>
      </c>
      <c r="G2087" s="12">
        <f>SUM($D$7:D2087)</f>
        <v>10288457.97000004</v>
      </c>
      <c r="H2087" s="11">
        <f t="shared" si="32"/>
        <v>0.96454131811624966</v>
      </c>
    </row>
    <row r="2088" spans="1:8" ht="15" customHeight="1" x14ac:dyDescent="0.25">
      <c r="A2088" s="5">
        <v>2082</v>
      </c>
      <c r="B2088" s="10" t="s">
        <v>4160</v>
      </c>
      <c r="C2088" s="10" t="s">
        <v>4161</v>
      </c>
      <c r="D2088" s="7">
        <v>621.96</v>
      </c>
      <c r="E2088" s="5">
        <v>454</v>
      </c>
      <c r="F2088" s="5">
        <v>67</v>
      </c>
      <c r="G2088" s="12">
        <f>SUM($D$7:D2088)</f>
        <v>10289079.930000041</v>
      </c>
      <c r="H2088" s="11">
        <f t="shared" si="32"/>
        <v>0.96459962676852451</v>
      </c>
    </row>
    <row r="2089" spans="1:8" ht="15" customHeight="1" x14ac:dyDescent="0.25">
      <c r="A2089" s="5">
        <v>2083</v>
      </c>
      <c r="B2089" s="10" t="s">
        <v>4162</v>
      </c>
      <c r="C2089" s="10" t="s">
        <v>4163</v>
      </c>
      <c r="D2089" s="7">
        <v>621.44000000000005</v>
      </c>
      <c r="E2089" s="5">
        <v>275</v>
      </c>
      <c r="F2089" s="5">
        <v>56</v>
      </c>
      <c r="G2089" s="12">
        <f>SUM($D$7:D2089)</f>
        <v>10289701.37000004</v>
      </c>
      <c r="H2089" s="11">
        <f t="shared" si="32"/>
        <v>0.96465788667088082</v>
      </c>
    </row>
    <row r="2090" spans="1:8" ht="15" customHeight="1" x14ac:dyDescent="0.25">
      <c r="A2090" s="5">
        <v>2084</v>
      </c>
      <c r="B2090" s="10" t="s">
        <v>4164</v>
      </c>
      <c r="C2090" s="10" t="s">
        <v>4165</v>
      </c>
      <c r="D2090" s="7">
        <v>621.19000000000005</v>
      </c>
      <c r="E2090" s="5">
        <v>247</v>
      </c>
      <c r="F2090" s="5">
        <v>65</v>
      </c>
      <c r="G2090" s="12">
        <f>SUM($D$7:D2090)</f>
        <v>10290322.56000004</v>
      </c>
      <c r="H2090" s="11">
        <f t="shared" si="32"/>
        <v>0.96471612313577648</v>
      </c>
    </row>
    <row r="2091" spans="1:8" ht="15" customHeight="1" x14ac:dyDescent="0.25">
      <c r="A2091" s="5">
        <v>2085</v>
      </c>
      <c r="B2091" s="10" t="s">
        <v>4166</v>
      </c>
      <c r="C2091" s="10" t="s">
        <v>4167</v>
      </c>
      <c r="D2091" s="7">
        <v>621.09</v>
      </c>
      <c r="E2091" s="5">
        <v>122</v>
      </c>
      <c r="F2091" s="5">
        <v>49</v>
      </c>
      <c r="G2091" s="12">
        <f>SUM($D$7:D2091)</f>
        <v>10290943.650000039</v>
      </c>
      <c r="H2091" s="11">
        <f t="shared" si="32"/>
        <v>0.9647743502256878</v>
      </c>
    </row>
    <row r="2092" spans="1:8" ht="15" customHeight="1" x14ac:dyDescent="0.25">
      <c r="A2092" s="5">
        <v>2086</v>
      </c>
      <c r="B2092" s="10" t="s">
        <v>4168</v>
      </c>
      <c r="C2092" s="10" t="s">
        <v>4169</v>
      </c>
      <c r="D2092" s="7">
        <v>620.41999999999996</v>
      </c>
      <c r="E2092" s="5">
        <v>575</v>
      </c>
      <c r="F2092" s="5">
        <v>148</v>
      </c>
      <c r="G2092" s="12">
        <f>SUM($D$7:D2092)</f>
        <v>10291564.070000039</v>
      </c>
      <c r="H2092" s="11">
        <f t="shared" si="32"/>
        <v>0.96483251450320451</v>
      </c>
    </row>
    <row r="2093" spans="1:8" ht="15" customHeight="1" x14ac:dyDescent="0.25">
      <c r="A2093" s="5">
        <v>2087</v>
      </c>
      <c r="B2093" s="10" t="s">
        <v>4170</v>
      </c>
      <c r="C2093" s="10" t="s">
        <v>4171</v>
      </c>
      <c r="D2093" s="7">
        <v>619.59</v>
      </c>
      <c r="E2093" s="5">
        <v>116</v>
      </c>
      <c r="F2093" s="5">
        <v>83</v>
      </c>
      <c r="G2093" s="12">
        <f>SUM($D$7:D2093)</f>
        <v>10292183.660000039</v>
      </c>
      <c r="H2093" s="11">
        <f t="shared" si="32"/>
        <v>0.96489060096835155</v>
      </c>
    </row>
    <row r="2094" spans="1:8" ht="15" customHeight="1" x14ac:dyDescent="0.25">
      <c r="A2094" s="5">
        <v>2088</v>
      </c>
      <c r="B2094" s="10" t="s">
        <v>4172</v>
      </c>
      <c r="C2094" s="10" t="s">
        <v>4173</v>
      </c>
      <c r="D2094" s="7">
        <v>618.66</v>
      </c>
      <c r="E2094" s="5">
        <v>27</v>
      </c>
      <c r="F2094" s="5">
        <v>21</v>
      </c>
      <c r="G2094" s="12">
        <f>SUM($D$7:D2094)</f>
        <v>10292802.320000039</v>
      </c>
      <c r="H2094" s="11">
        <f t="shared" si="32"/>
        <v>0.96494860024614482</v>
      </c>
    </row>
    <row r="2095" spans="1:8" ht="15" customHeight="1" x14ac:dyDescent="0.25">
      <c r="A2095" s="5">
        <v>2089</v>
      </c>
      <c r="B2095" s="10" t="s">
        <v>3552</v>
      </c>
      <c r="C2095" s="10" t="s">
        <v>4174</v>
      </c>
      <c r="D2095" s="7">
        <v>618.59</v>
      </c>
      <c r="E2095" s="5">
        <v>173</v>
      </c>
      <c r="F2095" s="5">
        <v>37</v>
      </c>
      <c r="G2095" s="12">
        <f>SUM($D$7:D2095)</f>
        <v>10293420.910000039</v>
      </c>
      <c r="H2095" s="11">
        <f t="shared" si="32"/>
        <v>0.96500659296144897</v>
      </c>
    </row>
    <row r="2096" spans="1:8" ht="15" customHeight="1" x14ac:dyDescent="0.25">
      <c r="A2096" s="5">
        <v>2090</v>
      </c>
      <c r="B2096" s="10" t="s">
        <v>4175</v>
      </c>
      <c r="C2096" s="10" t="s">
        <v>4176</v>
      </c>
      <c r="D2096" s="7">
        <v>618.20000000000005</v>
      </c>
      <c r="E2096" s="5">
        <v>475</v>
      </c>
      <c r="F2096" s="5">
        <v>58</v>
      </c>
      <c r="G2096" s="12">
        <f>SUM($D$7:D2096)</f>
        <v>10294039.110000039</v>
      </c>
      <c r="H2096" s="11">
        <f t="shared" si="32"/>
        <v>0.96506454911431439</v>
      </c>
    </row>
    <row r="2097" spans="1:8" ht="15" customHeight="1" x14ac:dyDescent="0.25">
      <c r="A2097" s="5">
        <v>2091</v>
      </c>
      <c r="B2097" s="10" t="s">
        <v>4177</v>
      </c>
      <c r="C2097" s="10" t="s">
        <v>4178</v>
      </c>
      <c r="D2097" s="7">
        <v>617.11</v>
      </c>
      <c r="E2097" s="5">
        <v>478</v>
      </c>
      <c r="F2097" s="5">
        <v>97</v>
      </c>
      <c r="G2097" s="12">
        <f>SUM($D$7:D2097)</f>
        <v>10294656.220000038</v>
      </c>
      <c r="H2097" s="11">
        <f t="shared" si="32"/>
        <v>0.96512240307985109</v>
      </c>
    </row>
    <row r="2098" spans="1:8" ht="15" customHeight="1" x14ac:dyDescent="0.25">
      <c r="A2098" s="5">
        <v>2092</v>
      </c>
      <c r="B2098" s="10" t="s">
        <v>4179</v>
      </c>
      <c r="C2098" s="10" t="s">
        <v>4180</v>
      </c>
      <c r="D2098" s="7">
        <v>613.14</v>
      </c>
      <c r="E2098" s="5">
        <v>438</v>
      </c>
      <c r="F2098" s="5">
        <v>73</v>
      </c>
      <c r="G2098" s="12">
        <f>SUM($D$7:D2098)</f>
        <v>10295269.360000039</v>
      </c>
      <c r="H2098" s="11">
        <f t="shared" si="32"/>
        <v>0.96517988485851169</v>
      </c>
    </row>
    <row r="2099" spans="1:8" ht="15" customHeight="1" x14ac:dyDescent="0.25">
      <c r="A2099" s="5">
        <v>2093</v>
      </c>
      <c r="B2099" s="10" t="s">
        <v>4181</v>
      </c>
      <c r="C2099" s="10" t="s">
        <v>4182</v>
      </c>
      <c r="D2099" s="7">
        <v>612.16</v>
      </c>
      <c r="E2099" s="5">
        <v>51</v>
      </c>
      <c r="F2099" s="5">
        <v>21</v>
      </c>
      <c r="G2099" s="12">
        <f>SUM($D$7:D2099)</f>
        <v>10295881.520000039</v>
      </c>
      <c r="H2099" s="11">
        <f t="shared" si="32"/>
        <v>0.96523727476232624</v>
      </c>
    </row>
    <row r="2100" spans="1:8" ht="15" customHeight="1" x14ac:dyDescent="0.25">
      <c r="A2100" s="5">
        <v>2094</v>
      </c>
      <c r="B2100" s="10" t="s">
        <v>4183</v>
      </c>
      <c r="C2100" s="10" t="s">
        <v>4184</v>
      </c>
      <c r="D2100" s="7">
        <v>611.72</v>
      </c>
      <c r="E2100" s="5">
        <v>1334</v>
      </c>
      <c r="F2100" s="5">
        <v>126</v>
      </c>
      <c r="G2100" s="12">
        <f>SUM($D$7:D2100)</f>
        <v>10296493.240000039</v>
      </c>
      <c r="H2100" s="11">
        <f t="shared" si="32"/>
        <v>0.96529462341620997</v>
      </c>
    </row>
    <row r="2101" spans="1:8" ht="15" customHeight="1" x14ac:dyDescent="0.25">
      <c r="A2101" s="5">
        <v>2095</v>
      </c>
      <c r="B2101" s="10" t="s">
        <v>4185</v>
      </c>
      <c r="C2101" s="10" t="s">
        <v>4186</v>
      </c>
      <c r="D2101" s="7">
        <v>611.57000000000005</v>
      </c>
      <c r="E2101" s="5">
        <v>269</v>
      </c>
      <c r="F2101" s="5">
        <v>26</v>
      </c>
      <c r="G2101" s="12">
        <f>SUM($D$7:D2101)</f>
        <v>10297104.81000004</v>
      </c>
      <c r="H2101" s="11">
        <f t="shared" si="32"/>
        <v>0.96535195800761719</v>
      </c>
    </row>
    <row r="2102" spans="1:8" ht="15" customHeight="1" x14ac:dyDescent="0.25">
      <c r="A2102" s="5">
        <v>2096</v>
      </c>
      <c r="B2102" s="10" t="s">
        <v>4187</v>
      </c>
      <c r="C2102" s="10" t="s">
        <v>4188</v>
      </c>
      <c r="D2102" s="7">
        <v>610.80999999999995</v>
      </c>
      <c r="E2102" s="5">
        <v>144</v>
      </c>
      <c r="F2102" s="5">
        <v>76</v>
      </c>
      <c r="G2102" s="12">
        <f>SUM($D$7:D2102)</f>
        <v>10297715.62000004</v>
      </c>
      <c r="H2102" s="11">
        <f t="shared" si="32"/>
        <v>0.96540922134914386</v>
      </c>
    </row>
    <row r="2103" spans="1:8" ht="15" customHeight="1" x14ac:dyDescent="0.25">
      <c r="A2103" s="5">
        <v>2097</v>
      </c>
      <c r="B2103" s="10" t="s">
        <v>4189</v>
      </c>
      <c r="C2103" s="10" t="s">
        <v>4190</v>
      </c>
      <c r="D2103" s="7">
        <v>610.45000000000005</v>
      </c>
      <c r="E2103" s="5">
        <v>365</v>
      </c>
      <c r="F2103" s="5">
        <v>71</v>
      </c>
      <c r="G2103" s="12">
        <f>SUM($D$7:D2103)</f>
        <v>10298326.070000039</v>
      </c>
      <c r="H2103" s="11">
        <f t="shared" si="32"/>
        <v>0.96546645094072703</v>
      </c>
    </row>
    <row r="2104" spans="1:8" ht="15" customHeight="1" x14ac:dyDescent="0.25">
      <c r="A2104" s="5">
        <v>2098</v>
      </c>
      <c r="B2104" s="10" t="s">
        <v>4160</v>
      </c>
      <c r="C2104" s="10" t="s">
        <v>4191</v>
      </c>
      <c r="D2104" s="7">
        <v>609.55999999999995</v>
      </c>
      <c r="E2104" s="5">
        <v>740</v>
      </c>
      <c r="F2104" s="5">
        <v>33</v>
      </c>
      <c r="G2104" s="12">
        <f>SUM($D$7:D2104)</f>
        <v>10298935.63000004</v>
      </c>
      <c r="H2104" s="11">
        <f t="shared" si="32"/>
        <v>0.96552359709495017</v>
      </c>
    </row>
    <row r="2105" spans="1:8" ht="15" customHeight="1" x14ac:dyDescent="0.25">
      <c r="A2105" s="5">
        <v>2099</v>
      </c>
      <c r="B2105" s="10" t="s">
        <v>4192</v>
      </c>
      <c r="C2105" s="10" t="s">
        <v>4193</v>
      </c>
      <c r="D2105" s="7">
        <v>609.42999999999995</v>
      </c>
      <c r="E2105" s="5">
        <v>369</v>
      </c>
      <c r="F2105" s="5">
        <v>49</v>
      </c>
      <c r="G2105" s="12">
        <f>SUM($D$7:D2105)</f>
        <v>10299545.06000004</v>
      </c>
      <c r="H2105" s="11">
        <f t="shared" si="32"/>
        <v>0.96558073106169362</v>
      </c>
    </row>
    <row r="2106" spans="1:8" ht="15" customHeight="1" x14ac:dyDescent="0.25">
      <c r="A2106" s="5">
        <v>2100</v>
      </c>
      <c r="B2106" s="10" t="s">
        <v>4194</v>
      </c>
      <c r="C2106" s="10" t="s">
        <v>4195</v>
      </c>
      <c r="D2106" s="7">
        <v>608.95000000000005</v>
      </c>
      <c r="E2106" s="5">
        <v>266</v>
      </c>
      <c r="F2106" s="5">
        <v>84</v>
      </c>
      <c r="G2106" s="12">
        <f>SUM($D$7:D2106)</f>
        <v>10300154.010000039</v>
      </c>
      <c r="H2106" s="11">
        <f t="shared" si="32"/>
        <v>0.96563782002851239</v>
      </c>
    </row>
    <row r="2107" spans="1:8" ht="15" customHeight="1" x14ac:dyDescent="0.25">
      <c r="A2107" s="5">
        <v>2101</v>
      </c>
      <c r="B2107" s="10" t="s">
        <v>4196</v>
      </c>
      <c r="C2107" s="10" t="s">
        <v>4197</v>
      </c>
      <c r="D2107" s="7">
        <v>608.72</v>
      </c>
      <c r="E2107" s="5">
        <v>184</v>
      </c>
      <c r="F2107" s="5">
        <v>81</v>
      </c>
      <c r="G2107" s="12">
        <f>SUM($D$7:D2107)</f>
        <v>10300762.73000004</v>
      </c>
      <c r="H2107" s="11">
        <f t="shared" si="32"/>
        <v>0.96569488743286747</v>
      </c>
    </row>
    <row r="2108" spans="1:8" ht="15" customHeight="1" x14ac:dyDescent="0.25">
      <c r="A2108" s="5">
        <v>2102</v>
      </c>
      <c r="B2108" s="10" t="s">
        <v>4198</v>
      </c>
      <c r="C2108" s="10" t="s">
        <v>4199</v>
      </c>
      <c r="D2108" s="7">
        <v>608.53</v>
      </c>
      <c r="E2108" s="5">
        <v>335</v>
      </c>
      <c r="F2108" s="5">
        <v>72</v>
      </c>
      <c r="G2108" s="12">
        <f>SUM($D$7:D2108)</f>
        <v>10301371.260000039</v>
      </c>
      <c r="H2108" s="11">
        <f t="shared" si="32"/>
        <v>0.96575193702475237</v>
      </c>
    </row>
    <row r="2109" spans="1:8" ht="15" customHeight="1" x14ac:dyDescent="0.25">
      <c r="A2109" s="5">
        <v>2103</v>
      </c>
      <c r="B2109" s="10" t="s">
        <v>4200</v>
      </c>
      <c r="C2109" s="10" t="s">
        <v>4201</v>
      </c>
      <c r="D2109" s="7">
        <v>607.73</v>
      </c>
      <c r="E2109" s="5">
        <v>597</v>
      </c>
      <c r="F2109" s="5">
        <v>105</v>
      </c>
      <c r="G2109" s="12">
        <f>SUM($D$7:D2109)</f>
        <v>10301978.990000039</v>
      </c>
      <c r="H2109" s="11">
        <f t="shared" si="32"/>
        <v>0.96580891161676297</v>
      </c>
    </row>
    <row r="2110" spans="1:8" ht="15" customHeight="1" x14ac:dyDescent="0.25">
      <c r="A2110" s="5">
        <v>2104</v>
      </c>
      <c r="B2110" s="10" t="s">
        <v>4202</v>
      </c>
      <c r="C2110" s="10" t="s">
        <v>4203</v>
      </c>
      <c r="D2110" s="7">
        <v>607.65</v>
      </c>
      <c r="E2110" s="5">
        <v>11</v>
      </c>
      <c r="F2110" s="5">
        <v>2</v>
      </c>
      <c r="G2110" s="12">
        <f>SUM($D$7:D2110)</f>
        <v>10302586.64000004</v>
      </c>
      <c r="H2110" s="11">
        <f t="shared" si="32"/>
        <v>0.96586587870878615</v>
      </c>
    </row>
    <row r="2111" spans="1:8" ht="15" customHeight="1" x14ac:dyDescent="0.25">
      <c r="A2111" s="5">
        <v>2105</v>
      </c>
      <c r="B2111" s="10" t="s">
        <v>4204</v>
      </c>
      <c r="C2111" s="10" t="s">
        <v>4205</v>
      </c>
      <c r="D2111" s="7">
        <v>607.23</v>
      </c>
      <c r="E2111" s="5">
        <v>133</v>
      </c>
      <c r="F2111" s="5">
        <v>59</v>
      </c>
      <c r="G2111" s="12">
        <f>SUM($D$7:D2111)</f>
        <v>10303193.87000004</v>
      </c>
      <c r="H2111" s="11">
        <f t="shared" si="32"/>
        <v>0.96592280642587536</v>
      </c>
    </row>
    <row r="2112" spans="1:8" ht="15" customHeight="1" x14ac:dyDescent="0.25">
      <c r="A2112" s="5">
        <v>2106</v>
      </c>
      <c r="B2112" s="10" t="s">
        <v>4206</v>
      </c>
      <c r="C2112" s="10" t="s">
        <v>4207</v>
      </c>
      <c r="D2112" s="7">
        <v>605.89</v>
      </c>
      <c r="E2112" s="5">
        <v>607</v>
      </c>
      <c r="F2112" s="5">
        <v>93</v>
      </c>
      <c r="G2112" s="12">
        <f>SUM($D$7:D2112)</f>
        <v>10303799.760000041</v>
      </c>
      <c r="H2112" s="11">
        <f t="shared" si="32"/>
        <v>0.9659796085181751</v>
      </c>
    </row>
    <row r="2113" spans="1:8" ht="15" customHeight="1" x14ac:dyDescent="0.25">
      <c r="A2113" s="5">
        <v>2107</v>
      </c>
      <c r="B2113" s="10" t="s">
        <v>1046</v>
      </c>
      <c r="C2113" s="10" t="s">
        <v>4208</v>
      </c>
      <c r="D2113" s="7">
        <v>605.79999999999995</v>
      </c>
      <c r="E2113" s="5">
        <v>649</v>
      </c>
      <c r="F2113" s="5">
        <v>54</v>
      </c>
      <c r="G2113" s="12">
        <f>SUM($D$7:D2113)</f>
        <v>10304405.560000041</v>
      </c>
      <c r="H2113" s="11">
        <f t="shared" si="32"/>
        <v>0.96603640217298903</v>
      </c>
    </row>
    <row r="2114" spans="1:8" ht="15" customHeight="1" x14ac:dyDescent="0.25">
      <c r="A2114" s="5">
        <v>2108</v>
      </c>
      <c r="B2114" s="10" t="s">
        <v>4017</v>
      </c>
      <c r="C2114" s="10" t="s">
        <v>4209</v>
      </c>
      <c r="D2114" s="7">
        <v>605.78</v>
      </c>
      <c r="E2114" s="5">
        <v>1415</v>
      </c>
      <c r="F2114" s="5">
        <v>117</v>
      </c>
      <c r="G2114" s="12">
        <f>SUM($D$7:D2114)</f>
        <v>10305011.340000041</v>
      </c>
      <c r="H2114" s="11">
        <f t="shared" si="32"/>
        <v>0.96609319395280591</v>
      </c>
    </row>
    <row r="2115" spans="1:8" ht="15" customHeight="1" x14ac:dyDescent="0.25">
      <c r="A2115" s="5">
        <v>2109</v>
      </c>
      <c r="B2115" s="10" t="s">
        <v>4210</v>
      </c>
      <c r="C2115" s="10" t="s">
        <v>4211</v>
      </c>
      <c r="D2115" s="7">
        <v>605.48</v>
      </c>
      <c r="E2115" s="5">
        <v>478</v>
      </c>
      <c r="F2115" s="5">
        <v>42</v>
      </c>
      <c r="G2115" s="12">
        <f>SUM($D$7:D2115)</f>
        <v>10305616.820000041</v>
      </c>
      <c r="H2115" s="11">
        <f t="shared" si="32"/>
        <v>0.96614995760767008</v>
      </c>
    </row>
    <row r="2116" spans="1:8" ht="15" customHeight="1" x14ac:dyDescent="0.25">
      <c r="A2116" s="5">
        <v>2110</v>
      </c>
      <c r="B2116" s="10" t="s">
        <v>4212</v>
      </c>
      <c r="C2116" s="10" t="s">
        <v>4213</v>
      </c>
      <c r="D2116" s="7">
        <v>604.46</v>
      </c>
      <c r="E2116" s="5">
        <v>690</v>
      </c>
      <c r="F2116" s="5">
        <v>83</v>
      </c>
      <c r="G2116" s="12">
        <f>SUM($D$7:D2116)</f>
        <v>10306221.280000042</v>
      </c>
      <c r="H2116" s="11">
        <f t="shared" si="32"/>
        <v>0.96620662563769455</v>
      </c>
    </row>
    <row r="2117" spans="1:8" ht="15" customHeight="1" x14ac:dyDescent="0.25">
      <c r="A2117" s="5">
        <v>2111</v>
      </c>
      <c r="B2117" s="10" t="s">
        <v>4214</v>
      </c>
      <c r="C2117" s="10" t="s">
        <v>4215</v>
      </c>
      <c r="D2117" s="7">
        <v>604.29999999999995</v>
      </c>
      <c r="E2117" s="5">
        <v>168</v>
      </c>
      <c r="F2117" s="5">
        <v>32</v>
      </c>
      <c r="G2117" s="12">
        <f>SUM($D$7:D2117)</f>
        <v>10306825.580000043</v>
      </c>
      <c r="H2117" s="11">
        <f t="shared" si="32"/>
        <v>0.96626327866774409</v>
      </c>
    </row>
    <row r="2118" spans="1:8" ht="15" customHeight="1" x14ac:dyDescent="0.25">
      <c r="A2118" s="5">
        <v>2112</v>
      </c>
      <c r="B2118" s="10" t="s">
        <v>4216</v>
      </c>
      <c r="C2118" s="10" t="s">
        <v>4217</v>
      </c>
      <c r="D2118" s="7">
        <v>602.63</v>
      </c>
      <c r="E2118" s="5">
        <v>629</v>
      </c>
      <c r="F2118" s="5">
        <v>77</v>
      </c>
      <c r="G2118" s="12">
        <f>SUM($D$7:D2118)</f>
        <v>10307428.210000044</v>
      </c>
      <c r="H2118" s="11">
        <f t="shared" si="32"/>
        <v>0.96631977513555611</v>
      </c>
    </row>
    <row r="2119" spans="1:8" ht="15" customHeight="1" x14ac:dyDescent="0.25">
      <c r="A2119" s="5">
        <v>2113</v>
      </c>
      <c r="B2119" s="10" t="s">
        <v>4218</v>
      </c>
      <c r="C2119" s="10" t="s">
        <v>4219</v>
      </c>
      <c r="D2119" s="7">
        <v>602.17999999999995</v>
      </c>
      <c r="E2119" s="5">
        <v>1127</v>
      </c>
      <c r="F2119" s="5">
        <v>124</v>
      </c>
      <c r="G2119" s="12">
        <f>SUM($D$7:D2119)</f>
        <v>10308030.390000043</v>
      </c>
      <c r="H2119" s="11">
        <f t="shared" ref="H2119:H2182" si="33">G2119/SUM($D$7:$D$4167)</f>
        <v>0.9663762294159387</v>
      </c>
    </row>
    <row r="2120" spans="1:8" ht="15" customHeight="1" x14ac:dyDescent="0.25">
      <c r="A2120" s="5">
        <v>2114</v>
      </c>
      <c r="B2120" s="10" t="s">
        <v>4220</v>
      </c>
      <c r="C2120" s="10" t="s">
        <v>4221</v>
      </c>
      <c r="D2120" s="7">
        <v>600.92999999999995</v>
      </c>
      <c r="E2120" s="5">
        <v>462</v>
      </c>
      <c r="F2120" s="5">
        <v>88</v>
      </c>
      <c r="G2120" s="12">
        <f>SUM($D$7:D2120)</f>
        <v>10308631.320000043</v>
      </c>
      <c r="H2120" s="11">
        <f t="shared" si="33"/>
        <v>0.96643256650901765</v>
      </c>
    </row>
    <row r="2121" spans="1:8" ht="15" customHeight="1" x14ac:dyDescent="0.25">
      <c r="A2121" s="5">
        <v>2115</v>
      </c>
      <c r="B2121" s="10" t="s">
        <v>4222</v>
      </c>
      <c r="C2121" s="10" t="s">
        <v>4223</v>
      </c>
      <c r="D2121" s="7">
        <v>600.87</v>
      </c>
      <c r="E2121" s="5">
        <v>349</v>
      </c>
      <c r="F2121" s="5">
        <v>77</v>
      </c>
      <c r="G2121" s="12">
        <f>SUM($D$7:D2121)</f>
        <v>10309232.190000042</v>
      </c>
      <c r="H2121" s="11">
        <f t="shared" si="33"/>
        <v>0.96648889797710613</v>
      </c>
    </row>
    <row r="2122" spans="1:8" ht="15" customHeight="1" x14ac:dyDescent="0.25">
      <c r="A2122" s="5">
        <v>2116</v>
      </c>
      <c r="B2122" s="10" t="s">
        <v>4224</v>
      </c>
      <c r="C2122" s="10" t="s">
        <v>4225</v>
      </c>
      <c r="D2122" s="7">
        <v>600.29</v>
      </c>
      <c r="E2122" s="5">
        <v>1077</v>
      </c>
      <c r="F2122" s="5">
        <v>158</v>
      </c>
      <c r="G2122" s="12">
        <f>SUM($D$7:D2122)</f>
        <v>10309832.480000041</v>
      </c>
      <c r="H2122" s="11">
        <f t="shared" si="33"/>
        <v>0.96654517507028559</v>
      </c>
    </row>
    <row r="2123" spans="1:8" ht="15" customHeight="1" x14ac:dyDescent="0.25">
      <c r="A2123" s="5">
        <v>2117</v>
      </c>
      <c r="B2123" s="10" t="s">
        <v>4226</v>
      </c>
      <c r="C2123" s="10" t="s">
        <v>4227</v>
      </c>
      <c r="D2123" s="7">
        <v>598.82000000000005</v>
      </c>
      <c r="E2123" s="5">
        <v>1385</v>
      </c>
      <c r="F2123" s="5">
        <v>119</v>
      </c>
      <c r="G2123" s="12">
        <f>SUM($D$7:D2123)</f>
        <v>10310431.300000042</v>
      </c>
      <c r="H2123" s="11">
        <f t="shared" si="33"/>
        <v>0.96660131435119623</v>
      </c>
    </row>
    <row r="2124" spans="1:8" ht="15" customHeight="1" x14ac:dyDescent="0.25">
      <c r="A2124" s="5">
        <v>2118</v>
      </c>
      <c r="B2124" s="10" t="s">
        <v>4228</v>
      </c>
      <c r="C2124" s="10" t="s">
        <v>4229</v>
      </c>
      <c r="D2124" s="7">
        <v>596.5</v>
      </c>
      <c r="E2124" s="5">
        <v>1888</v>
      </c>
      <c r="F2124" s="5">
        <v>92</v>
      </c>
      <c r="G2124" s="12">
        <f>SUM($D$7:D2124)</f>
        <v>10311027.800000042</v>
      </c>
      <c r="H2124" s="11">
        <f t="shared" si="33"/>
        <v>0.96665723613247123</v>
      </c>
    </row>
    <row r="2125" spans="1:8" ht="15" customHeight="1" x14ac:dyDescent="0.25">
      <c r="A2125" s="5">
        <v>2119</v>
      </c>
      <c r="B2125" s="10" t="s">
        <v>4230</v>
      </c>
      <c r="C2125" s="10" t="s">
        <v>4231</v>
      </c>
      <c r="D2125" s="7">
        <v>596.36</v>
      </c>
      <c r="E2125" s="5">
        <v>269</v>
      </c>
      <c r="F2125" s="5">
        <v>51</v>
      </c>
      <c r="G2125" s="12">
        <f>SUM($D$7:D2125)</f>
        <v>10311624.160000041</v>
      </c>
      <c r="H2125" s="11">
        <f t="shared" si="33"/>
        <v>0.96671314478876835</v>
      </c>
    </row>
    <row r="2126" spans="1:8" ht="15" customHeight="1" x14ac:dyDescent="0.25">
      <c r="A2126" s="5">
        <v>2120</v>
      </c>
      <c r="B2126" s="10" t="s">
        <v>4232</v>
      </c>
      <c r="C2126" s="10" t="s">
        <v>4233</v>
      </c>
      <c r="D2126" s="7">
        <v>595.85</v>
      </c>
      <c r="E2126" s="5">
        <v>525</v>
      </c>
      <c r="F2126" s="5">
        <v>85</v>
      </c>
      <c r="G2126" s="12">
        <f>SUM($D$7:D2126)</f>
        <v>10312220.010000041</v>
      </c>
      <c r="H2126" s="11">
        <f t="shared" si="33"/>
        <v>0.96676900563264556</v>
      </c>
    </row>
    <row r="2127" spans="1:8" ht="15" customHeight="1" x14ac:dyDescent="0.25">
      <c r="A2127" s="5">
        <v>2121</v>
      </c>
      <c r="B2127" s="10" t="s">
        <v>4234</v>
      </c>
      <c r="C2127" s="10" t="s">
        <v>4235</v>
      </c>
      <c r="D2127" s="7">
        <v>594.51</v>
      </c>
      <c r="E2127" s="5">
        <v>867</v>
      </c>
      <c r="F2127" s="5">
        <v>28</v>
      </c>
      <c r="G2127" s="12">
        <f>SUM($D$7:D2127)</f>
        <v>10312814.520000041</v>
      </c>
      <c r="H2127" s="11">
        <f t="shared" si="33"/>
        <v>0.96682474085173331</v>
      </c>
    </row>
    <row r="2128" spans="1:8" ht="15" customHeight="1" x14ac:dyDescent="0.25">
      <c r="A2128" s="5">
        <v>2122</v>
      </c>
      <c r="B2128" s="10" t="s">
        <v>4236</v>
      </c>
      <c r="C2128" s="10" t="s">
        <v>4237</v>
      </c>
      <c r="D2128" s="7">
        <v>593.62</v>
      </c>
      <c r="E2128" s="5">
        <v>1354</v>
      </c>
      <c r="F2128" s="5">
        <v>133</v>
      </c>
      <c r="G2128" s="12">
        <f>SUM($D$7:D2128)</f>
        <v>10313408.14000004</v>
      </c>
      <c r="H2128" s="11">
        <f t="shared" si="33"/>
        <v>0.96688039263346082</v>
      </c>
    </row>
    <row r="2129" spans="1:8" ht="15" customHeight="1" x14ac:dyDescent="0.25">
      <c r="A2129" s="5">
        <v>2123</v>
      </c>
      <c r="B2129" s="10" t="s">
        <v>4238</v>
      </c>
      <c r="C2129" s="10" t="s">
        <v>4239</v>
      </c>
      <c r="D2129" s="7">
        <v>593.37</v>
      </c>
      <c r="E2129" s="5">
        <v>135</v>
      </c>
      <c r="F2129" s="5">
        <v>62</v>
      </c>
      <c r="G2129" s="12">
        <f>SUM($D$7:D2129)</f>
        <v>10314001.510000039</v>
      </c>
      <c r="H2129" s="11">
        <f t="shared" si="33"/>
        <v>0.96693602097772757</v>
      </c>
    </row>
    <row r="2130" spans="1:8" ht="15" customHeight="1" x14ac:dyDescent="0.25">
      <c r="A2130" s="5">
        <v>2124</v>
      </c>
      <c r="B2130" s="10" t="s">
        <v>4240</v>
      </c>
      <c r="C2130" s="10" t="s">
        <v>4241</v>
      </c>
      <c r="D2130" s="7">
        <v>593.14</v>
      </c>
      <c r="E2130" s="5">
        <v>670</v>
      </c>
      <c r="F2130" s="5">
        <v>113</v>
      </c>
      <c r="G2130" s="12">
        <f>SUM($D$7:D2130)</f>
        <v>10314594.650000039</v>
      </c>
      <c r="H2130" s="11">
        <f t="shared" si="33"/>
        <v>0.96699162775953074</v>
      </c>
    </row>
    <row r="2131" spans="1:8" ht="15" customHeight="1" x14ac:dyDescent="0.25">
      <c r="A2131" s="5">
        <v>2125</v>
      </c>
      <c r="B2131" s="10" t="s">
        <v>4242</v>
      </c>
      <c r="C2131" s="10" t="s">
        <v>4243</v>
      </c>
      <c r="D2131" s="7">
        <v>590.66999999999996</v>
      </c>
      <c r="E2131" s="5">
        <v>252</v>
      </c>
      <c r="F2131" s="5">
        <v>79</v>
      </c>
      <c r="G2131" s="12">
        <f>SUM($D$7:D2131)</f>
        <v>10315185.320000039</v>
      </c>
      <c r="H2131" s="11">
        <f t="shared" si="33"/>
        <v>0.96704700297922186</v>
      </c>
    </row>
    <row r="2132" spans="1:8" ht="15" customHeight="1" x14ac:dyDescent="0.25">
      <c r="A2132" s="5">
        <v>2126</v>
      </c>
      <c r="B2132" s="10" t="s">
        <v>4244</v>
      </c>
      <c r="C2132" s="10" t="s">
        <v>4245</v>
      </c>
      <c r="D2132" s="7">
        <v>590.13</v>
      </c>
      <c r="E2132" s="5">
        <v>1485</v>
      </c>
      <c r="F2132" s="5">
        <v>142</v>
      </c>
      <c r="G2132" s="12">
        <f>SUM($D$7:D2132)</f>
        <v>10315775.45000004</v>
      </c>
      <c r="H2132" s="11">
        <f t="shared" si="33"/>
        <v>0.96710232757399783</v>
      </c>
    </row>
    <row r="2133" spans="1:8" ht="15" customHeight="1" x14ac:dyDescent="0.25">
      <c r="A2133" s="5">
        <v>2127</v>
      </c>
      <c r="B2133" s="10" t="s">
        <v>4246</v>
      </c>
      <c r="C2133" s="10" t="s">
        <v>4247</v>
      </c>
      <c r="D2133" s="7">
        <v>587.86</v>
      </c>
      <c r="E2133" s="5">
        <v>1346</v>
      </c>
      <c r="F2133" s="5">
        <v>61</v>
      </c>
      <c r="G2133" s="12">
        <f>SUM($D$7:D2133)</f>
        <v>10316363.31000004</v>
      </c>
      <c r="H2133" s="11">
        <f t="shared" si="33"/>
        <v>0.96715743935663046</v>
      </c>
    </row>
    <row r="2134" spans="1:8" ht="15" customHeight="1" x14ac:dyDescent="0.25">
      <c r="A2134" s="5">
        <v>2128</v>
      </c>
      <c r="B2134" s="10" t="s">
        <v>4248</v>
      </c>
      <c r="C2134" s="10" t="s">
        <v>4249</v>
      </c>
      <c r="D2134" s="7">
        <v>587.49</v>
      </c>
      <c r="E2134" s="5">
        <v>1315</v>
      </c>
      <c r="F2134" s="5">
        <v>110</v>
      </c>
      <c r="G2134" s="12">
        <f>SUM($D$7:D2134)</f>
        <v>10316950.80000004</v>
      </c>
      <c r="H2134" s="11">
        <f t="shared" si="33"/>
        <v>0.96721251645182127</v>
      </c>
    </row>
    <row r="2135" spans="1:8" ht="15" customHeight="1" x14ac:dyDescent="0.25">
      <c r="A2135" s="5">
        <v>2129</v>
      </c>
      <c r="B2135" s="10" t="s">
        <v>4250</v>
      </c>
      <c r="C2135" s="10" t="s">
        <v>4251</v>
      </c>
      <c r="D2135" s="7">
        <v>587.20000000000005</v>
      </c>
      <c r="E2135" s="5">
        <v>271</v>
      </c>
      <c r="F2135" s="5">
        <v>48</v>
      </c>
      <c r="G2135" s="12">
        <f>SUM($D$7:D2135)</f>
        <v>10317538.000000039</v>
      </c>
      <c r="H2135" s="11">
        <f t="shared" si="33"/>
        <v>0.96726756635955757</v>
      </c>
    </row>
    <row r="2136" spans="1:8" ht="15" customHeight="1" x14ac:dyDescent="0.25">
      <c r="A2136" s="5">
        <v>2130</v>
      </c>
      <c r="B2136" s="10" t="s">
        <v>4252</v>
      </c>
      <c r="C2136" s="10" t="s">
        <v>4253</v>
      </c>
      <c r="D2136" s="7">
        <v>586.82000000000005</v>
      </c>
      <c r="E2136" s="5">
        <v>1373</v>
      </c>
      <c r="F2136" s="5">
        <v>117</v>
      </c>
      <c r="G2136" s="12">
        <f>SUM($D$7:D2136)</f>
        <v>10318124.820000039</v>
      </c>
      <c r="H2136" s="11">
        <f t="shared" si="33"/>
        <v>0.96732258064235366</v>
      </c>
    </row>
    <row r="2137" spans="1:8" ht="15" customHeight="1" x14ac:dyDescent="0.25">
      <c r="A2137" s="5">
        <v>2131</v>
      </c>
      <c r="B2137" s="10" t="s">
        <v>4254</v>
      </c>
      <c r="C2137" s="10" t="s">
        <v>4255</v>
      </c>
      <c r="D2137" s="7">
        <v>586.30999999999995</v>
      </c>
      <c r="E2137" s="5">
        <v>410</v>
      </c>
      <c r="F2137" s="5">
        <v>63</v>
      </c>
      <c r="G2137" s="12">
        <f>SUM($D$7:D2137)</f>
        <v>10318711.13000004</v>
      </c>
      <c r="H2137" s="11">
        <f t="shared" si="33"/>
        <v>0.96737754711272994</v>
      </c>
    </row>
    <row r="2138" spans="1:8" ht="15" customHeight="1" x14ac:dyDescent="0.25">
      <c r="A2138" s="5">
        <v>2132</v>
      </c>
      <c r="B2138" s="10" t="s">
        <v>4256</v>
      </c>
      <c r="C2138" s="10" t="s">
        <v>4257</v>
      </c>
      <c r="D2138" s="7">
        <v>585.86</v>
      </c>
      <c r="E2138" s="5">
        <v>208</v>
      </c>
      <c r="F2138" s="5">
        <v>61</v>
      </c>
      <c r="G2138" s="12">
        <f>SUM($D$7:D2138)</f>
        <v>10319296.990000039</v>
      </c>
      <c r="H2138" s="11">
        <f t="shared" si="33"/>
        <v>0.96743247139567679</v>
      </c>
    </row>
    <row r="2139" spans="1:8" ht="15" customHeight="1" x14ac:dyDescent="0.25">
      <c r="A2139" s="5">
        <v>2133</v>
      </c>
      <c r="B2139" s="10" t="s">
        <v>4258</v>
      </c>
      <c r="C2139" s="10" t="s">
        <v>4259</v>
      </c>
      <c r="D2139" s="7">
        <v>585.34</v>
      </c>
      <c r="E2139" s="5">
        <v>252</v>
      </c>
      <c r="F2139" s="5">
        <v>78</v>
      </c>
      <c r="G2139" s="12">
        <f>SUM($D$7:D2139)</f>
        <v>10319882.330000039</v>
      </c>
      <c r="H2139" s="11">
        <f t="shared" si="33"/>
        <v>0.96748734692870531</v>
      </c>
    </row>
    <row r="2140" spans="1:8" ht="15" customHeight="1" x14ac:dyDescent="0.25">
      <c r="A2140" s="5">
        <v>2134</v>
      </c>
      <c r="B2140" s="10" t="s">
        <v>4260</v>
      </c>
      <c r="C2140" s="10" t="s">
        <v>4261</v>
      </c>
      <c r="D2140" s="7">
        <v>584.37</v>
      </c>
      <c r="E2140" s="5">
        <v>73</v>
      </c>
      <c r="F2140" s="5">
        <v>28</v>
      </c>
      <c r="G2140" s="12">
        <f>SUM($D$7:D2140)</f>
        <v>10320466.700000038</v>
      </c>
      <c r="H2140" s="11">
        <f t="shared" si="33"/>
        <v>0.96754213152438628</v>
      </c>
    </row>
    <row r="2141" spans="1:8" ht="15" customHeight="1" x14ac:dyDescent="0.25">
      <c r="A2141" s="5">
        <v>2135</v>
      </c>
      <c r="B2141" s="10" t="s">
        <v>4262</v>
      </c>
      <c r="C2141" s="10" t="s">
        <v>4263</v>
      </c>
      <c r="D2141" s="7">
        <v>583.33000000000004</v>
      </c>
      <c r="E2141" s="5">
        <v>360</v>
      </c>
      <c r="F2141" s="5">
        <v>123</v>
      </c>
      <c r="G2141" s="12">
        <f>SUM($D$7:D2141)</f>
        <v>10321050.030000038</v>
      </c>
      <c r="H2141" s="11">
        <f t="shared" si="33"/>
        <v>0.96759681862023073</v>
      </c>
    </row>
    <row r="2142" spans="1:8" ht="15" customHeight="1" x14ac:dyDescent="0.25">
      <c r="A2142" s="5">
        <v>2136</v>
      </c>
      <c r="B2142" s="10" t="s">
        <v>4264</v>
      </c>
      <c r="C2142" s="10" t="s">
        <v>4265</v>
      </c>
      <c r="D2142" s="7">
        <v>583.23</v>
      </c>
      <c r="E2142" s="5">
        <v>1041</v>
      </c>
      <c r="F2142" s="5">
        <v>111</v>
      </c>
      <c r="G2142" s="12">
        <f>SUM($D$7:D2142)</f>
        <v>10321633.260000039</v>
      </c>
      <c r="H2142" s="11">
        <f t="shared" si="33"/>
        <v>0.96765149634109093</v>
      </c>
    </row>
    <row r="2143" spans="1:8" ht="15" customHeight="1" x14ac:dyDescent="0.25">
      <c r="A2143" s="5">
        <v>2137</v>
      </c>
      <c r="B2143" s="10" t="s">
        <v>4266</v>
      </c>
      <c r="C2143" s="10" t="s">
        <v>4267</v>
      </c>
      <c r="D2143" s="7">
        <v>583.12</v>
      </c>
      <c r="E2143" s="5">
        <v>1346</v>
      </c>
      <c r="F2143" s="5">
        <v>43</v>
      </c>
      <c r="G2143" s="12">
        <f>SUM($D$7:D2143)</f>
        <v>10322216.380000038</v>
      </c>
      <c r="H2143" s="11">
        <f t="shared" si="33"/>
        <v>0.96770616374946827</v>
      </c>
    </row>
    <row r="2144" spans="1:8" ht="15" customHeight="1" x14ac:dyDescent="0.25">
      <c r="A2144" s="5">
        <v>2138</v>
      </c>
      <c r="B2144" s="10" t="s">
        <v>4268</v>
      </c>
      <c r="C2144" s="10" t="s">
        <v>4269</v>
      </c>
      <c r="D2144" s="7">
        <v>582.03</v>
      </c>
      <c r="E2144" s="5">
        <v>1091</v>
      </c>
      <c r="F2144" s="5">
        <v>82</v>
      </c>
      <c r="G2144" s="12">
        <f>SUM($D$7:D2144)</f>
        <v>10322798.410000037</v>
      </c>
      <c r="H2144" s="11">
        <f t="shared" si="33"/>
        <v>0.9677607289705169</v>
      </c>
    </row>
    <row r="2145" spans="1:8" ht="15" customHeight="1" x14ac:dyDescent="0.25">
      <c r="A2145" s="5">
        <v>2139</v>
      </c>
      <c r="B2145" s="10" t="s">
        <v>4270</v>
      </c>
      <c r="C2145" s="10" t="s">
        <v>3223</v>
      </c>
      <c r="D2145" s="7">
        <v>581.88</v>
      </c>
      <c r="E2145" s="5">
        <v>78</v>
      </c>
      <c r="F2145" s="5">
        <v>15</v>
      </c>
      <c r="G2145" s="12">
        <f>SUM($D$7:D2145)</f>
        <v>10323380.290000038</v>
      </c>
      <c r="H2145" s="11">
        <f t="shared" si="33"/>
        <v>0.96781528012908924</v>
      </c>
    </row>
    <row r="2146" spans="1:8" ht="15" customHeight="1" x14ac:dyDescent="0.25">
      <c r="A2146" s="5">
        <v>2140</v>
      </c>
      <c r="B2146" s="10" t="s">
        <v>4271</v>
      </c>
      <c r="C2146" s="10" t="s">
        <v>4272</v>
      </c>
      <c r="D2146" s="7">
        <v>581.23</v>
      </c>
      <c r="E2146" s="5">
        <v>173</v>
      </c>
      <c r="F2146" s="5">
        <v>42</v>
      </c>
      <c r="G2146" s="12">
        <f>SUM($D$7:D2146)</f>
        <v>10323961.520000039</v>
      </c>
      <c r="H2146" s="11">
        <f t="shared" si="33"/>
        <v>0.96786977035026367</v>
      </c>
    </row>
    <row r="2147" spans="1:8" ht="15" customHeight="1" x14ac:dyDescent="0.25">
      <c r="A2147" s="5">
        <v>2141</v>
      </c>
      <c r="B2147" s="10" t="s">
        <v>4273</v>
      </c>
      <c r="C2147" s="10" t="s">
        <v>4274</v>
      </c>
      <c r="D2147" s="7">
        <v>581.09</v>
      </c>
      <c r="E2147" s="5">
        <v>1259</v>
      </c>
      <c r="F2147" s="5">
        <v>105</v>
      </c>
      <c r="G2147" s="12">
        <f>SUM($D$7:D2147)</f>
        <v>10324542.610000039</v>
      </c>
      <c r="H2147" s="11">
        <f t="shared" si="33"/>
        <v>0.96792424744646</v>
      </c>
    </row>
    <row r="2148" spans="1:8" ht="15" customHeight="1" x14ac:dyDescent="0.25">
      <c r="A2148" s="5">
        <v>2142</v>
      </c>
      <c r="B2148" s="10" t="s">
        <v>4275</v>
      </c>
      <c r="C2148" s="10" t="s">
        <v>4276</v>
      </c>
      <c r="D2148" s="7">
        <v>580.36</v>
      </c>
      <c r="E2148" s="5">
        <v>72</v>
      </c>
      <c r="F2148" s="5">
        <v>53</v>
      </c>
      <c r="G2148" s="12">
        <f>SUM($D$7:D2148)</f>
        <v>10325122.970000038</v>
      </c>
      <c r="H2148" s="11">
        <f t="shared" si="33"/>
        <v>0.96797865610527101</v>
      </c>
    </row>
    <row r="2149" spans="1:8" ht="15" customHeight="1" x14ac:dyDescent="0.25">
      <c r="A2149" s="5">
        <v>2143</v>
      </c>
      <c r="B2149" s="10" t="s">
        <v>4277</v>
      </c>
      <c r="C2149" s="10" t="s">
        <v>4278</v>
      </c>
      <c r="D2149" s="7">
        <v>579.35</v>
      </c>
      <c r="E2149" s="5">
        <v>221</v>
      </c>
      <c r="F2149" s="5">
        <v>40</v>
      </c>
      <c r="G2149" s="12">
        <f>SUM($D$7:D2149)</f>
        <v>10325702.320000038</v>
      </c>
      <c r="H2149" s="11">
        <f t="shared" si="33"/>
        <v>0.96803297007674083</v>
      </c>
    </row>
    <row r="2150" spans="1:8" ht="15" customHeight="1" x14ac:dyDescent="0.25">
      <c r="A2150" s="5">
        <v>2144</v>
      </c>
      <c r="B2150" s="10" t="s">
        <v>4279</v>
      </c>
      <c r="C2150" s="10" t="s">
        <v>4280</v>
      </c>
      <c r="D2150" s="7">
        <v>577.79</v>
      </c>
      <c r="E2150" s="5">
        <v>135</v>
      </c>
      <c r="F2150" s="5">
        <v>42</v>
      </c>
      <c r="G2150" s="12">
        <f>SUM($D$7:D2150)</f>
        <v>10326280.110000037</v>
      </c>
      <c r="H2150" s="11">
        <f t="shared" si="33"/>
        <v>0.96808713779845557</v>
      </c>
    </row>
    <row r="2151" spans="1:8" ht="15" customHeight="1" x14ac:dyDescent="0.25">
      <c r="A2151" s="5">
        <v>2145</v>
      </c>
      <c r="B2151" s="10" t="s">
        <v>4281</v>
      </c>
      <c r="C2151" s="10" t="s">
        <v>4282</v>
      </c>
      <c r="D2151" s="7">
        <v>577.48</v>
      </c>
      <c r="E2151" s="5">
        <v>279</v>
      </c>
      <c r="F2151" s="5">
        <v>38</v>
      </c>
      <c r="G2151" s="12">
        <f>SUM($D$7:D2151)</f>
        <v>10326857.590000037</v>
      </c>
      <c r="H2151" s="11">
        <f t="shared" si="33"/>
        <v>0.9681412764577193</v>
      </c>
    </row>
    <row r="2152" spans="1:8" ht="15" customHeight="1" x14ac:dyDescent="0.25">
      <c r="A2152" s="5">
        <v>2146</v>
      </c>
      <c r="B2152" s="10" t="s">
        <v>4283</v>
      </c>
      <c r="C2152" s="10" t="s">
        <v>4284</v>
      </c>
      <c r="D2152" s="7">
        <v>577.44000000000005</v>
      </c>
      <c r="E2152" s="5">
        <v>552</v>
      </c>
      <c r="F2152" s="5">
        <v>104</v>
      </c>
      <c r="G2152" s="12">
        <f>SUM($D$7:D2152)</f>
        <v>10327435.030000037</v>
      </c>
      <c r="H2152" s="11">
        <f t="shared" si="33"/>
        <v>0.96819541136698906</v>
      </c>
    </row>
    <row r="2153" spans="1:8" ht="15" customHeight="1" x14ac:dyDescent="0.25">
      <c r="A2153" s="5">
        <v>2147</v>
      </c>
      <c r="B2153" s="10" t="s">
        <v>4285</v>
      </c>
      <c r="C2153" s="10" t="s">
        <v>4286</v>
      </c>
      <c r="D2153" s="7">
        <v>577.35</v>
      </c>
      <c r="E2153" s="5">
        <v>34</v>
      </c>
      <c r="F2153" s="5">
        <v>23</v>
      </c>
      <c r="G2153" s="12">
        <f>SUM($D$7:D2153)</f>
        <v>10328012.380000036</v>
      </c>
      <c r="H2153" s="11">
        <f t="shared" si="33"/>
        <v>0.9682495378387731</v>
      </c>
    </row>
    <row r="2154" spans="1:8" ht="15" customHeight="1" x14ac:dyDescent="0.25">
      <c r="A2154" s="5">
        <v>2148</v>
      </c>
      <c r="B2154" s="10" t="s">
        <v>4287</v>
      </c>
      <c r="C2154" s="10" t="s">
        <v>4288</v>
      </c>
      <c r="D2154" s="7">
        <v>575.54999999999995</v>
      </c>
      <c r="E2154" s="5">
        <v>285</v>
      </c>
      <c r="F2154" s="5">
        <v>48</v>
      </c>
      <c r="G2154" s="12">
        <f>SUM($D$7:D2154)</f>
        <v>10328587.930000037</v>
      </c>
      <c r="H2154" s="11">
        <f t="shared" si="33"/>
        <v>0.96830349556084006</v>
      </c>
    </row>
    <row r="2155" spans="1:8" ht="15" customHeight="1" x14ac:dyDescent="0.25">
      <c r="A2155" s="5">
        <v>2149</v>
      </c>
      <c r="B2155" s="10" t="s">
        <v>4289</v>
      </c>
      <c r="C2155" s="10" t="s">
        <v>4290</v>
      </c>
      <c r="D2155" s="7">
        <v>575.41999999999996</v>
      </c>
      <c r="E2155" s="5">
        <v>940</v>
      </c>
      <c r="F2155" s="5">
        <v>77</v>
      </c>
      <c r="G2155" s="12">
        <f>SUM($D$7:D2155)</f>
        <v>10329163.350000037</v>
      </c>
      <c r="H2155" s="11">
        <f t="shared" si="33"/>
        <v>0.96835744109542732</v>
      </c>
    </row>
    <row r="2156" spans="1:8" ht="15" customHeight="1" x14ac:dyDescent="0.25">
      <c r="A2156" s="5">
        <v>2150</v>
      </c>
      <c r="B2156" s="10" t="s">
        <v>4291</v>
      </c>
      <c r="C2156" s="10" t="s">
        <v>4292</v>
      </c>
      <c r="D2156" s="7">
        <v>575.25</v>
      </c>
      <c r="E2156" s="5">
        <v>74</v>
      </c>
      <c r="F2156" s="5">
        <v>24</v>
      </c>
      <c r="G2156" s="12">
        <f>SUM($D$7:D2156)</f>
        <v>10329738.600000037</v>
      </c>
      <c r="H2156" s="11">
        <f t="shared" si="33"/>
        <v>0.96841137069254124</v>
      </c>
    </row>
    <row r="2157" spans="1:8" ht="15" customHeight="1" x14ac:dyDescent="0.25">
      <c r="A2157" s="5">
        <v>2151</v>
      </c>
      <c r="B2157" s="10" t="s">
        <v>4293</v>
      </c>
      <c r="C2157" s="10" t="s">
        <v>4294</v>
      </c>
      <c r="D2157" s="7">
        <v>574.88</v>
      </c>
      <c r="E2157" s="5">
        <v>459</v>
      </c>
      <c r="F2157" s="5">
        <v>38</v>
      </c>
      <c r="G2157" s="12">
        <f>SUM($D$7:D2157)</f>
        <v>10330313.480000038</v>
      </c>
      <c r="H2157" s="11">
        <f t="shared" si="33"/>
        <v>0.96846526560221347</v>
      </c>
    </row>
    <row r="2158" spans="1:8" ht="15" customHeight="1" x14ac:dyDescent="0.25">
      <c r="A2158" s="5">
        <v>2152</v>
      </c>
      <c r="B2158" s="10" t="s">
        <v>4295</v>
      </c>
      <c r="C2158" s="10" t="s">
        <v>4296</v>
      </c>
      <c r="D2158" s="7">
        <v>574.54</v>
      </c>
      <c r="E2158" s="5">
        <v>912</v>
      </c>
      <c r="F2158" s="5">
        <v>77</v>
      </c>
      <c r="G2158" s="12">
        <f>SUM($D$7:D2158)</f>
        <v>10330888.020000037</v>
      </c>
      <c r="H2158" s="11">
        <f t="shared" si="33"/>
        <v>0.96851912863693901</v>
      </c>
    </row>
    <row r="2159" spans="1:8" ht="15" customHeight="1" x14ac:dyDescent="0.25">
      <c r="A2159" s="5">
        <v>2153</v>
      </c>
      <c r="B2159" s="10" t="s">
        <v>4297</v>
      </c>
      <c r="C2159" s="10" t="s">
        <v>4298</v>
      </c>
      <c r="D2159" s="7">
        <v>573.36</v>
      </c>
      <c r="E2159" s="5">
        <v>634</v>
      </c>
      <c r="F2159" s="5">
        <v>110</v>
      </c>
      <c r="G2159" s="12">
        <f>SUM($D$7:D2159)</f>
        <v>10331461.380000036</v>
      </c>
      <c r="H2159" s="11">
        <f t="shared" si="33"/>
        <v>0.96857288104684991</v>
      </c>
    </row>
    <row r="2160" spans="1:8" ht="15" customHeight="1" x14ac:dyDescent="0.25">
      <c r="A2160" s="5">
        <v>2154</v>
      </c>
      <c r="B2160" s="10" t="s">
        <v>4299</v>
      </c>
      <c r="C2160" s="10" t="s">
        <v>4300</v>
      </c>
      <c r="D2160" s="7">
        <v>572.23</v>
      </c>
      <c r="E2160" s="5">
        <v>148</v>
      </c>
      <c r="F2160" s="5">
        <v>66</v>
      </c>
      <c r="G2160" s="12">
        <f>SUM($D$7:D2160)</f>
        <v>10332033.610000037</v>
      </c>
      <c r="H2160" s="11">
        <f t="shared" si="33"/>
        <v>0.96862652751943845</v>
      </c>
    </row>
    <row r="2161" spans="1:8" ht="15" customHeight="1" x14ac:dyDescent="0.25">
      <c r="A2161" s="5">
        <v>2155</v>
      </c>
      <c r="B2161" s="10" t="s">
        <v>4301</v>
      </c>
      <c r="C2161" s="10" t="s">
        <v>4302</v>
      </c>
      <c r="D2161" s="7">
        <v>571.42999999999995</v>
      </c>
      <c r="E2161" s="5">
        <v>26</v>
      </c>
      <c r="F2161" s="5">
        <v>22</v>
      </c>
      <c r="G2161" s="12">
        <f>SUM($D$7:D2161)</f>
        <v>10332605.040000036</v>
      </c>
      <c r="H2161" s="11">
        <f t="shared" si="33"/>
        <v>0.96868009899215257</v>
      </c>
    </row>
    <row r="2162" spans="1:8" ht="15" customHeight="1" x14ac:dyDescent="0.25">
      <c r="A2162" s="5">
        <v>2156</v>
      </c>
      <c r="B2162" s="10" t="s">
        <v>4303</v>
      </c>
      <c r="C2162" s="10" t="s">
        <v>4304</v>
      </c>
      <c r="D2162" s="7">
        <v>569.29</v>
      </c>
      <c r="E2162" s="5">
        <v>565</v>
      </c>
      <c r="F2162" s="5">
        <v>62</v>
      </c>
      <c r="G2162" s="12">
        <f>SUM($D$7:D2162)</f>
        <v>10333174.330000035</v>
      </c>
      <c r="H2162" s="11">
        <f t="shared" si="33"/>
        <v>0.96873346984020303</v>
      </c>
    </row>
    <row r="2163" spans="1:8" ht="15" customHeight="1" x14ac:dyDescent="0.25">
      <c r="A2163" s="5">
        <v>2157</v>
      </c>
      <c r="B2163" s="10" t="s">
        <v>4305</v>
      </c>
      <c r="C2163" s="10" t="s">
        <v>4306</v>
      </c>
      <c r="D2163" s="7">
        <v>568.98</v>
      </c>
      <c r="E2163" s="5">
        <v>182</v>
      </c>
      <c r="F2163" s="5">
        <v>46</v>
      </c>
      <c r="G2163" s="12">
        <f>SUM($D$7:D2163)</f>
        <v>10333743.310000036</v>
      </c>
      <c r="H2163" s="11">
        <f t="shared" si="33"/>
        <v>0.96878681162580216</v>
      </c>
    </row>
    <row r="2164" spans="1:8" ht="15" customHeight="1" x14ac:dyDescent="0.25">
      <c r="A2164" s="5">
        <v>2158</v>
      </c>
      <c r="B2164" s="10" t="s">
        <v>4307</v>
      </c>
      <c r="C2164" s="10" t="s">
        <v>4308</v>
      </c>
      <c r="D2164" s="7">
        <v>568.71</v>
      </c>
      <c r="E2164" s="5">
        <v>90</v>
      </c>
      <c r="F2164" s="5">
        <v>32</v>
      </c>
      <c r="G2164" s="12">
        <f>SUM($D$7:D2164)</f>
        <v>10334312.020000037</v>
      </c>
      <c r="H2164" s="11">
        <f t="shared" si="33"/>
        <v>0.96884012809894382</v>
      </c>
    </row>
    <row r="2165" spans="1:8" ht="15" customHeight="1" x14ac:dyDescent="0.25">
      <c r="A2165" s="5">
        <v>2159</v>
      </c>
      <c r="B2165" s="10" t="s">
        <v>4309</v>
      </c>
      <c r="C2165" s="10" t="s">
        <v>4310</v>
      </c>
      <c r="D2165" s="7">
        <v>568.65</v>
      </c>
      <c r="E2165" s="5">
        <v>35</v>
      </c>
      <c r="F2165" s="5">
        <v>20</v>
      </c>
      <c r="G2165" s="12">
        <f>SUM($D$7:D2165)</f>
        <v>10334880.670000037</v>
      </c>
      <c r="H2165" s="11">
        <f t="shared" si="33"/>
        <v>0.9688934389470949</v>
      </c>
    </row>
    <row r="2166" spans="1:8" ht="15" customHeight="1" x14ac:dyDescent="0.25">
      <c r="A2166" s="5">
        <v>2160</v>
      </c>
      <c r="B2166" s="10" t="s">
        <v>4311</v>
      </c>
      <c r="C2166" s="10" t="s">
        <v>4312</v>
      </c>
      <c r="D2166" s="7">
        <v>568.6</v>
      </c>
      <c r="E2166" s="5">
        <v>430</v>
      </c>
      <c r="F2166" s="5">
        <v>61</v>
      </c>
      <c r="G2166" s="12">
        <f>SUM($D$7:D2166)</f>
        <v>10335449.270000037</v>
      </c>
      <c r="H2166" s="11">
        <f t="shared" si="33"/>
        <v>0.9689467451077538</v>
      </c>
    </row>
    <row r="2167" spans="1:8" ht="15" customHeight="1" x14ac:dyDescent="0.25">
      <c r="A2167" s="5">
        <v>2161</v>
      </c>
      <c r="B2167" s="10" t="s">
        <v>4313</v>
      </c>
      <c r="C2167" s="10" t="s">
        <v>4314</v>
      </c>
      <c r="D2167" s="7">
        <v>568.13</v>
      </c>
      <c r="E2167" s="5">
        <v>61</v>
      </c>
      <c r="F2167" s="5">
        <v>43</v>
      </c>
      <c r="G2167" s="12">
        <f>SUM($D$7:D2167)</f>
        <v>10336017.400000038</v>
      </c>
      <c r="H2167" s="11">
        <f t="shared" si="33"/>
        <v>0.96900000720598656</v>
      </c>
    </row>
    <row r="2168" spans="1:8" ht="15" customHeight="1" x14ac:dyDescent="0.25">
      <c r="A2168" s="5">
        <v>2162</v>
      </c>
      <c r="B2168" s="10" t="s">
        <v>4315</v>
      </c>
      <c r="C2168" s="10" t="s">
        <v>4316</v>
      </c>
      <c r="D2168" s="7">
        <v>567.95000000000005</v>
      </c>
      <c r="E2168" s="5">
        <v>1509</v>
      </c>
      <c r="F2168" s="5">
        <v>80</v>
      </c>
      <c r="G2168" s="12">
        <f>SUM($D$7:D2168)</f>
        <v>10336585.350000037</v>
      </c>
      <c r="H2168" s="11">
        <f t="shared" si="33"/>
        <v>0.96905325242924745</v>
      </c>
    </row>
    <row r="2169" spans="1:8" ht="15" customHeight="1" x14ac:dyDescent="0.25">
      <c r="A2169" s="5">
        <v>2163</v>
      </c>
      <c r="B2169" s="10" t="s">
        <v>3018</v>
      </c>
      <c r="C2169" s="10" t="s">
        <v>4317</v>
      </c>
      <c r="D2169" s="7">
        <v>567.76</v>
      </c>
      <c r="E2169" s="5">
        <v>780</v>
      </c>
      <c r="F2169" s="5">
        <v>147</v>
      </c>
      <c r="G2169" s="12">
        <f>SUM($D$7:D2169)</f>
        <v>10337153.110000037</v>
      </c>
      <c r="H2169" s="11">
        <f t="shared" si="33"/>
        <v>0.96910647984003839</v>
      </c>
    </row>
    <row r="2170" spans="1:8" ht="15" customHeight="1" x14ac:dyDescent="0.25">
      <c r="A2170" s="5">
        <v>2164</v>
      </c>
      <c r="B2170" s="10" t="s">
        <v>4318</v>
      </c>
      <c r="C2170" s="10" t="s">
        <v>4319</v>
      </c>
      <c r="D2170" s="7">
        <v>566.17999999999995</v>
      </c>
      <c r="E2170" s="5">
        <v>110</v>
      </c>
      <c r="F2170" s="5">
        <v>30</v>
      </c>
      <c r="G2170" s="12">
        <f>SUM($D$7:D2170)</f>
        <v>10337719.290000036</v>
      </c>
      <c r="H2170" s="11">
        <f t="shared" si="33"/>
        <v>0.96915955912607743</v>
      </c>
    </row>
    <row r="2171" spans="1:8" ht="15" customHeight="1" x14ac:dyDescent="0.25">
      <c r="A2171" s="5">
        <v>2165</v>
      </c>
      <c r="B2171" s="10" t="s">
        <v>4320</v>
      </c>
      <c r="C2171" s="10" t="s">
        <v>4321</v>
      </c>
      <c r="D2171" s="7">
        <v>566.16999999999996</v>
      </c>
      <c r="E2171" s="5">
        <v>69</v>
      </c>
      <c r="F2171" s="5">
        <v>16</v>
      </c>
      <c r="G2171" s="12">
        <f>SUM($D$7:D2171)</f>
        <v>10338285.460000036</v>
      </c>
      <c r="H2171" s="11">
        <f t="shared" si="33"/>
        <v>0.96921263747461806</v>
      </c>
    </row>
    <row r="2172" spans="1:8" ht="15" customHeight="1" x14ac:dyDescent="0.25">
      <c r="A2172" s="5">
        <v>2166</v>
      </c>
      <c r="B2172" s="10" t="s">
        <v>4322</v>
      </c>
      <c r="C2172" s="10" t="s">
        <v>4323</v>
      </c>
      <c r="D2172" s="7">
        <v>565.86</v>
      </c>
      <c r="E2172" s="5">
        <v>478</v>
      </c>
      <c r="F2172" s="5">
        <v>53</v>
      </c>
      <c r="G2172" s="12">
        <f>SUM($D$7:D2172)</f>
        <v>10338851.320000036</v>
      </c>
      <c r="H2172" s="11">
        <f t="shared" si="33"/>
        <v>0.96926568676070746</v>
      </c>
    </row>
    <row r="2173" spans="1:8" ht="15" customHeight="1" x14ac:dyDescent="0.25">
      <c r="A2173" s="5">
        <v>2167</v>
      </c>
      <c r="B2173" s="10" t="s">
        <v>4324</v>
      </c>
      <c r="C2173" s="10" t="s">
        <v>4325</v>
      </c>
      <c r="D2173" s="7">
        <v>564.91999999999996</v>
      </c>
      <c r="E2173" s="5">
        <v>196</v>
      </c>
      <c r="F2173" s="5">
        <v>48</v>
      </c>
      <c r="G2173" s="12">
        <f>SUM($D$7:D2173)</f>
        <v>10339416.240000036</v>
      </c>
      <c r="H2173" s="11">
        <f t="shared" si="33"/>
        <v>0.96931864792194455</v>
      </c>
    </row>
    <row r="2174" spans="1:8" ht="15" customHeight="1" x14ac:dyDescent="0.25">
      <c r="A2174" s="5">
        <v>2168</v>
      </c>
      <c r="B2174" s="10" t="s">
        <v>4326</v>
      </c>
      <c r="C2174" s="10" t="s">
        <v>4327</v>
      </c>
      <c r="D2174" s="7">
        <v>564.35</v>
      </c>
      <c r="E2174" s="5">
        <v>414</v>
      </c>
      <c r="F2174" s="5">
        <v>33</v>
      </c>
      <c r="G2174" s="12">
        <f>SUM($D$7:D2174)</f>
        <v>10339980.590000035</v>
      </c>
      <c r="H2174" s="11">
        <f t="shared" si="33"/>
        <v>0.96937155564577115</v>
      </c>
    </row>
    <row r="2175" spans="1:8" ht="15" customHeight="1" x14ac:dyDescent="0.25">
      <c r="A2175" s="5">
        <v>2169</v>
      </c>
      <c r="B2175" s="10" t="s">
        <v>4328</v>
      </c>
      <c r="C2175" s="10" t="s">
        <v>4329</v>
      </c>
      <c r="D2175" s="7">
        <v>562.22</v>
      </c>
      <c r="E2175" s="5">
        <v>364</v>
      </c>
      <c r="F2175" s="5">
        <v>44</v>
      </c>
      <c r="G2175" s="12">
        <f>SUM($D$7:D2175)</f>
        <v>10340542.810000036</v>
      </c>
      <c r="H2175" s="11">
        <f t="shared" si="33"/>
        <v>0.96942426368243251</v>
      </c>
    </row>
    <row r="2176" spans="1:8" ht="15" customHeight="1" x14ac:dyDescent="0.25">
      <c r="A2176" s="5">
        <v>2170</v>
      </c>
      <c r="B2176" s="10" t="s">
        <v>4330</v>
      </c>
      <c r="C2176" s="10" t="s">
        <v>4331</v>
      </c>
      <c r="D2176" s="7">
        <v>561.87</v>
      </c>
      <c r="E2176" s="5">
        <v>468</v>
      </c>
      <c r="F2176" s="5">
        <v>98</v>
      </c>
      <c r="G2176" s="12">
        <f>SUM($D$7:D2176)</f>
        <v>10341104.680000035</v>
      </c>
      <c r="H2176" s="11">
        <f t="shared" si="33"/>
        <v>0.96947693890664877</v>
      </c>
    </row>
    <row r="2177" spans="1:8" ht="15" customHeight="1" x14ac:dyDescent="0.25">
      <c r="A2177" s="5">
        <v>2171</v>
      </c>
      <c r="B2177" s="10" t="s">
        <v>4332</v>
      </c>
      <c r="C2177" s="10" t="s">
        <v>4333</v>
      </c>
      <c r="D2177" s="7">
        <v>561.84</v>
      </c>
      <c r="E2177" s="5">
        <v>448</v>
      </c>
      <c r="F2177" s="5">
        <v>89</v>
      </c>
      <c r="G2177" s="12">
        <f>SUM($D$7:D2177)</f>
        <v>10341666.520000035</v>
      </c>
      <c r="H2177" s="11">
        <f t="shared" si="33"/>
        <v>0.96952961131836979</v>
      </c>
    </row>
    <row r="2178" spans="1:8" ht="15" customHeight="1" x14ac:dyDescent="0.25">
      <c r="A2178" s="5">
        <v>2172</v>
      </c>
      <c r="B2178" s="10" t="s">
        <v>4334</v>
      </c>
      <c r="C2178" s="10" t="s">
        <v>4335</v>
      </c>
      <c r="D2178" s="7">
        <v>561.34</v>
      </c>
      <c r="E2178" s="5">
        <v>687</v>
      </c>
      <c r="F2178" s="5">
        <v>93</v>
      </c>
      <c r="G2178" s="12">
        <f>SUM($D$7:D2178)</f>
        <v>10342227.860000035</v>
      </c>
      <c r="H2178" s="11">
        <f t="shared" si="33"/>
        <v>0.96958223685516942</v>
      </c>
    </row>
    <row r="2179" spans="1:8" ht="15" customHeight="1" x14ac:dyDescent="0.25">
      <c r="A2179" s="5">
        <v>2173</v>
      </c>
      <c r="B2179" s="10" t="s">
        <v>4336</v>
      </c>
      <c r="C2179" s="10" t="s">
        <v>4337</v>
      </c>
      <c r="D2179" s="7">
        <v>561.32000000000005</v>
      </c>
      <c r="E2179" s="5">
        <v>176</v>
      </c>
      <c r="F2179" s="5">
        <v>38</v>
      </c>
      <c r="G2179" s="12">
        <f>SUM($D$7:D2179)</f>
        <v>10342789.180000035</v>
      </c>
      <c r="H2179" s="11">
        <f t="shared" si="33"/>
        <v>0.96963486051697223</v>
      </c>
    </row>
    <row r="2180" spans="1:8" ht="15" customHeight="1" x14ac:dyDescent="0.25">
      <c r="A2180" s="5">
        <v>2174</v>
      </c>
      <c r="B2180" s="10" t="s">
        <v>4338</v>
      </c>
      <c r="C2180" s="10" t="s">
        <v>4339</v>
      </c>
      <c r="D2180" s="7">
        <v>560.92999999999995</v>
      </c>
      <c r="E2180" s="5">
        <v>319</v>
      </c>
      <c r="F2180" s="5">
        <v>48</v>
      </c>
      <c r="G2180" s="12">
        <f>SUM($D$7:D2180)</f>
        <v>10343350.110000035</v>
      </c>
      <c r="H2180" s="11">
        <f t="shared" si="33"/>
        <v>0.96968744761633618</v>
      </c>
    </row>
    <row r="2181" spans="1:8" ht="15" customHeight="1" x14ac:dyDescent="0.25">
      <c r="A2181" s="5">
        <v>2175</v>
      </c>
      <c r="B2181" s="10" t="s">
        <v>4340</v>
      </c>
      <c r="C2181" s="10" t="s">
        <v>4341</v>
      </c>
      <c r="D2181" s="7">
        <v>560.62</v>
      </c>
      <c r="E2181" s="5">
        <v>156</v>
      </c>
      <c r="F2181" s="5">
        <v>74</v>
      </c>
      <c r="G2181" s="12">
        <f>SUM($D$7:D2181)</f>
        <v>10343910.730000034</v>
      </c>
      <c r="H2181" s="11">
        <f t="shared" si="33"/>
        <v>0.9697400056532488</v>
      </c>
    </row>
    <row r="2182" spans="1:8" ht="15" customHeight="1" x14ac:dyDescent="0.25">
      <c r="A2182" s="5">
        <v>2176</v>
      </c>
      <c r="B2182" s="10" t="s">
        <v>4342</v>
      </c>
      <c r="C2182" s="10" t="s">
        <v>4343</v>
      </c>
      <c r="D2182" s="7">
        <v>560.11</v>
      </c>
      <c r="E2182" s="5">
        <v>563</v>
      </c>
      <c r="F2182" s="5">
        <v>42</v>
      </c>
      <c r="G2182" s="12">
        <f>SUM($D$7:D2182)</f>
        <v>10344470.840000033</v>
      </c>
      <c r="H2182" s="11">
        <f t="shared" si="33"/>
        <v>0.96979251587774162</v>
      </c>
    </row>
    <row r="2183" spans="1:8" ht="15" customHeight="1" x14ac:dyDescent="0.25">
      <c r="A2183" s="5">
        <v>2177</v>
      </c>
      <c r="B2183" s="10" t="s">
        <v>4344</v>
      </c>
      <c r="C2183" s="10" t="s">
        <v>4345</v>
      </c>
      <c r="D2183" s="7">
        <v>559</v>
      </c>
      <c r="E2183" s="5">
        <v>66</v>
      </c>
      <c r="F2183" s="5">
        <v>32</v>
      </c>
      <c r="G2183" s="12">
        <f>SUM($D$7:D2183)</f>
        <v>10345029.840000033</v>
      </c>
      <c r="H2183" s="11">
        <f t="shared" ref="H2183:H2246" si="34">G2183/SUM($D$7:$D$4167)</f>
        <v>0.96984492203990891</v>
      </c>
    </row>
    <row r="2184" spans="1:8" ht="15" customHeight="1" x14ac:dyDescent="0.25">
      <c r="A2184" s="5">
        <v>2178</v>
      </c>
      <c r="B2184" s="10" t="s">
        <v>4346</v>
      </c>
      <c r="C2184" s="10" t="s">
        <v>4347</v>
      </c>
      <c r="D2184" s="7">
        <v>558.83000000000004</v>
      </c>
      <c r="E2184" s="5">
        <v>175</v>
      </c>
      <c r="F2184" s="5">
        <v>66</v>
      </c>
      <c r="G2184" s="12">
        <f>SUM($D$7:D2184)</f>
        <v>10345588.670000033</v>
      </c>
      <c r="H2184" s="11">
        <f t="shared" si="34"/>
        <v>0.96989731226460285</v>
      </c>
    </row>
    <row r="2185" spans="1:8" ht="15" customHeight="1" x14ac:dyDescent="0.25">
      <c r="A2185" s="5">
        <v>2179</v>
      </c>
      <c r="B2185" s="10" t="s">
        <v>4348</v>
      </c>
      <c r="C2185" s="10" t="s">
        <v>4349</v>
      </c>
      <c r="D2185" s="7">
        <v>558.41999999999996</v>
      </c>
      <c r="E2185" s="5">
        <v>331</v>
      </c>
      <c r="F2185" s="5">
        <v>38</v>
      </c>
      <c r="G2185" s="12">
        <f>SUM($D$7:D2185)</f>
        <v>10346147.090000033</v>
      </c>
      <c r="H2185" s="11">
        <f t="shared" si="34"/>
        <v>0.96994966405186134</v>
      </c>
    </row>
    <row r="2186" spans="1:8" ht="15" customHeight="1" x14ac:dyDescent="0.25">
      <c r="A2186" s="5">
        <v>2180</v>
      </c>
      <c r="B2186" s="10" t="s">
        <v>4350</v>
      </c>
      <c r="C2186" s="10" t="s">
        <v>4351</v>
      </c>
      <c r="D2186" s="7">
        <v>558.12</v>
      </c>
      <c r="E2186" s="5">
        <v>278</v>
      </c>
      <c r="F2186" s="5">
        <v>52</v>
      </c>
      <c r="G2186" s="12">
        <f>SUM($D$7:D2186)</f>
        <v>10346705.210000033</v>
      </c>
      <c r="H2186" s="11">
        <f t="shared" si="34"/>
        <v>0.97000198771416679</v>
      </c>
    </row>
    <row r="2187" spans="1:8" ht="15" customHeight="1" x14ac:dyDescent="0.25">
      <c r="A2187" s="5">
        <v>2181</v>
      </c>
      <c r="B2187" s="10" t="s">
        <v>4352</v>
      </c>
      <c r="C2187" s="10" t="s">
        <v>4353</v>
      </c>
      <c r="D2187" s="7">
        <v>558.07000000000005</v>
      </c>
      <c r="E2187" s="5">
        <v>499</v>
      </c>
      <c r="F2187" s="5">
        <v>65</v>
      </c>
      <c r="G2187" s="12">
        <f>SUM($D$7:D2187)</f>
        <v>10347263.280000033</v>
      </c>
      <c r="H2187" s="11">
        <f t="shared" si="34"/>
        <v>0.97005430668898018</v>
      </c>
    </row>
    <row r="2188" spans="1:8" ht="15" customHeight="1" x14ac:dyDescent="0.25">
      <c r="A2188" s="5">
        <v>2182</v>
      </c>
      <c r="B2188" s="10" t="s">
        <v>4354</v>
      </c>
      <c r="C2188" s="10" t="s">
        <v>4355</v>
      </c>
      <c r="D2188" s="7">
        <v>558.03</v>
      </c>
      <c r="E2188" s="5">
        <v>44</v>
      </c>
      <c r="F2188" s="5">
        <v>26</v>
      </c>
      <c r="G2188" s="12">
        <f>SUM($D$7:D2188)</f>
        <v>10347821.310000032</v>
      </c>
      <c r="H2188" s="11">
        <f t="shared" si="34"/>
        <v>0.97010662191379982</v>
      </c>
    </row>
    <row r="2189" spans="1:8" ht="15" customHeight="1" x14ac:dyDescent="0.25">
      <c r="A2189" s="5">
        <v>2183</v>
      </c>
      <c r="B2189" s="10" t="s">
        <v>4356</v>
      </c>
      <c r="C2189" s="10" t="s">
        <v>4357</v>
      </c>
      <c r="D2189" s="7">
        <v>557.29999999999995</v>
      </c>
      <c r="E2189" s="5">
        <v>86</v>
      </c>
      <c r="F2189" s="5">
        <v>26</v>
      </c>
      <c r="G2189" s="12">
        <f>SUM($D$7:D2189)</f>
        <v>10348378.610000033</v>
      </c>
      <c r="H2189" s="11">
        <f t="shared" si="34"/>
        <v>0.97015886870123424</v>
      </c>
    </row>
    <row r="2190" spans="1:8" ht="15" customHeight="1" x14ac:dyDescent="0.25">
      <c r="A2190" s="5">
        <v>2184</v>
      </c>
      <c r="B2190" s="10" t="s">
        <v>4358</v>
      </c>
      <c r="C2190" s="10" t="s">
        <v>4359</v>
      </c>
      <c r="D2190" s="7">
        <v>556.53</v>
      </c>
      <c r="E2190" s="5">
        <v>337</v>
      </c>
      <c r="F2190" s="5">
        <v>69</v>
      </c>
      <c r="G2190" s="12">
        <f>SUM($D$7:D2190)</f>
        <v>10348935.140000032</v>
      </c>
      <c r="H2190" s="11">
        <f t="shared" si="34"/>
        <v>0.9702110433012896</v>
      </c>
    </row>
    <row r="2191" spans="1:8" ht="15" customHeight="1" x14ac:dyDescent="0.25">
      <c r="A2191" s="5">
        <v>2185</v>
      </c>
      <c r="B2191" s="10" t="s">
        <v>4360</v>
      </c>
      <c r="C2191" s="10" t="s">
        <v>4361</v>
      </c>
      <c r="D2191" s="7">
        <v>555.59</v>
      </c>
      <c r="E2191" s="5">
        <v>250</v>
      </c>
      <c r="F2191" s="5">
        <v>48</v>
      </c>
      <c r="G2191" s="12">
        <f>SUM($D$7:D2191)</f>
        <v>10349490.730000032</v>
      </c>
      <c r="H2191" s="11">
        <f t="shared" si="34"/>
        <v>0.97026312977649265</v>
      </c>
    </row>
    <row r="2192" spans="1:8" ht="15" customHeight="1" x14ac:dyDescent="0.25">
      <c r="A2192" s="5">
        <v>2186</v>
      </c>
      <c r="B2192" s="10" t="s">
        <v>4362</v>
      </c>
      <c r="C2192" s="10" t="s">
        <v>4363</v>
      </c>
      <c r="D2192" s="7">
        <v>554.78</v>
      </c>
      <c r="E2192" s="5">
        <v>451</v>
      </c>
      <c r="F2192" s="5">
        <v>82</v>
      </c>
      <c r="G2192" s="12">
        <f>SUM($D$7:D2192)</f>
        <v>10350045.510000031</v>
      </c>
      <c r="H2192" s="11">
        <f t="shared" si="34"/>
        <v>0.97031514031432287</v>
      </c>
    </row>
    <row r="2193" spans="1:8" ht="15" customHeight="1" x14ac:dyDescent="0.25">
      <c r="A2193" s="5">
        <v>2187</v>
      </c>
      <c r="B2193" s="10" t="s">
        <v>1900</v>
      </c>
      <c r="C2193" s="10" t="s">
        <v>4364</v>
      </c>
      <c r="D2193" s="7">
        <v>554.6</v>
      </c>
      <c r="E2193" s="5">
        <v>172</v>
      </c>
      <c r="F2193" s="5">
        <v>62</v>
      </c>
      <c r="G2193" s="12">
        <f>SUM($D$7:D2193)</f>
        <v>10350600.110000031</v>
      </c>
      <c r="H2193" s="11">
        <f t="shared" si="34"/>
        <v>0.97036713397718144</v>
      </c>
    </row>
    <row r="2194" spans="1:8" ht="15" customHeight="1" x14ac:dyDescent="0.25">
      <c r="A2194" s="5">
        <v>2188</v>
      </c>
      <c r="B2194" s="10" t="s">
        <v>4365</v>
      </c>
      <c r="C2194" s="10" t="s">
        <v>4366</v>
      </c>
      <c r="D2194" s="7">
        <v>553.83000000000004</v>
      </c>
      <c r="E2194" s="5">
        <v>588</v>
      </c>
      <c r="F2194" s="5">
        <v>57</v>
      </c>
      <c r="G2194" s="12">
        <f>SUM($D$7:D2194)</f>
        <v>10351153.940000031</v>
      </c>
      <c r="H2194" s="11">
        <f t="shared" si="34"/>
        <v>0.97041905545266105</v>
      </c>
    </row>
    <row r="2195" spans="1:8" ht="15" customHeight="1" x14ac:dyDescent="0.25">
      <c r="A2195" s="5">
        <v>2189</v>
      </c>
      <c r="B2195" s="10" t="s">
        <v>4367</v>
      </c>
      <c r="C2195" s="10" t="s">
        <v>4368</v>
      </c>
      <c r="D2195" s="7">
        <v>553.79999999999995</v>
      </c>
      <c r="E2195" s="5">
        <v>476</v>
      </c>
      <c r="F2195" s="5">
        <v>93</v>
      </c>
      <c r="G2195" s="12">
        <f>SUM($D$7:D2195)</f>
        <v>10351707.740000032</v>
      </c>
      <c r="H2195" s="11">
        <f t="shared" si="34"/>
        <v>0.97047097411564542</v>
      </c>
    </row>
    <row r="2196" spans="1:8" ht="15" customHeight="1" x14ac:dyDescent="0.25">
      <c r="A2196" s="5">
        <v>2190</v>
      </c>
      <c r="B2196" s="10" t="s">
        <v>4369</v>
      </c>
      <c r="C2196" s="10" t="s">
        <v>4370</v>
      </c>
      <c r="D2196" s="7">
        <v>553.53</v>
      </c>
      <c r="E2196" s="5">
        <v>1267</v>
      </c>
      <c r="F2196" s="5">
        <v>53</v>
      </c>
      <c r="G2196" s="12">
        <f>SUM($D$7:D2196)</f>
        <v>10352261.270000031</v>
      </c>
      <c r="H2196" s="11">
        <f t="shared" si="34"/>
        <v>0.97052286746617211</v>
      </c>
    </row>
    <row r="2197" spans="1:8" ht="15" customHeight="1" x14ac:dyDescent="0.25">
      <c r="A2197" s="5">
        <v>2191</v>
      </c>
      <c r="B2197" s="10" t="s">
        <v>4371</v>
      </c>
      <c r="C2197" s="10" t="s">
        <v>4372</v>
      </c>
      <c r="D2197" s="7">
        <v>553.07000000000005</v>
      </c>
      <c r="E2197" s="5">
        <v>201</v>
      </c>
      <c r="F2197" s="5">
        <v>34</v>
      </c>
      <c r="G2197" s="12">
        <f>SUM($D$7:D2197)</f>
        <v>10352814.340000032</v>
      </c>
      <c r="H2197" s="11">
        <f t="shared" si="34"/>
        <v>0.97057471769177117</v>
      </c>
    </row>
    <row r="2198" spans="1:8" ht="15" customHeight="1" x14ac:dyDescent="0.25">
      <c r="A2198" s="5">
        <v>2192</v>
      </c>
      <c r="B2198" s="10" t="s">
        <v>4373</v>
      </c>
      <c r="C2198" s="10" t="s">
        <v>4374</v>
      </c>
      <c r="D2198" s="7">
        <v>552.85</v>
      </c>
      <c r="E2198" s="5">
        <v>679</v>
      </c>
      <c r="F2198" s="5">
        <v>51</v>
      </c>
      <c r="G2198" s="12">
        <f>SUM($D$7:D2198)</f>
        <v>10353367.190000031</v>
      </c>
      <c r="H2198" s="11">
        <f t="shared" si="34"/>
        <v>0.97062654729240472</v>
      </c>
    </row>
    <row r="2199" spans="1:8" ht="15" customHeight="1" x14ac:dyDescent="0.25">
      <c r="A2199" s="5">
        <v>2193</v>
      </c>
      <c r="B2199" s="10" t="s">
        <v>4375</v>
      </c>
      <c r="C2199" s="10" t="s">
        <v>4376</v>
      </c>
      <c r="D2199" s="7">
        <v>552.76</v>
      </c>
      <c r="E2199" s="5">
        <v>286</v>
      </c>
      <c r="F2199" s="5">
        <v>105</v>
      </c>
      <c r="G2199" s="12">
        <f>SUM($D$7:D2199)</f>
        <v>10353919.950000031</v>
      </c>
      <c r="H2199" s="11">
        <f t="shared" si="34"/>
        <v>0.97067836845555244</v>
      </c>
    </row>
    <row r="2200" spans="1:8" ht="15" customHeight="1" x14ac:dyDescent="0.25">
      <c r="A2200" s="5">
        <v>2194</v>
      </c>
      <c r="B2200" s="10" t="s">
        <v>4377</v>
      </c>
      <c r="C2200" s="10" t="s">
        <v>4378</v>
      </c>
      <c r="D2200" s="7">
        <v>551.96</v>
      </c>
      <c r="E2200" s="5">
        <v>249</v>
      </c>
      <c r="F2200" s="5">
        <v>40</v>
      </c>
      <c r="G2200" s="12">
        <f>SUM($D$7:D2200)</f>
        <v>10354471.910000032</v>
      </c>
      <c r="H2200" s="11">
        <f t="shared" si="34"/>
        <v>0.97073011461882597</v>
      </c>
    </row>
    <row r="2201" spans="1:8" ht="15" customHeight="1" x14ac:dyDescent="0.25">
      <c r="A2201" s="5">
        <v>2195</v>
      </c>
      <c r="B2201" s="10" t="s">
        <v>4379</v>
      </c>
      <c r="C2201" s="10" t="s">
        <v>4380</v>
      </c>
      <c r="D2201" s="7">
        <v>551.13</v>
      </c>
      <c r="E2201" s="5">
        <v>366</v>
      </c>
      <c r="F2201" s="5">
        <v>69</v>
      </c>
      <c r="G2201" s="12">
        <f>SUM($D$7:D2201)</f>
        <v>10355023.040000033</v>
      </c>
      <c r="H2201" s="11">
        <f t="shared" si="34"/>
        <v>0.97078178296972994</v>
      </c>
    </row>
    <row r="2202" spans="1:8" ht="15" customHeight="1" x14ac:dyDescent="0.25">
      <c r="A2202" s="5">
        <v>2196</v>
      </c>
      <c r="B2202" s="10" t="s">
        <v>4381</v>
      </c>
      <c r="C2202" s="10" t="s">
        <v>4382</v>
      </c>
      <c r="D2202" s="7">
        <v>551.13</v>
      </c>
      <c r="E2202" s="5">
        <v>217</v>
      </c>
      <c r="F2202" s="5">
        <v>27</v>
      </c>
      <c r="G2202" s="12">
        <f>SUM($D$7:D2202)</f>
        <v>10355574.170000033</v>
      </c>
      <c r="H2202" s="11">
        <f t="shared" si="34"/>
        <v>0.97083345132063381</v>
      </c>
    </row>
    <row r="2203" spans="1:8" ht="15" customHeight="1" x14ac:dyDescent="0.25">
      <c r="A2203" s="5">
        <v>2197</v>
      </c>
      <c r="B2203" s="10" t="s">
        <v>4383</v>
      </c>
      <c r="C2203" s="10" t="s">
        <v>4384</v>
      </c>
      <c r="D2203" s="7">
        <v>550.64</v>
      </c>
      <c r="E2203" s="5">
        <v>463</v>
      </c>
      <c r="F2203" s="5">
        <v>97</v>
      </c>
      <c r="G2203" s="12">
        <f>SUM($D$7:D2203)</f>
        <v>10356124.810000034</v>
      </c>
      <c r="H2203" s="11">
        <f t="shared" si="34"/>
        <v>0.9708850737341147</v>
      </c>
    </row>
    <row r="2204" spans="1:8" ht="15" customHeight="1" x14ac:dyDescent="0.25">
      <c r="A2204" s="5">
        <v>2198</v>
      </c>
      <c r="B2204" s="10" t="s">
        <v>4385</v>
      </c>
      <c r="C2204" s="10" t="s">
        <v>4386</v>
      </c>
      <c r="D2204" s="7">
        <v>550.6</v>
      </c>
      <c r="E2204" s="5">
        <v>193</v>
      </c>
      <c r="F2204" s="5">
        <v>59</v>
      </c>
      <c r="G2204" s="12">
        <f>SUM($D$7:D2204)</f>
        <v>10356675.410000034</v>
      </c>
      <c r="H2204" s="11">
        <f t="shared" si="34"/>
        <v>0.97093669239760183</v>
      </c>
    </row>
    <row r="2205" spans="1:8" ht="15" customHeight="1" x14ac:dyDescent="0.25">
      <c r="A2205" s="5">
        <v>2199</v>
      </c>
      <c r="B2205" s="10" t="s">
        <v>4387</v>
      </c>
      <c r="C2205" s="10" t="s">
        <v>4388</v>
      </c>
      <c r="D2205" s="7">
        <v>550.42999999999995</v>
      </c>
      <c r="E2205" s="5">
        <v>1075</v>
      </c>
      <c r="F2205" s="5">
        <v>65</v>
      </c>
      <c r="G2205" s="12">
        <f>SUM($D$7:D2205)</f>
        <v>10357225.840000033</v>
      </c>
      <c r="H2205" s="11">
        <f t="shared" si="34"/>
        <v>0.97098829512361562</v>
      </c>
    </row>
    <row r="2206" spans="1:8" ht="15" customHeight="1" x14ac:dyDescent="0.25">
      <c r="A2206" s="5">
        <v>2200</v>
      </c>
      <c r="B2206" s="10" t="s">
        <v>4389</v>
      </c>
      <c r="C2206" s="10" t="s">
        <v>4390</v>
      </c>
      <c r="D2206" s="7">
        <v>550</v>
      </c>
      <c r="E2206" s="5">
        <v>136</v>
      </c>
      <c r="F2206" s="5">
        <v>34</v>
      </c>
      <c r="G2206" s="12">
        <f>SUM($D$7:D2206)</f>
        <v>10357775.840000033</v>
      </c>
      <c r="H2206" s="11">
        <f t="shared" si="34"/>
        <v>0.97103985753719702</v>
      </c>
    </row>
    <row r="2207" spans="1:8" ht="15" customHeight="1" x14ac:dyDescent="0.25">
      <c r="A2207" s="5">
        <v>2201</v>
      </c>
      <c r="B2207" s="10" t="s">
        <v>4391</v>
      </c>
      <c r="C2207" s="10" t="s">
        <v>4392</v>
      </c>
      <c r="D2207" s="7">
        <v>549.80999999999995</v>
      </c>
      <c r="E2207" s="5">
        <v>585</v>
      </c>
      <c r="F2207" s="5">
        <v>107</v>
      </c>
      <c r="G2207" s="12">
        <f>SUM($D$7:D2207)</f>
        <v>10358325.650000034</v>
      </c>
      <c r="H2207" s="11">
        <f t="shared" si="34"/>
        <v>0.97109140213830825</v>
      </c>
    </row>
    <row r="2208" spans="1:8" ht="15" customHeight="1" x14ac:dyDescent="0.25">
      <c r="A2208" s="5">
        <v>2202</v>
      </c>
      <c r="B2208" s="10" t="s">
        <v>995</v>
      </c>
      <c r="C2208" s="10" t="s">
        <v>4393</v>
      </c>
      <c r="D2208" s="7">
        <v>548.63</v>
      </c>
      <c r="E2208" s="5">
        <v>233</v>
      </c>
      <c r="F2208" s="5">
        <v>18</v>
      </c>
      <c r="G2208" s="12">
        <f>SUM($D$7:D2208)</f>
        <v>10358874.280000035</v>
      </c>
      <c r="H2208" s="11">
        <f t="shared" si="34"/>
        <v>0.97114283611460506</v>
      </c>
    </row>
    <row r="2209" spans="1:8" ht="15" customHeight="1" x14ac:dyDescent="0.25">
      <c r="A2209" s="5">
        <v>2203</v>
      </c>
      <c r="B2209" s="10" t="s">
        <v>4394</v>
      </c>
      <c r="C2209" s="10" t="s">
        <v>4395</v>
      </c>
      <c r="D2209" s="7">
        <v>548.1</v>
      </c>
      <c r="E2209" s="5">
        <v>1305</v>
      </c>
      <c r="F2209" s="5">
        <v>52</v>
      </c>
      <c r="G2209" s="12">
        <f>SUM($D$7:D2209)</f>
        <v>10359422.380000034</v>
      </c>
      <c r="H2209" s="11">
        <f t="shared" si="34"/>
        <v>0.97119422040348491</v>
      </c>
    </row>
    <row r="2210" spans="1:8" ht="15" customHeight="1" x14ac:dyDescent="0.25">
      <c r="A2210" s="5">
        <v>2204</v>
      </c>
      <c r="B2210" s="10" t="s">
        <v>4396</v>
      </c>
      <c r="C2210" s="10" t="s">
        <v>4397</v>
      </c>
      <c r="D2210" s="7">
        <v>546.6</v>
      </c>
      <c r="E2210" s="5">
        <v>68</v>
      </c>
      <c r="F2210" s="5">
        <v>36</v>
      </c>
      <c r="G2210" s="12">
        <f>SUM($D$7:D2210)</f>
        <v>10359968.980000034</v>
      </c>
      <c r="H2210" s="11">
        <f t="shared" si="34"/>
        <v>0.97124546406760048</v>
      </c>
    </row>
    <row r="2211" spans="1:8" ht="15" customHeight="1" x14ac:dyDescent="0.25">
      <c r="A2211" s="5">
        <v>2205</v>
      </c>
      <c r="B2211" s="10" t="s">
        <v>4398</v>
      </c>
      <c r="C2211" s="10" t="s">
        <v>4399</v>
      </c>
      <c r="D2211" s="7">
        <v>546.49</v>
      </c>
      <c r="E2211" s="5">
        <v>251</v>
      </c>
      <c r="F2211" s="5">
        <v>27</v>
      </c>
      <c r="G2211" s="12">
        <f>SUM($D$7:D2211)</f>
        <v>10360515.470000034</v>
      </c>
      <c r="H2211" s="11">
        <f t="shared" si="34"/>
        <v>0.97129669741923341</v>
      </c>
    </row>
    <row r="2212" spans="1:8" ht="15" customHeight="1" x14ac:dyDescent="0.25">
      <c r="A2212" s="5">
        <v>2206</v>
      </c>
      <c r="B2212" s="10" t="s">
        <v>4400</v>
      </c>
      <c r="C2212" s="10" t="s">
        <v>4401</v>
      </c>
      <c r="D2212" s="7">
        <v>546.04</v>
      </c>
      <c r="E2212" s="5">
        <v>1975</v>
      </c>
      <c r="F2212" s="5">
        <v>99</v>
      </c>
      <c r="G2212" s="12">
        <f>SUM($D$7:D2212)</f>
        <v>10361061.510000033</v>
      </c>
      <c r="H2212" s="11">
        <f t="shared" si="34"/>
        <v>0.97134788858343701</v>
      </c>
    </row>
    <row r="2213" spans="1:8" ht="15" customHeight="1" x14ac:dyDescent="0.25">
      <c r="A2213" s="5">
        <v>2207</v>
      </c>
      <c r="B2213" s="10" t="s">
        <v>4402</v>
      </c>
      <c r="C2213" s="10" t="s">
        <v>4403</v>
      </c>
      <c r="D2213" s="7">
        <v>543.76</v>
      </c>
      <c r="E2213" s="5">
        <v>1218</v>
      </c>
      <c r="F2213" s="5">
        <v>146</v>
      </c>
      <c r="G2213" s="12">
        <f>SUM($D$7:D2213)</f>
        <v>10361605.270000033</v>
      </c>
      <c r="H2213" s="11">
        <f t="shared" si="34"/>
        <v>0.97139886599799874</v>
      </c>
    </row>
    <row r="2214" spans="1:8" ht="15" customHeight="1" x14ac:dyDescent="0.25">
      <c r="A2214" s="5">
        <v>2208</v>
      </c>
      <c r="B2214" s="10" t="s">
        <v>4404</v>
      </c>
      <c r="C2214" s="10" t="s">
        <v>4405</v>
      </c>
      <c r="D2214" s="7">
        <v>543.65</v>
      </c>
      <c r="E2214" s="5">
        <v>153</v>
      </c>
      <c r="F2214" s="5">
        <v>67</v>
      </c>
      <c r="G2214" s="12">
        <f>SUM($D$7:D2214)</f>
        <v>10362148.920000033</v>
      </c>
      <c r="H2214" s="11">
        <f t="shared" si="34"/>
        <v>0.97144983310007793</v>
      </c>
    </row>
    <row r="2215" spans="1:8" ht="15" customHeight="1" x14ac:dyDescent="0.25">
      <c r="A2215" s="5">
        <v>2209</v>
      </c>
      <c r="B2215" s="10" t="s">
        <v>4406</v>
      </c>
      <c r="C2215" s="10" t="s">
        <v>4407</v>
      </c>
      <c r="D2215" s="7">
        <v>538.75</v>
      </c>
      <c r="E2215" s="5">
        <v>610</v>
      </c>
      <c r="F2215" s="5">
        <v>69</v>
      </c>
      <c r="G2215" s="12">
        <f>SUM($D$7:D2215)</f>
        <v>10362687.670000033</v>
      </c>
      <c r="H2215" s="11">
        <f t="shared" si="34"/>
        <v>0.97150034082792702</v>
      </c>
    </row>
    <row r="2216" spans="1:8" ht="15" customHeight="1" x14ac:dyDescent="0.25">
      <c r="A2216" s="5">
        <v>2210</v>
      </c>
      <c r="B2216" s="10" t="s">
        <v>4408</v>
      </c>
      <c r="C2216" s="10" t="s">
        <v>4409</v>
      </c>
      <c r="D2216" s="7">
        <v>538.05999999999995</v>
      </c>
      <c r="E2216" s="5">
        <v>254</v>
      </c>
      <c r="F2216" s="5">
        <v>79</v>
      </c>
      <c r="G2216" s="12">
        <f>SUM($D$7:D2216)</f>
        <v>10363225.730000034</v>
      </c>
      <c r="H2216" s="11">
        <f t="shared" si="34"/>
        <v>0.97155078386838456</v>
      </c>
    </row>
    <row r="2217" spans="1:8" ht="15" customHeight="1" x14ac:dyDescent="0.25">
      <c r="A2217" s="5">
        <v>2211</v>
      </c>
      <c r="B2217" s="10" t="s">
        <v>4410</v>
      </c>
      <c r="C2217" s="10" t="s">
        <v>4411</v>
      </c>
      <c r="D2217" s="7">
        <v>536.41</v>
      </c>
      <c r="E2217" s="5">
        <v>449</v>
      </c>
      <c r="F2217" s="5">
        <v>35</v>
      </c>
      <c r="G2217" s="12">
        <f>SUM($D$7:D2217)</f>
        <v>10363762.140000034</v>
      </c>
      <c r="H2217" s="11">
        <f t="shared" si="34"/>
        <v>0.9716010722216013</v>
      </c>
    </row>
    <row r="2218" spans="1:8" ht="15" customHeight="1" x14ac:dyDescent="0.25">
      <c r="A2218" s="5">
        <v>2212</v>
      </c>
      <c r="B2218" s="10" t="s">
        <v>4412</v>
      </c>
      <c r="C2218" s="10" t="s">
        <v>4413</v>
      </c>
      <c r="D2218" s="7">
        <v>535.78</v>
      </c>
      <c r="E2218" s="5">
        <v>1229</v>
      </c>
      <c r="F2218" s="5">
        <v>131</v>
      </c>
      <c r="G2218" s="12">
        <f>SUM($D$7:D2218)</f>
        <v>10364297.920000033</v>
      </c>
      <c r="H2218" s="11">
        <f t="shared" si="34"/>
        <v>0.97165130151241685</v>
      </c>
    </row>
    <row r="2219" spans="1:8" ht="15" customHeight="1" x14ac:dyDescent="0.25">
      <c r="A2219" s="5">
        <v>2213</v>
      </c>
      <c r="B2219" s="10" t="s">
        <v>4414</v>
      </c>
      <c r="C2219" s="10" t="s">
        <v>4415</v>
      </c>
      <c r="D2219" s="7">
        <v>535.49</v>
      </c>
      <c r="E2219" s="5">
        <v>697</v>
      </c>
      <c r="F2219" s="5">
        <v>111</v>
      </c>
      <c r="G2219" s="12">
        <f>SUM($D$7:D2219)</f>
        <v>10364833.410000034</v>
      </c>
      <c r="H2219" s="11">
        <f t="shared" si="34"/>
        <v>0.97170150361577823</v>
      </c>
    </row>
    <row r="2220" spans="1:8" ht="15" customHeight="1" x14ac:dyDescent="0.25">
      <c r="A2220" s="5">
        <v>2214</v>
      </c>
      <c r="B2220" s="10" t="s">
        <v>4416</v>
      </c>
      <c r="C2220" s="10" t="s">
        <v>4417</v>
      </c>
      <c r="D2220" s="7">
        <v>534.83000000000004</v>
      </c>
      <c r="E2220" s="5">
        <v>259</v>
      </c>
      <c r="F2220" s="5">
        <v>51</v>
      </c>
      <c r="G2220" s="12">
        <f>SUM($D$7:D2220)</f>
        <v>10365368.240000034</v>
      </c>
      <c r="H2220" s="11">
        <f t="shared" si="34"/>
        <v>0.97175164384424317</v>
      </c>
    </row>
    <row r="2221" spans="1:8" ht="15" customHeight="1" x14ac:dyDescent="0.25">
      <c r="A2221" s="5">
        <v>2215</v>
      </c>
      <c r="B2221" s="10" t="s">
        <v>4418</v>
      </c>
      <c r="C2221" s="10" t="s">
        <v>4419</v>
      </c>
      <c r="D2221" s="7">
        <v>534.66</v>
      </c>
      <c r="E2221" s="5">
        <v>306</v>
      </c>
      <c r="F2221" s="5">
        <v>42</v>
      </c>
      <c r="G2221" s="12">
        <f>SUM($D$7:D2221)</f>
        <v>10365902.900000034</v>
      </c>
      <c r="H2221" s="11">
        <f t="shared" si="34"/>
        <v>0.97180176813523489</v>
      </c>
    </row>
    <row r="2222" spans="1:8" ht="15" customHeight="1" x14ac:dyDescent="0.25">
      <c r="A2222" s="5">
        <v>2216</v>
      </c>
      <c r="B2222" s="10" t="s">
        <v>4420</v>
      </c>
      <c r="C2222" s="10" t="s">
        <v>3489</v>
      </c>
      <c r="D2222" s="7">
        <v>534.66</v>
      </c>
      <c r="E2222" s="5">
        <v>162</v>
      </c>
      <c r="F2222" s="5">
        <v>35</v>
      </c>
      <c r="G2222" s="12">
        <f>SUM($D$7:D2222)</f>
        <v>10366437.560000034</v>
      </c>
      <c r="H2222" s="11">
        <f t="shared" si="34"/>
        <v>0.9718518924262266</v>
      </c>
    </row>
    <row r="2223" spans="1:8" ht="15" customHeight="1" x14ac:dyDescent="0.25">
      <c r="A2223" s="5">
        <v>2217</v>
      </c>
      <c r="B2223" s="10" t="s">
        <v>4421</v>
      </c>
      <c r="C2223" s="10" t="s">
        <v>4422</v>
      </c>
      <c r="D2223" s="7">
        <v>533.16</v>
      </c>
      <c r="E2223" s="5">
        <v>618</v>
      </c>
      <c r="F2223" s="5">
        <v>104</v>
      </c>
      <c r="G2223" s="12">
        <f>SUM($D$7:D2223)</f>
        <v>10366970.720000034</v>
      </c>
      <c r="H2223" s="11">
        <f t="shared" si="34"/>
        <v>0.97190187609245393</v>
      </c>
    </row>
    <row r="2224" spans="1:8" ht="15" customHeight="1" x14ac:dyDescent="0.25">
      <c r="A2224" s="5">
        <v>2218</v>
      </c>
      <c r="B2224" s="10" t="s">
        <v>4423</v>
      </c>
      <c r="C2224" s="10" t="s">
        <v>4424</v>
      </c>
      <c r="D2224" s="7">
        <v>531.64</v>
      </c>
      <c r="E2224" s="5">
        <v>1455</v>
      </c>
      <c r="F2224" s="5">
        <v>55</v>
      </c>
      <c r="G2224" s="12">
        <f>SUM($D$7:D2224)</f>
        <v>10367502.360000035</v>
      </c>
      <c r="H2224" s="11">
        <f t="shared" si="34"/>
        <v>0.97195171725892027</v>
      </c>
    </row>
    <row r="2225" spans="1:8" ht="15" customHeight="1" x14ac:dyDescent="0.25">
      <c r="A2225" s="5">
        <v>2219</v>
      </c>
      <c r="B2225" s="10" t="s">
        <v>4425</v>
      </c>
      <c r="C2225" s="10" t="s">
        <v>4426</v>
      </c>
      <c r="D2225" s="7">
        <v>530.6</v>
      </c>
      <c r="E2225" s="5">
        <v>448</v>
      </c>
      <c r="F2225" s="5">
        <v>94</v>
      </c>
      <c r="G2225" s="12">
        <f>SUM($D$7:D2225)</f>
        <v>10368032.960000034</v>
      </c>
      <c r="H2225" s="11">
        <f t="shared" si="34"/>
        <v>0.97200146092554984</v>
      </c>
    </row>
    <row r="2226" spans="1:8" ht="15" customHeight="1" x14ac:dyDescent="0.25">
      <c r="A2226" s="5">
        <v>2220</v>
      </c>
      <c r="B2226" s="10" t="s">
        <v>4427</v>
      </c>
      <c r="C2226" s="10" t="s">
        <v>4428</v>
      </c>
      <c r="D2226" s="7">
        <v>530.49</v>
      </c>
      <c r="E2226" s="5">
        <v>103</v>
      </c>
      <c r="F2226" s="5">
        <v>44</v>
      </c>
      <c r="G2226" s="12">
        <f>SUM($D$7:D2226)</f>
        <v>10368563.450000035</v>
      </c>
      <c r="H2226" s="11">
        <f t="shared" si="34"/>
        <v>0.97205119427969677</v>
      </c>
    </row>
    <row r="2227" spans="1:8" ht="15" customHeight="1" x14ac:dyDescent="0.25">
      <c r="A2227" s="5">
        <v>2221</v>
      </c>
      <c r="B2227" s="10" t="s">
        <v>4429</v>
      </c>
      <c r="C2227" s="10" t="s">
        <v>4430</v>
      </c>
      <c r="D2227" s="7">
        <v>530.26</v>
      </c>
      <c r="E2227" s="5">
        <v>1251</v>
      </c>
      <c r="F2227" s="5">
        <v>125</v>
      </c>
      <c r="G2227" s="12">
        <f>SUM($D$7:D2227)</f>
        <v>10369093.710000034</v>
      </c>
      <c r="H2227" s="11">
        <f t="shared" si="34"/>
        <v>0.97210090607137978</v>
      </c>
    </row>
    <row r="2228" spans="1:8" ht="15" customHeight="1" x14ac:dyDescent="0.25">
      <c r="A2228" s="5">
        <v>2222</v>
      </c>
      <c r="B2228" s="10" t="s">
        <v>4431</v>
      </c>
      <c r="C2228" s="10" t="s">
        <v>4432</v>
      </c>
      <c r="D2228" s="7">
        <v>530.19000000000005</v>
      </c>
      <c r="E2228" s="5">
        <v>50</v>
      </c>
      <c r="F2228" s="5">
        <v>36</v>
      </c>
      <c r="G2228" s="12">
        <f>SUM($D$7:D2228)</f>
        <v>10369623.900000034</v>
      </c>
      <c r="H2228" s="11">
        <f t="shared" si="34"/>
        <v>0.97215061130057379</v>
      </c>
    </row>
    <row r="2229" spans="1:8" ht="15" customHeight="1" x14ac:dyDescent="0.25">
      <c r="A2229" s="5">
        <v>2223</v>
      </c>
      <c r="B2229" s="10" t="s">
        <v>4433</v>
      </c>
      <c r="C2229" s="10" t="s">
        <v>4434</v>
      </c>
      <c r="D2229" s="7">
        <v>530.15</v>
      </c>
      <c r="E2229" s="5">
        <v>415</v>
      </c>
      <c r="F2229" s="5">
        <v>27</v>
      </c>
      <c r="G2229" s="12">
        <f>SUM($D$7:D2229)</f>
        <v>10370154.050000034</v>
      </c>
      <c r="H2229" s="11">
        <f t="shared" si="34"/>
        <v>0.97220031277977415</v>
      </c>
    </row>
    <row r="2230" spans="1:8" ht="15" customHeight="1" x14ac:dyDescent="0.25">
      <c r="A2230" s="5">
        <v>2224</v>
      </c>
      <c r="B2230" s="10" t="s">
        <v>4435</v>
      </c>
      <c r="C2230" s="10" t="s">
        <v>4436</v>
      </c>
      <c r="D2230" s="7">
        <v>529.21</v>
      </c>
      <c r="E2230" s="5">
        <v>490</v>
      </c>
      <c r="F2230" s="5">
        <v>15</v>
      </c>
      <c r="G2230" s="12">
        <f>SUM($D$7:D2230)</f>
        <v>10370683.260000035</v>
      </c>
      <c r="H2230" s="11">
        <f t="shared" si="34"/>
        <v>0.9722499261341222</v>
      </c>
    </row>
    <row r="2231" spans="1:8" ht="15" customHeight="1" x14ac:dyDescent="0.25">
      <c r="A2231" s="5">
        <v>2225</v>
      </c>
      <c r="B2231" s="10" t="s">
        <v>4437</v>
      </c>
      <c r="C2231" s="10" t="s">
        <v>4438</v>
      </c>
      <c r="D2231" s="7">
        <v>528.5</v>
      </c>
      <c r="E2231" s="5">
        <v>1325</v>
      </c>
      <c r="F2231" s="5">
        <v>39</v>
      </c>
      <c r="G2231" s="12">
        <f>SUM($D$7:D2231)</f>
        <v>10371211.760000035</v>
      </c>
      <c r="H2231" s="11">
        <f t="shared" si="34"/>
        <v>0.97229947292608176</v>
      </c>
    </row>
    <row r="2232" spans="1:8" ht="15" customHeight="1" x14ac:dyDescent="0.25">
      <c r="A2232" s="5">
        <v>2226</v>
      </c>
      <c r="B2232" s="10" t="s">
        <v>4439</v>
      </c>
      <c r="C2232" s="10" t="s">
        <v>4440</v>
      </c>
      <c r="D2232" s="7">
        <v>528.23</v>
      </c>
      <c r="E2232" s="5">
        <v>611</v>
      </c>
      <c r="F2232" s="5">
        <v>94</v>
      </c>
      <c r="G2232" s="12">
        <f>SUM($D$7:D2232)</f>
        <v>10371739.990000036</v>
      </c>
      <c r="H2232" s="11">
        <f t="shared" si="34"/>
        <v>0.97234899440558387</v>
      </c>
    </row>
    <row r="2233" spans="1:8" ht="15" customHeight="1" x14ac:dyDescent="0.25">
      <c r="A2233" s="5">
        <v>2227</v>
      </c>
      <c r="B2233" s="10" t="s">
        <v>4441</v>
      </c>
      <c r="C2233" s="10" t="s">
        <v>4442</v>
      </c>
      <c r="D2233" s="7">
        <v>528.16999999999996</v>
      </c>
      <c r="E2233" s="5">
        <v>249</v>
      </c>
      <c r="F2233" s="5">
        <v>42</v>
      </c>
      <c r="G2233" s="12">
        <f>SUM($D$7:D2233)</f>
        <v>10372268.160000036</v>
      </c>
      <c r="H2233" s="11">
        <f t="shared" si="34"/>
        <v>0.97239851026009527</v>
      </c>
    </row>
    <row r="2234" spans="1:8" ht="15" customHeight="1" x14ac:dyDescent="0.25">
      <c r="A2234" s="5">
        <v>2228</v>
      </c>
      <c r="B2234" s="10" t="s">
        <v>4443</v>
      </c>
      <c r="C2234" s="10" t="s">
        <v>4444</v>
      </c>
      <c r="D2234" s="7">
        <v>527.94000000000005</v>
      </c>
      <c r="E2234" s="5">
        <v>1257</v>
      </c>
      <c r="F2234" s="5">
        <v>49</v>
      </c>
      <c r="G2234" s="12">
        <f>SUM($D$7:D2234)</f>
        <v>10372796.100000035</v>
      </c>
      <c r="H2234" s="11">
        <f t="shared" si="34"/>
        <v>0.97244800455214275</v>
      </c>
    </row>
    <row r="2235" spans="1:8" ht="15" customHeight="1" x14ac:dyDescent="0.25">
      <c r="A2235" s="5">
        <v>2229</v>
      </c>
      <c r="B2235" s="10" t="s">
        <v>4445</v>
      </c>
      <c r="C2235" s="10" t="s">
        <v>4446</v>
      </c>
      <c r="D2235" s="7">
        <v>527.85</v>
      </c>
      <c r="E2235" s="5">
        <v>69</v>
      </c>
      <c r="F2235" s="5">
        <v>1</v>
      </c>
      <c r="G2235" s="12">
        <f>SUM($D$7:D2235)</f>
        <v>10373323.950000035</v>
      </c>
      <c r="H2235" s="11">
        <f t="shared" si="34"/>
        <v>0.97249749040670441</v>
      </c>
    </row>
    <row r="2236" spans="1:8" ht="15" customHeight="1" x14ac:dyDescent="0.25">
      <c r="A2236" s="5">
        <v>2230</v>
      </c>
      <c r="B2236" s="10" t="s">
        <v>4447</v>
      </c>
      <c r="C2236" s="10" t="s">
        <v>4448</v>
      </c>
      <c r="D2236" s="7">
        <v>525.94000000000005</v>
      </c>
      <c r="E2236" s="5">
        <v>594</v>
      </c>
      <c r="F2236" s="5">
        <v>109</v>
      </c>
      <c r="G2236" s="12">
        <f>SUM($D$7:D2236)</f>
        <v>10373849.890000034</v>
      </c>
      <c r="H2236" s="11">
        <f t="shared" si="34"/>
        <v>0.97254679719906623</v>
      </c>
    </row>
    <row r="2237" spans="1:8" ht="15" customHeight="1" x14ac:dyDescent="0.25">
      <c r="A2237" s="5">
        <v>2231</v>
      </c>
      <c r="B2237" s="10" t="s">
        <v>4449</v>
      </c>
      <c r="C2237" s="10" t="s">
        <v>4450</v>
      </c>
      <c r="D2237" s="7">
        <v>525.75</v>
      </c>
      <c r="E2237" s="5">
        <v>201</v>
      </c>
      <c r="F2237" s="5">
        <v>17</v>
      </c>
      <c r="G2237" s="12">
        <f>SUM($D$7:D2237)</f>
        <v>10374375.640000034</v>
      </c>
      <c r="H2237" s="11">
        <f t="shared" si="34"/>
        <v>0.97259608617895787</v>
      </c>
    </row>
    <row r="2238" spans="1:8" ht="15" customHeight="1" x14ac:dyDescent="0.25">
      <c r="A2238" s="5">
        <v>2232</v>
      </c>
      <c r="B2238" s="10" t="s">
        <v>4451</v>
      </c>
      <c r="C2238" s="10" t="s">
        <v>4452</v>
      </c>
      <c r="D2238" s="7">
        <v>524.54999999999995</v>
      </c>
      <c r="E2238" s="5">
        <v>65</v>
      </c>
      <c r="F2238" s="5">
        <v>45</v>
      </c>
      <c r="G2238" s="12">
        <f>SUM($D$7:D2238)</f>
        <v>10374900.190000035</v>
      </c>
      <c r="H2238" s="11">
        <f t="shared" si="34"/>
        <v>0.97264526265903817</v>
      </c>
    </row>
    <row r="2239" spans="1:8" ht="15" customHeight="1" x14ac:dyDescent="0.25">
      <c r="A2239" s="5">
        <v>2233</v>
      </c>
      <c r="B2239" s="10" t="s">
        <v>4453</v>
      </c>
      <c r="C2239" s="10" t="s">
        <v>4454</v>
      </c>
      <c r="D2239" s="7">
        <v>523.29999999999995</v>
      </c>
      <c r="E2239" s="5">
        <v>14</v>
      </c>
      <c r="F2239" s="5">
        <v>5</v>
      </c>
      <c r="G2239" s="12">
        <f>SUM($D$7:D2239)</f>
        <v>10375423.490000036</v>
      </c>
      <c r="H2239" s="11">
        <f t="shared" si="34"/>
        <v>0.97269432195181482</v>
      </c>
    </row>
    <row r="2240" spans="1:8" ht="15" customHeight="1" x14ac:dyDescent="0.25">
      <c r="A2240" s="5">
        <v>2234</v>
      </c>
      <c r="B2240" s="10" t="s">
        <v>4455</v>
      </c>
      <c r="C2240" s="10" t="s">
        <v>4456</v>
      </c>
      <c r="D2240" s="7">
        <v>522.92999999999995</v>
      </c>
      <c r="E2240" s="5">
        <v>305</v>
      </c>
      <c r="F2240" s="5">
        <v>50</v>
      </c>
      <c r="G2240" s="12">
        <f>SUM($D$7:D2240)</f>
        <v>10375946.420000035</v>
      </c>
      <c r="H2240" s="11">
        <f t="shared" si="34"/>
        <v>0.97274334655714956</v>
      </c>
    </row>
    <row r="2241" spans="1:8" ht="15" customHeight="1" x14ac:dyDescent="0.25">
      <c r="A2241" s="5">
        <v>2235</v>
      </c>
      <c r="B2241" s="10" t="s">
        <v>4457</v>
      </c>
      <c r="C2241" s="10" t="s">
        <v>4458</v>
      </c>
      <c r="D2241" s="7">
        <v>522.55999999999995</v>
      </c>
      <c r="E2241" s="5">
        <v>322</v>
      </c>
      <c r="F2241" s="5">
        <v>39</v>
      </c>
      <c r="G2241" s="12">
        <f>SUM($D$7:D2241)</f>
        <v>10376468.980000036</v>
      </c>
      <c r="H2241" s="11">
        <f t="shared" si="34"/>
        <v>0.97279233647504249</v>
      </c>
    </row>
    <row r="2242" spans="1:8" ht="15" customHeight="1" x14ac:dyDescent="0.25">
      <c r="A2242" s="5">
        <v>2236</v>
      </c>
      <c r="B2242" s="10" t="s">
        <v>4459</v>
      </c>
      <c r="C2242" s="10" t="s">
        <v>4460</v>
      </c>
      <c r="D2242" s="7">
        <v>521.73</v>
      </c>
      <c r="E2242" s="5">
        <v>99</v>
      </c>
      <c r="F2242" s="5">
        <v>32</v>
      </c>
      <c r="G2242" s="12">
        <f>SUM($D$7:D2242)</f>
        <v>10376990.710000036</v>
      </c>
      <c r="H2242" s="11">
        <f t="shared" si="34"/>
        <v>0.97284124858056586</v>
      </c>
    </row>
    <row r="2243" spans="1:8" ht="15" customHeight="1" x14ac:dyDescent="0.25">
      <c r="A2243" s="5">
        <v>2237</v>
      </c>
      <c r="B2243" s="10" t="s">
        <v>4461</v>
      </c>
      <c r="C2243" s="10" t="s">
        <v>4462</v>
      </c>
      <c r="D2243" s="7">
        <v>521.33000000000004</v>
      </c>
      <c r="E2243" s="5">
        <v>226</v>
      </c>
      <c r="F2243" s="5">
        <v>85</v>
      </c>
      <c r="G2243" s="12">
        <f>SUM($D$7:D2243)</f>
        <v>10377512.040000036</v>
      </c>
      <c r="H2243" s="11">
        <f t="shared" si="34"/>
        <v>0.97289012318615209</v>
      </c>
    </row>
    <row r="2244" spans="1:8" ht="15" customHeight="1" x14ac:dyDescent="0.25">
      <c r="A2244" s="5">
        <v>2238</v>
      </c>
      <c r="B2244" s="10" t="s">
        <v>4463</v>
      </c>
      <c r="C2244" s="10" t="s">
        <v>4464</v>
      </c>
      <c r="D2244" s="7">
        <v>521.11</v>
      </c>
      <c r="E2244" s="5">
        <v>623</v>
      </c>
      <c r="F2244" s="5">
        <v>172</v>
      </c>
      <c r="G2244" s="12">
        <f>SUM($D$7:D2244)</f>
        <v>10378033.150000036</v>
      </c>
      <c r="H2244" s="11">
        <f t="shared" si="34"/>
        <v>0.97293897716677269</v>
      </c>
    </row>
    <row r="2245" spans="1:8" ht="15" customHeight="1" x14ac:dyDescent="0.25">
      <c r="A2245" s="5">
        <v>2239</v>
      </c>
      <c r="B2245" s="10" t="s">
        <v>4465</v>
      </c>
      <c r="C2245" s="10" t="s">
        <v>4466</v>
      </c>
      <c r="D2245" s="7">
        <v>519.35</v>
      </c>
      <c r="E2245" s="5">
        <v>13</v>
      </c>
      <c r="F2245" s="5">
        <v>10</v>
      </c>
      <c r="G2245" s="12">
        <f>SUM($D$7:D2245)</f>
        <v>10378552.500000035</v>
      </c>
      <c r="H2245" s="11">
        <f t="shared" si="34"/>
        <v>0.97298766614766996</v>
      </c>
    </row>
    <row r="2246" spans="1:8" ht="15" customHeight="1" x14ac:dyDescent="0.25">
      <c r="A2246" s="5">
        <v>2240</v>
      </c>
      <c r="B2246" s="10" t="s">
        <v>4467</v>
      </c>
      <c r="C2246" s="10" t="s">
        <v>4468</v>
      </c>
      <c r="D2246" s="7">
        <v>518.61</v>
      </c>
      <c r="E2246" s="5">
        <v>127</v>
      </c>
      <c r="F2246" s="5">
        <v>39</v>
      </c>
      <c r="G2246" s="12">
        <f>SUM($D$7:D2246)</f>
        <v>10379071.110000035</v>
      </c>
      <c r="H2246" s="11">
        <f t="shared" si="34"/>
        <v>0.97303628575368339</v>
      </c>
    </row>
    <row r="2247" spans="1:8" ht="15" customHeight="1" x14ac:dyDescent="0.25">
      <c r="A2247" s="5">
        <v>2241</v>
      </c>
      <c r="B2247" s="10" t="s">
        <v>4469</v>
      </c>
      <c r="C2247" s="10" t="s">
        <v>4470</v>
      </c>
      <c r="D2247" s="7">
        <v>517.22</v>
      </c>
      <c r="E2247" s="5">
        <v>123</v>
      </c>
      <c r="F2247" s="5">
        <v>63</v>
      </c>
      <c r="G2247" s="12">
        <f>SUM($D$7:D2247)</f>
        <v>10379588.330000035</v>
      </c>
      <c r="H2247" s="11">
        <f t="shared" ref="H2247:H2310" si="35">G2247/SUM($D$7:$D$4167)</f>
        <v>0.97308477504741542</v>
      </c>
    </row>
    <row r="2248" spans="1:8" ht="15" customHeight="1" x14ac:dyDescent="0.25">
      <c r="A2248" s="5">
        <v>2242</v>
      </c>
      <c r="B2248" s="10" t="s">
        <v>4471</v>
      </c>
      <c r="C2248" s="10" t="s">
        <v>4472</v>
      </c>
      <c r="D2248" s="7">
        <v>516.79</v>
      </c>
      <c r="E2248" s="5">
        <v>612</v>
      </c>
      <c r="F2248" s="5">
        <v>117</v>
      </c>
      <c r="G2248" s="12">
        <f>SUM($D$7:D2248)</f>
        <v>10380105.120000035</v>
      </c>
      <c r="H2248" s="11">
        <f t="shared" si="35"/>
        <v>0.97313322402871483</v>
      </c>
    </row>
    <row r="2249" spans="1:8" ht="15" customHeight="1" x14ac:dyDescent="0.25">
      <c r="A2249" s="5">
        <v>2243</v>
      </c>
      <c r="B2249" s="10" t="s">
        <v>4473</v>
      </c>
      <c r="C2249" s="10" t="s">
        <v>4474</v>
      </c>
      <c r="D2249" s="7">
        <v>513.02</v>
      </c>
      <c r="E2249" s="5">
        <v>104</v>
      </c>
      <c r="F2249" s="5">
        <v>36</v>
      </c>
      <c r="G2249" s="12">
        <f>SUM($D$7:D2249)</f>
        <v>10380618.140000034</v>
      </c>
      <c r="H2249" s="11">
        <f t="shared" si="35"/>
        <v>0.97318131957310672</v>
      </c>
    </row>
    <row r="2250" spans="1:8" ht="15" customHeight="1" x14ac:dyDescent="0.25">
      <c r="A2250" s="5">
        <v>2244</v>
      </c>
      <c r="B2250" s="10" t="s">
        <v>4475</v>
      </c>
      <c r="C2250" s="10" t="s">
        <v>4476</v>
      </c>
      <c r="D2250" s="7">
        <v>512.92999999999995</v>
      </c>
      <c r="E2250" s="5">
        <v>588</v>
      </c>
      <c r="F2250" s="5">
        <v>68</v>
      </c>
      <c r="G2250" s="12">
        <f>SUM($D$7:D2250)</f>
        <v>10381131.070000034</v>
      </c>
      <c r="H2250" s="11">
        <f t="shared" si="35"/>
        <v>0.97322940668001268</v>
      </c>
    </row>
    <row r="2251" spans="1:8" ht="15" customHeight="1" x14ac:dyDescent="0.25">
      <c r="A2251" s="5">
        <v>2245</v>
      </c>
      <c r="B2251" s="10" t="s">
        <v>4477</v>
      </c>
      <c r="C2251" s="10" t="s">
        <v>4478</v>
      </c>
      <c r="D2251" s="7">
        <v>511.89</v>
      </c>
      <c r="E2251" s="5">
        <v>135</v>
      </c>
      <c r="F2251" s="5">
        <v>49</v>
      </c>
      <c r="G2251" s="12">
        <f>SUM($D$7:D2251)</f>
        <v>10381642.960000034</v>
      </c>
      <c r="H2251" s="11">
        <f t="shared" si="35"/>
        <v>0.9732773962870821</v>
      </c>
    </row>
    <row r="2252" spans="1:8" ht="15" customHeight="1" x14ac:dyDescent="0.25">
      <c r="A2252" s="5">
        <v>2246</v>
      </c>
      <c r="B2252" s="10" t="s">
        <v>4479</v>
      </c>
      <c r="C2252" s="10" t="s">
        <v>4480</v>
      </c>
      <c r="D2252" s="7">
        <v>510.84</v>
      </c>
      <c r="E2252" s="5">
        <v>469</v>
      </c>
      <c r="F2252" s="5">
        <v>95</v>
      </c>
      <c r="G2252" s="12">
        <f>SUM($D$7:D2252)</f>
        <v>10382153.800000034</v>
      </c>
      <c r="H2252" s="11">
        <f t="shared" si="35"/>
        <v>0.97332528745681657</v>
      </c>
    </row>
    <row r="2253" spans="1:8" ht="15" customHeight="1" x14ac:dyDescent="0.25">
      <c r="A2253" s="5">
        <v>2247</v>
      </c>
      <c r="B2253" s="10" t="s">
        <v>4481</v>
      </c>
      <c r="C2253" s="10" t="s">
        <v>4482</v>
      </c>
      <c r="D2253" s="7">
        <v>509.9</v>
      </c>
      <c r="E2253" s="5">
        <v>414</v>
      </c>
      <c r="F2253" s="5">
        <v>60</v>
      </c>
      <c r="G2253" s="12">
        <f>SUM($D$7:D2253)</f>
        <v>10382663.700000035</v>
      </c>
      <c r="H2253" s="11">
        <f t="shared" si="35"/>
        <v>0.97337309050169862</v>
      </c>
    </row>
    <row r="2254" spans="1:8" ht="15" customHeight="1" x14ac:dyDescent="0.25">
      <c r="A2254" s="5">
        <v>2248</v>
      </c>
      <c r="B2254" s="10" t="s">
        <v>4483</v>
      </c>
      <c r="C2254" s="10" t="s">
        <v>4484</v>
      </c>
      <c r="D2254" s="7">
        <v>509.36</v>
      </c>
      <c r="E2254" s="5">
        <v>986</v>
      </c>
      <c r="F2254" s="5">
        <v>59</v>
      </c>
      <c r="G2254" s="12">
        <f>SUM($D$7:D2254)</f>
        <v>10383173.060000034</v>
      </c>
      <c r="H2254" s="11">
        <f t="shared" si="35"/>
        <v>0.97342084292166553</v>
      </c>
    </row>
    <row r="2255" spans="1:8" ht="15" customHeight="1" x14ac:dyDescent="0.25">
      <c r="A2255" s="5">
        <v>2249</v>
      </c>
      <c r="B2255" s="10" t="s">
        <v>4485</v>
      </c>
      <c r="C2255" s="10" t="s">
        <v>4486</v>
      </c>
      <c r="D2255" s="7">
        <v>509.07</v>
      </c>
      <c r="E2255" s="5">
        <v>225</v>
      </c>
      <c r="F2255" s="5">
        <v>43</v>
      </c>
      <c r="G2255" s="12">
        <f>SUM($D$7:D2255)</f>
        <v>10383682.130000034</v>
      </c>
      <c r="H2255" s="11">
        <f t="shared" si="35"/>
        <v>0.97346856815417804</v>
      </c>
    </row>
    <row r="2256" spans="1:8" ht="15" customHeight="1" x14ac:dyDescent="0.25">
      <c r="A2256" s="5">
        <v>2250</v>
      </c>
      <c r="B2256" s="10" t="s">
        <v>4487</v>
      </c>
      <c r="C2256" s="10" t="s">
        <v>4488</v>
      </c>
      <c r="D2256" s="7">
        <v>508.37</v>
      </c>
      <c r="E2256" s="5">
        <v>554</v>
      </c>
      <c r="F2256" s="5">
        <v>80</v>
      </c>
      <c r="G2256" s="12">
        <f>SUM($D$7:D2256)</f>
        <v>10384190.500000034</v>
      </c>
      <c r="H2256" s="11">
        <f t="shared" si="35"/>
        <v>0.97351622776180047</v>
      </c>
    </row>
    <row r="2257" spans="1:8" ht="15" customHeight="1" x14ac:dyDescent="0.25">
      <c r="A2257" s="5">
        <v>2251</v>
      </c>
      <c r="B2257" s="10" t="s">
        <v>3480</v>
      </c>
      <c r="C2257" s="10" t="s">
        <v>4489</v>
      </c>
      <c r="D2257" s="7">
        <v>508.34</v>
      </c>
      <c r="E2257" s="5">
        <v>154</v>
      </c>
      <c r="F2257" s="5">
        <v>31</v>
      </c>
      <c r="G2257" s="12">
        <f>SUM($D$7:D2257)</f>
        <v>10384698.840000033</v>
      </c>
      <c r="H2257" s="11">
        <f t="shared" si="35"/>
        <v>0.97356388455692766</v>
      </c>
    </row>
    <row r="2258" spans="1:8" ht="15" customHeight="1" x14ac:dyDescent="0.25">
      <c r="A2258" s="5">
        <v>2252</v>
      </c>
      <c r="B2258" s="10" t="s">
        <v>4490</v>
      </c>
      <c r="C2258" s="10" t="s">
        <v>4491</v>
      </c>
      <c r="D2258" s="7">
        <v>506.96</v>
      </c>
      <c r="E2258" s="5">
        <v>140</v>
      </c>
      <c r="F2258" s="5">
        <v>46</v>
      </c>
      <c r="G2258" s="12">
        <f>SUM($D$7:D2258)</f>
        <v>10385205.800000034</v>
      </c>
      <c r="H2258" s="11">
        <f t="shared" si="35"/>
        <v>0.97361141197727186</v>
      </c>
    </row>
    <row r="2259" spans="1:8" ht="15" customHeight="1" x14ac:dyDescent="0.25">
      <c r="A2259" s="5">
        <v>2253</v>
      </c>
      <c r="B2259" s="10" t="s">
        <v>4492</v>
      </c>
      <c r="C2259" s="10" t="s">
        <v>4493</v>
      </c>
      <c r="D2259" s="7">
        <v>506.65</v>
      </c>
      <c r="E2259" s="5">
        <v>319</v>
      </c>
      <c r="F2259" s="5">
        <v>76</v>
      </c>
      <c r="G2259" s="12">
        <f>SUM($D$7:D2259)</f>
        <v>10385712.450000035</v>
      </c>
      <c r="H2259" s="11">
        <f t="shared" si="35"/>
        <v>0.97365891033516461</v>
      </c>
    </row>
    <row r="2260" spans="1:8" ht="15" customHeight="1" x14ac:dyDescent="0.25">
      <c r="A2260" s="5">
        <v>2254</v>
      </c>
      <c r="B2260" s="10" t="s">
        <v>4271</v>
      </c>
      <c r="C2260" s="10" t="s">
        <v>4494</v>
      </c>
      <c r="D2260" s="7">
        <v>506.34</v>
      </c>
      <c r="E2260" s="5">
        <v>72</v>
      </c>
      <c r="F2260" s="5">
        <v>32</v>
      </c>
      <c r="G2260" s="12">
        <f>SUM($D$7:D2260)</f>
        <v>10386218.790000034</v>
      </c>
      <c r="H2260" s="11">
        <f t="shared" si="35"/>
        <v>0.97370637963060602</v>
      </c>
    </row>
    <row r="2261" spans="1:8" ht="15" customHeight="1" x14ac:dyDescent="0.25">
      <c r="A2261" s="5">
        <v>2255</v>
      </c>
      <c r="B2261" s="10" t="s">
        <v>4495</v>
      </c>
      <c r="C2261" s="10" t="s">
        <v>4496</v>
      </c>
      <c r="D2261" s="7">
        <v>506.01</v>
      </c>
      <c r="E2261" s="5">
        <v>75</v>
      </c>
      <c r="F2261" s="5">
        <v>20</v>
      </c>
      <c r="G2261" s="12">
        <f>SUM($D$7:D2261)</f>
        <v>10386724.800000034</v>
      </c>
      <c r="H2261" s="11">
        <f t="shared" si="35"/>
        <v>0.97375381798859939</v>
      </c>
    </row>
    <row r="2262" spans="1:8" ht="15" customHeight="1" x14ac:dyDescent="0.25">
      <c r="A2262" s="5">
        <v>2256</v>
      </c>
      <c r="B2262" s="10" t="s">
        <v>4497</v>
      </c>
      <c r="C2262" s="10" t="s">
        <v>4498</v>
      </c>
      <c r="D2262" s="7">
        <v>505.69</v>
      </c>
      <c r="E2262" s="5">
        <v>344</v>
      </c>
      <c r="F2262" s="5">
        <v>73</v>
      </c>
      <c r="G2262" s="12">
        <f>SUM($D$7:D2262)</f>
        <v>10387230.490000034</v>
      </c>
      <c r="H2262" s="11">
        <f t="shared" si="35"/>
        <v>0.9738012263466429</v>
      </c>
    </row>
    <row r="2263" spans="1:8" ht="15" customHeight="1" x14ac:dyDescent="0.25">
      <c r="A2263" s="5">
        <v>2257</v>
      </c>
      <c r="B2263" s="10" t="s">
        <v>4499</v>
      </c>
      <c r="C2263" s="10" t="s">
        <v>4500</v>
      </c>
      <c r="D2263" s="7">
        <v>505.2</v>
      </c>
      <c r="E2263" s="5">
        <v>185</v>
      </c>
      <c r="F2263" s="5">
        <v>69</v>
      </c>
      <c r="G2263" s="12">
        <f>SUM($D$7:D2263)</f>
        <v>10387735.690000033</v>
      </c>
      <c r="H2263" s="11">
        <f t="shared" si="35"/>
        <v>0.97384858876726343</v>
      </c>
    </row>
    <row r="2264" spans="1:8" ht="15" customHeight="1" x14ac:dyDescent="0.25">
      <c r="A2264" s="5">
        <v>2258</v>
      </c>
      <c r="B2264" s="10" t="s">
        <v>4501</v>
      </c>
      <c r="C2264" s="10" t="s">
        <v>4502</v>
      </c>
      <c r="D2264" s="7">
        <v>504.97</v>
      </c>
      <c r="E2264" s="5">
        <v>121</v>
      </c>
      <c r="F2264" s="5">
        <v>27</v>
      </c>
      <c r="G2264" s="12">
        <f>SUM($D$7:D2264)</f>
        <v>10388240.660000034</v>
      </c>
      <c r="H2264" s="11">
        <f t="shared" si="35"/>
        <v>0.97389592962542015</v>
      </c>
    </row>
    <row r="2265" spans="1:8" ht="15" customHeight="1" x14ac:dyDescent="0.25">
      <c r="A2265" s="5">
        <v>2259</v>
      </c>
      <c r="B2265" s="10" t="s">
        <v>4503</v>
      </c>
      <c r="C2265" s="10" t="s">
        <v>4504</v>
      </c>
      <c r="D2265" s="7">
        <v>504.88</v>
      </c>
      <c r="E2265" s="5">
        <v>404</v>
      </c>
      <c r="F2265" s="5">
        <v>22</v>
      </c>
      <c r="G2265" s="12">
        <f>SUM($D$7:D2265)</f>
        <v>10388745.540000034</v>
      </c>
      <c r="H2265" s="11">
        <f t="shared" si="35"/>
        <v>0.97394326204609116</v>
      </c>
    </row>
    <row r="2266" spans="1:8" ht="15" customHeight="1" x14ac:dyDescent="0.25">
      <c r="A2266" s="5">
        <v>2260</v>
      </c>
      <c r="B2266" s="10" t="s">
        <v>4338</v>
      </c>
      <c r="C2266" s="10" t="s">
        <v>4505</v>
      </c>
      <c r="D2266" s="7">
        <v>504.46</v>
      </c>
      <c r="E2266" s="5">
        <v>830</v>
      </c>
      <c r="F2266" s="5">
        <v>67</v>
      </c>
      <c r="G2266" s="12">
        <f>SUM($D$7:D2266)</f>
        <v>10389250.000000035</v>
      </c>
      <c r="H2266" s="11">
        <f t="shared" si="35"/>
        <v>0.97399055509182808</v>
      </c>
    </row>
    <row r="2267" spans="1:8" ht="15" customHeight="1" x14ac:dyDescent="0.25">
      <c r="A2267" s="5">
        <v>2261</v>
      </c>
      <c r="B2267" s="10" t="s">
        <v>4506</v>
      </c>
      <c r="C2267" s="10" t="s">
        <v>4507</v>
      </c>
      <c r="D2267" s="7">
        <v>504.43</v>
      </c>
      <c r="E2267" s="5">
        <v>81</v>
      </c>
      <c r="F2267" s="5">
        <v>31</v>
      </c>
      <c r="G2267" s="12">
        <f>SUM($D$7:D2267)</f>
        <v>10389754.430000035</v>
      </c>
      <c r="H2267" s="11">
        <f t="shared" si="35"/>
        <v>0.97403784532506965</v>
      </c>
    </row>
    <row r="2268" spans="1:8" ht="15" customHeight="1" x14ac:dyDescent="0.25">
      <c r="A2268" s="5">
        <v>2262</v>
      </c>
      <c r="B2268" s="10" t="s">
        <v>4508</v>
      </c>
      <c r="C2268" s="10" t="s">
        <v>4509</v>
      </c>
      <c r="D2268" s="7">
        <v>504.32</v>
      </c>
      <c r="E2268" s="5">
        <v>14</v>
      </c>
      <c r="F2268" s="5">
        <v>9</v>
      </c>
      <c r="G2268" s="12">
        <f>SUM($D$7:D2268)</f>
        <v>10390258.750000035</v>
      </c>
      <c r="H2268" s="11">
        <f t="shared" si="35"/>
        <v>0.97408512524582846</v>
      </c>
    </row>
    <row r="2269" spans="1:8" ht="15" customHeight="1" x14ac:dyDescent="0.25">
      <c r="A2269" s="5">
        <v>2263</v>
      </c>
      <c r="B2269" s="10" t="s">
        <v>4510</v>
      </c>
      <c r="C2269" s="10" t="s">
        <v>4511</v>
      </c>
      <c r="D2269" s="7">
        <v>503.75</v>
      </c>
      <c r="E2269" s="5">
        <v>403</v>
      </c>
      <c r="F2269" s="5">
        <v>65</v>
      </c>
      <c r="G2269" s="12">
        <f>SUM($D$7:D2269)</f>
        <v>10390762.500000035</v>
      </c>
      <c r="H2269" s="11">
        <f t="shared" si="35"/>
        <v>0.97413235172917689</v>
      </c>
    </row>
    <row r="2270" spans="1:8" ht="15" customHeight="1" x14ac:dyDescent="0.25">
      <c r="A2270" s="5">
        <v>2264</v>
      </c>
      <c r="B2270" s="10" t="s">
        <v>4512</v>
      </c>
      <c r="C2270" s="10" t="s">
        <v>4513</v>
      </c>
      <c r="D2270" s="7">
        <v>502.69</v>
      </c>
      <c r="E2270" s="5">
        <v>131</v>
      </c>
      <c r="F2270" s="5">
        <v>51</v>
      </c>
      <c r="G2270" s="12">
        <f>SUM($D$7:D2270)</f>
        <v>10391265.190000035</v>
      </c>
      <c r="H2270" s="11">
        <f t="shared" si="35"/>
        <v>0.97417947883769185</v>
      </c>
    </row>
    <row r="2271" spans="1:8" ht="15" customHeight="1" x14ac:dyDescent="0.25">
      <c r="A2271" s="5">
        <v>2265</v>
      </c>
      <c r="B2271" s="10" t="s">
        <v>4514</v>
      </c>
      <c r="C2271" s="10" t="s">
        <v>4515</v>
      </c>
      <c r="D2271" s="7">
        <v>502.07</v>
      </c>
      <c r="E2271" s="5">
        <v>173</v>
      </c>
      <c r="F2271" s="5">
        <v>26</v>
      </c>
      <c r="G2271" s="12">
        <f>SUM($D$7:D2271)</f>
        <v>10391767.260000035</v>
      </c>
      <c r="H2271" s="11">
        <f t="shared" si="35"/>
        <v>0.97422654782130425</v>
      </c>
    </row>
    <row r="2272" spans="1:8" ht="15" customHeight="1" x14ac:dyDescent="0.25">
      <c r="A2272" s="5">
        <v>2266</v>
      </c>
      <c r="B2272" s="10" t="s">
        <v>4516</v>
      </c>
      <c r="C2272" s="10" t="s">
        <v>4517</v>
      </c>
      <c r="D2272" s="7">
        <v>501.98</v>
      </c>
      <c r="E2272" s="5">
        <v>107</v>
      </c>
      <c r="F2272" s="5">
        <v>45</v>
      </c>
      <c r="G2272" s="12">
        <f>SUM($D$7:D2272)</f>
        <v>10392269.240000036</v>
      </c>
      <c r="H2272" s="11">
        <f t="shared" si="35"/>
        <v>0.97427360836743082</v>
      </c>
    </row>
    <row r="2273" spans="1:8" ht="15" customHeight="1" x14ac:dyDescent="0.25">
      <c r="A2273" s="5">
        <v>2267</v>
      </c>
      <c r="B2273" s="10" t="s">
        <v>4518</v>
      </c>
      <c r="C2273" s="10" t="s">
        <v>4519</v>
      </c>
      <c r="D2273" s="7">
        <v>501.49</v>
      </c>
      <c r="E2273" s="5">
        <v>584</v>
      </c>
      <c r="F2273" s="5">
        <v>111</v>
      </c>
      <c r="G2273" s="12">
        <f>SUM($D$7:D2273)</f>
        <v>10392770.730000036</v>
      </c>
      <c r="H2273" s="11">
        <f t="shared" si="35"/>
        <v>0.97432062297613431</v>
      </c>
    </row>
    <row r="2274" spans="1:8" ht="15" customHeight="1" x14ac:dyDescent="0.25">
      <c r="A2274" s="5">
        <v>2268</v>
      </c>
      <c r="B2274" s="10" t="s">
        <v>4520</v>
      </c>
      <c r="C2274" s="10" t="s">
        <v>4521</v>
      </c>
      <c r="D2274" s="7">
        <v>501.44</v>
      </c>
      <c r="E2274" s="5">
        <v>324</v>
      </c>
      <c r="F2274" s="5">
        <v>85</v>
      </c>
      <c r="G2274" s="12">
        <f>SUM($D$7:D2274)</f>
        <v>10393272.170000035</v>
      </c>
      <c r="H2274" s="11">
        <f t="shared" si="35"/>
        <v>0.97436763289734563</v>
      </c>
    </row>
    <row r="2275" spans="1:8" ht="15" customHeight="1" x14ac:dyDescent="0.25">
      <c r="A2275" s="5">
        <v>2269</v>
      </c>
      <c r="B2275" s="10" t="s">
        <v>4522</v>
      </c>
      <c r="C2275" s="10" t="s">
        <v>4523</v>
      </c>
      <c r="D2275" s="7">
        <v>501.27</v>
      </c>
      <c r="E2275" s="5">
        <v>594</v>
      </c>
      <c r="F2275" s="5">
        <v>81</v>
      </c>
      <c r="G2275" s="12">
        <f>SUM($D$7:D2275)</f>
        <v>10393773.440000035</v>
      </c>
      <c r="H2275" s="11">
        <f t="shared" si="35"/>
        <v>0.97441462688108371</v>
      </c>
    </row>
    <row r="2276" spans="1:8" ht="15" customHeight="1" x14ac:dyDescent="0.25">
      <c r="A2276" s="5">
        <v>2270</v>
      </c>
      <c r="B2276" s="10" t="s">
        <v>4524</v>
      </c>
      <c r="C2276" s="10" t="s">
        <v>4525</v>
      </c>
      <c r="D2276" s="7">
        <v>501.23</v>
      </c>
      <c r="E2276" s="5">
        <v>93</v>
      </c>
      <c r="F2276" s="5">
        <v>45</v>
      </c>
      <c r="G2276" s="12">
        <f>SUM($D$7:D2276)</f>
        <v>10394274.670000035</v>
      </c>
      <c r="H2276" s="11">
        <f t="shared" si="35"/>
        <v>0.97446161711482815</v>
      </c>
    </row>
    <row r="2277" spans="1:8" ht="15" customHeight="1" x14ac:dyDescent="0.25">
      <c r="A2277" s="5">
        <v>2271</v>
      </c>
      <c r="B2277" s="10" t="s">
        <v>4526</v>
      </c>
      <c r="C2277" s="10" t="s">
        <v>4527</v>
      </c>
      <c r="D2277" s="7">
        <v>501.07</v>
      </c>
      <c r="E2277" s="5">
        <v>124</v>
      </c>
      <c r="F2277" s="5">
        <v>57</v>
      </c>
      <c r="G2277" s="12">
        <f>SUM($D$7:D2277)</f>
        <v>10394775.740000036</v>
      </c>
      <c r="H2277" s="11">
        <f t="shared" si="35"/>
        <v>0.97450859234859766</v>
      </c>
    </row>
    <row r="2278" spans="1:8" ht="15" customHeight="1" x14ac:dyDescent="0.25">
      <c r="A2278" s="5">
        <v>2272</v>
      </c>
      <c r="B2278" s="10" t="s">
        <v>4528</v>
      </c>
      <c r="C2278" s="10" t="s">
        <v>4529</v>
      </c>
      <c r="D2278" s="7">
        <v>500.91</v>
      </c>
      <c r="E2278" s="5">
        <v>591</v>
      </c>
      <c r="F2278" s="5">
        <v>57</v>
      </c>
      <c r="G2278" s="12">
        <f>SUM($D$7:D2278)</f>
        <v>10395276.650000036</v>
      </c>
      <c r="H2278" s="11">
        <f t="shared" si="35"/>
        <v>0.97455555258239235</v>
      </c>
    </row>
    <row r="2279" spans="1:8" ht="15" customHeight="1" x14ac:dyDescent="0.25">
      <c r="A2279" s="5">
        <v>2273</v>
      </c>
      <c r="B2279" s="10" t="s">
        <v>4530</v>
      </c>
      <c r="C2279" s="10" t="s">
        <v>4531</v>
      </c>
      <c r="D2279" s="7">
        <v>499.08</v>
      </c>
      <c r="E2279" s="5">
        <v>335</v>
      </c>
      <c r="F2279" s="5">
        <v>65</v>
      </c>
      <c r="G2279" s="12">
        <f>SUM($D$7:D2279)</f>
        <v>10395775.730000036</v>
      </c>
      <c r="H2279" s="11">
        <f t="shared" si="35"/>
        <v>0.97460234125397449</v>
      </c>
    </row>
    <row r="2280" spans="1:8" ht="15" customHeight="1" x14ac:dyDescent="0.25">
      <c r="A2280" s="5">
        <v>2274</v>
      </c>
      <c r="B2280" s="10" t="s">
        <v>4532</v>
      </c>
      <c r="C2280" s="10" t="s">
        <v>4533</v>
      </c>
      <c r="D2280" s="7">
        <v>498.5</v>
      </c>
      <c r="E2280" s="5">
        <v>1225</v>
      </c>
      <c r="F2280" s="5">
        <v>40</v>
      </c>
      <c r="G2280" s="12">
        <f>SUM($D$7:D2280)</f>
        <v>10396274.230000036</v>
      </c>
      <c r="H2280" s="11">
        <f t="shared" si="35"/>
        <v>0.97464907555064784</v>
      </c>
    </row>
    <row r="2281" spans="1:8" ht="15" customHeight="1" x14ac:dyDescent="0.25">
      <c r="A2281" s="5">
        <v>2275</v>
      </c>
      <c r="B2281" s="10" t="s">
        <v>4534</v>
      </c>
      <c r="C2281" s="10" t="s">
        <v>4535</v>
      </c>
      <c r="D2281" s="7">
        <v>496.99</v>
      </c>
      <c r="E2281" s="5">
        <v>207</v>
      </c>
      <c r="F2281" s="5">
        <v>62</v>
      </c>
      <c r="G2281" s="12">
        <f>SUM($D$7:D2281)</f>
        <v>10396771.220000036</v>
      </c>
      <c r="H2281" s="11">
        <f t="shared" si="35"/>
        <v>0.97469566828505838</v>
      </c>
    </row>
    <row r="2282" spans="1:8" ht="15" customHeight="1" x14ac:dyDescent="0.25">
      <c r="A2282" s="5">
        <v>2276</v>
      </c>
      <c r="B2282" s="10" t="s">
        <v>4536</v>
      </c>
      <c r="C2282" s="10" t="s">
        <v>693</v>
      </c>
      <c r="D2282" s="7">
        <v>496.49</v>
      </c>
      <c r="E2282" s="5">
        <v>238</v>
      </c>
      <c r="F2282" s="5">
        <v>66</v>
      </c>
      <c r="G2282" s="12">
        <f>SUM($D$7:D2282)</f>
        <v>10397267.710000036</v>
      </c>
      <c r="H2282" s="11">
        <f t="shared" si="35"/>
        <v>0.97474221414454754</v>
      </c>
    </row>
    <row r="2283" spans="1:8" ht="15" customHeight="1" x14ac:dyDescent="0.25">
      <c r="A2283" s="5">
        <v>2277</v>
      </c>
      <c r="B2283" s="10" t="s">
        <v>4537</v>
      </c>
      <c r="C2283" s="10" t="s">
        <v>4538</v>
      </c>
      <c r="D2283" s="7">
        <v>495.2</v>
      </c>
      <c r="E2283" s="5">
        <v>251</v>
      </c>
      <c r="F2283" s="5">
        <v>54</v>
      </c>
      <c r="G2283" s="12">
        <f>SUM($D$7:D2283)</f>
        <v>10397762.910000036</v>
      </c>
      <c r="H2283" s="11">
        <f t="shared" si="35"/>
        <v>0.97478863906673929</v>
      </c>
    </row>
    <row r="2284" spans="1:8" ht="15" customHeight="1" x14ac:dyDescent="0.25">
      <c r="A2284" s="5">
        <v>2278</v>
      </c>
      <c r="B2284" s="10" t="s">
        <v>4539</v>
      </c>
      <c r="C2284" s="10" t="s">
        <v>4540</v>
      </c>
      <c r="D2284" s="7">
        <v>494.54</v>
      </c>
      <c r="E2284" s="5">
        <v>412</v>
      </c>
      <c r="F2284" s="5">
        <v>108</v>
      </c>
      <c r="G2284" s="12">
        <f>SUM($D$7:D2284)</f>
        <v>10398257.450000035</v>
      </c>
      <c r="H2284" s="11">
        <f t="shared" si="35"/>
        <v>0.97483500211403484</v>
      </c>
    </row>
    <row r="2285" spans="1:8" ht="15" customHeight="1" x14ac:dyDescent="0.25">
      <c r="A2285" s="5">
        <v>2279</v>
      </c>
      <c r="B2285" s="10" t="s">
        <v>4541</v>
      </c>
      <c r="C2285" s="10" t="s">
        <v>4542</v>
      </c>
      <c r="D2285" s="7">
        <v>493.08</v>
      </c>
      <c r="E2285" s="5">
        <v>130</v>
      </c>
      <c r="F2285" s="5">
        <v>54</v>
      </c>
      <c r="G2285" s="12">
        <f>SUM($D$7:D2285)</f>
        <v>10398750.530000035</v>
      </c>
      <c r="H2285" s="11">
        <f t="shared" si="35"/>
        <v>0.97488122828655976</v>
      </c>
    </row>
    <row r="2286" spans="1:8" ht="15" customHeight="1" x14ac:dyDescent="0.25">
      <c r="A2286" s="5">
        <v>2280</v>
      </c>
      <c r="B2286" s="10" t="s">
        <v>4543</v>
      </c>
      <c r="C2286" s="10" t="s">
        <v>4544</v>
      </c>
      <c r="D2286" s="7">
        <v>493.01</v>
      </c>
      <c r="E2286" s="5">
        <v>684</v>
      </c>
      <c r="F2286" s="5">
        <v>42</v>
      </c>
      <c r="G2286" s="12">
        <f>SUM($D$7:D2286)</f>
        <v>10399243.540000034</v>
      </c>
      <c r="H2286" s="11">
        <f t="shared" si="35"/>
        <v>0.97492744789659569</v>
      </c>
    </row>
    <row r="2287" spans="1:8" ht="15" customHeight="1" x14ac:dyDescent="0.25">
      <c r="A2287" s="5">
        <v>2281</v>
      </c>
      <c r="B2287" s="10" t="s">
        <v>4545</v>
      </c>
      <c r="C2287" s="10" t="s">
        <v>4546</v>
      </c>
      <c r="D2287" s="7">
        <v>492.79</v>
      </c>
      <c r="E2287" s="5">
        <v>117</v>
      </c>
      <c r="F2287" s="5">
        <v>59</v>
      </c>
      <c r="G2287" s="12">
        <f>SUM($D$7:D2287)</f>
        <v>10399736.330000034</v>
      </c>
      <c r="H2287" s="11">
        <f t="shared" si="35"/>
        <v>0.9749736468816661</v>
      </c>
    </row>
    <row r="2288" spans="1:8" ht="15" customHeight="1" x14ac:dyDescent="0.25">
      <c r="A2288" s="5">
        <v>2282</v>
      </c>
      <c r="B2288" s="10" t="s">
        <v>4547</v>
      </c>
      <c r="C2288" s="10" t="s">
        <v>4548</v>
      </c>
      <c r="D2288" s="7">
        <v>489.74</v>
      </c>
      <c r="E2288" s="5">
        <v>88</v>
      </c>
      <c r="F2288" s="5">
        <v>24</v>
      </c>
      <c r="G2288" s="12">
        <f>SUM($D$7:D2288)</f>
        <v>10400226.070000034</v>
      </c>
      <c r="H2288" s="11">
        <f t="shared" si="35"/>
        <v>0.97501955992971578</v>
      </c>
    </row>
    <row r="2289" spans="1:8" ht="15" customHeight="1" x14ac:dyDescent="0.25">
      <c r="A2289" s="5">
        <v>2283</v>
      </c>
      <c r="B2289" s="10" t="s">
        <v>4549</v>
      </c>
      <c r="C2289" s="10" t="s">
        <v>4550</v>
      </c>
      <c r="D2289" s="7">
        <v>489.17</v>
      </c>
      <c r="E2289" s="5">
        <v>1197</v>
      </c>
      <c r="F2289" s="5">
        <v>72</v>
      </c>
      <c r="G2289" s="12">
        <f>SUM($D$7:D2289)</f>
        <v>10400715.240000034</v>
      </c>
      <c r="H2289" s="11">
        <f t="shared" si="35"/>
        <v>0.97506541954035508</v>
      </c>
    </row>
    <row r="2290" spans="1:8" ht="15" customHeight="1" x14ac:dyDescent="0.25">
      <c r="A2290" s="5">
        <v>2284</v>
      </c>
      <c r="B2290" s="10" t="s">
        <v>4551</v>
      </c>
      <c r="C2290" s="10" t="s">
        <v>4552</v>
      </c>
      <c r="D2290" s="7">
        <v>488.89</v>
      </c>
      <c r="E2290" s="5">
        <v>421</v>
      </c>
      <c r="F2290" s="5">
        <v>62</v>
      </c>
      <c r="G2290" s="12">
        <f>SUM($D$7:D2290)</f>
        <v>10401204.130000034</v>
      </c>
      <c r="H2290" s="11">
        <f t="shared" si="35"/>
        <v>0.97511125290103839</v>
      </c>
    </row>
    <row r="2291" spans="1:8" ht="15" customHeight="1" x14ac:dyDescent="0.25">
      <c r="A2291" s="5">
        <v>2285</v>
      </c>
      <c r="B2291" s="10" t="s">
        <v>4553</v>
      </c>
      <c r="C2291" s="10" t="s">
        <v>4554</v>
      </c>
      <c r="D2291" s="7">
        <v>487.11</v>
      </c>
      <c r="E2291" s="5">
        <v>475</v>
      </c>
      <c r="F2291" s="5">
        <v>25</v>
      </c>
      <c r="G2291" s="12">
        <f>SUM($D$7:D2291)</f>
        <v>10401691.240000034</v>
      </c>
      <c r="H2291" s="11">
        <f t="shared" si="35"/>
        <v>0.97515691938700133</v>
      </c>
    </row>
    <row r="2292" spans="1:8" ht="15" customHeight="1" x14ac:dyDescent="0.25">
      <c r="A2292" s="5">
        <v>2286</v>
      </c>
      <c r="B2292" s="10" t="s">
        <v>4555</v>
      </c>
      <c r="C2292" s="10" t="s">
        <v>4556</v>
      </c>
      <c r="D2292" s="7">
        <v>486.5</v>
      </c>
      <c r="E2292" s="5">
        <v>353</v>
      </c>
      <c r="F2292" s="5">
        <v>121</v>
      </c>
      <c r="G2292" s="12">
        <f>SUM($D$7:D2292)</f>
        <v>10402177.740000034</v>
      </c>
      <c r="H2292" s="11">
        <f t="shared" si="35"/>
        <v>0.97520252868556012</v>
      </c>
    </row>
    <row r="2293" spans="1:8" ht="15" customHeight="1" x14ac:dyDescent="0.25">
      <c r="A2293" s="5">
        <v>2287</v>
      </c>
      <c r="B2293" s="10" t="s">
        <v>4557</v>
      </c>
      <c r="C2293" s="10" t="s">
        <v>4558</v>
      </c>
      <c r="D2293" s="7">
        <v>486.01</v>
      </c>
      <c r="E2293" s="5">
        <v>573</v>
      </c>
      <c r="F2293" s="5">
        <v>136</v>
      </c>
      <c r="G2293" s="12">
        <f>SUM($D$7:D2293)</f>
        <v>10402663.750000034</v>
      </c>
      <c r="H2293" s="11">
        <f t="shared" si="35"/>
        <v>0.97524809204669594</v>
      </c>
    </row>
    <row r="2294" spans="1:8" ht="15" customHeight="1" x14ac:dyDescent="0.25">
      <c r="A2294" s="5">
        <v>2288</v>
      </c>
      <c r="B2294" s="10" t="s">
        <v>4559</v>
      </c>
      <c r="C2294" s="10" t="s">
        <v>4560</v>
      </c>
      <c r="D2294" s="7">
        <v>484.63</v>
      </c>
      <c r="E2294" s="5">
        <v>261</v>
      </c>
      <c r="F2294" s="5">
        <v>31</v>
      </c>
      <c r="G2294" s="12">
        <f>SUM($D$7:D2294)</f>
        <v>10403148.380000034</v>
      </c>
      <c r="H2294" s="11">
        <f t="shared" si="35"/>
        <v>0.97529352603304864</v>
      </c>
    </row>
    <row r="2295" spans="1:8" ht="15" customHeight="1" x14ac:dyDescent="0.25">
      <c r="A2295" s="5">
        <v>2289</v>
      </c>
      <c r="B2295" s="10" t="s">
        <v>4561</v>
      </c>
      <c r="C2295" s="10" t="s">
        <v>4562</v>
      </c>
      <c r="D2295" s="7">
        <v>484.35</v>
      </c>
      <c r="E2295" s="5">
        <v>421</v>
      </c>
      <c r="F2295" s="5">
        <v>85</v>
      </c>
      <c r="G2295" s="12">
        <f>SUM($D$7:D2295)</f>
        <v>10403632.730000034</v>
      </c>
      <c r="H2295" s="11">
        <f t="shared" si="35"/>
        <v>0.97533893376944525</v>
      </c>
    </row>
    <row r="2296" spans="1:8" ht="15" customHeight="1" x14ac:dyDescent="0.25">
      <c r="A2296" s="5">
        <v>2290</v>
      </c>
      <c r="B2296" s="10" t="s">
        <v>4563</v>
      </c>
      <c r="C2296" s="10" t="s">
        <v>4564</v>
      </c>
      <c r="D2296" s="7">
        <v>483.03</v>
      </c>
      <c r="E2296" s="5">
        <v>379</v>
      </c>
      <c r="F2296" s="5">
        <v>40</v>
      </c>
      <c r="G2296" s="12">
        <f>SUM($D$7:D2296)</f>
        <v>10404115.760000033</v>
      </c>
      <c r="H2296" s="11">
        <f t="shared" si="35"/>
        <v>0.97538421775604922</v>
      </c>
    </row>
    <row r="2297" spans="1:8" ht="15" customHeight="1" x14ac:dyDescent="0.25">
      <c r="A2297" s="5">
        <v>2291</v>
      </c>
      <c r="B2297" s="10" t="s">
        <v>4565</v>
      </c>
      <c r="C2297" s="10" t="s">
        <v>4566</v>
      </c>
      <c r="D2297" s="7">
        <v>481.95</v>
      </c>
      <c r="E2297" s="5">
        <v>976</v>
      </c>
      <c r="F2297" s="5">
        <v>28</v>
      </c>
      <c r="G2297" s="12">
        <f>SUM($D$7:D2297)</f>
        <v>10404597.710000033</v>
      </c>
      <c r="H2297" s="11">
        <f t="shared" si="35"/>
        <v>0.9754294004928229</v>
      </c>
    </row>
    <row r="2298" spans="1:8" ht="15" customHeight="1" x14ac:dyDescent="0.25">
      <c r="A2298" s="5">
        <v>2292</v>
      </c>
      <c r="B2298" s="10" t="s">
        <v>4567</v>
      </c>
      <c r="C2298" s="10" t="s">
        <v>4568</v>
      </c>
      <c r="D2298" s="7">
        <v>481.88</v>
      </c>
      <c r="E2298" s="5">
        <v>300</v>
      </c>
      <c r="F2298" s="5">
        <v>52</v>
      </c>
      <c r="G2298" s="12">
        <f>SUM($D$7:D2298)</f>
        <v>10405079.590000033</v>
      </c>
      <c r="H2298" s="11">
        <f t="shared" si="35"/>
        <v>0.97547457666710768</v>
      </c>
    </row>
    <row r="2299" spans="1:8" ht="15" customHeight="1" x14ac:dyDescent="0.25">
      <c r="A2299" s="5">
        <v>2293</v>
      </c>
      <c r="B2299" s="10" t="s">
        <v>4569</v>
      </c>
      <c r="C2299" s="10" t="s">
        <v>4570</v>
      </c>
      <c r="D2299" s="7">
        <v>480.92</v>
      </c>
      <c r="E2299" s="5">
        <v>1048</v>
      </c>
      <c r="F2299" s="5">
        <v>101</v>
      </c>
      <c r="G2299" s="12">
        <f>SUM($D$7:D2299)</f>
        <v>10405560.510000033</v>
      </c>
      <c r="H2299" s="11">
        <f t="shared" si="35"/>
        <v>0.97551966284154323</v>
      </c>
    </row>
    <row r="2300" spans="1:8" ht="15" customHeight="1" x14ac:dyDescent="0.25">
      <c r="A2300" s="5">
        <v>2294</v>
      </c>
      <c r="B2300" s="10" t="s">
        <v>4571</v>
      </c>
      <c r="C2300" s="10" t="s">
        <v>4572</v>
      </c>
      <c r="D2300" s="7">
        <v>480.75</v>
      </c>
      <c r="E2300" s="5">
        <v>197</v>
      </c>
      <c r="F2300" s="5">
        <v>26</v>
      </c>
      <c r="G2300" s="12">
        <f>SUM($D$7:D2300)</f>
        <v>10406041.260000033</v>
      </c>
      <c r="H2300" s="11">
        <f t="shared" si="35"/>
        <v>0.97556473307850555</v>
      </c>
    </row>
    <row r="2301" spans="1:8" ht="15" customHeight="1" x14ac:dyDescent="0.25">
      <c r="A2301" s="5">
        <v>2295</v>
      </c>
      <c r="B2301" s="10" t="s">
        <v>4573</v>
      </c>
      <c r="C2301" s="10" t="s">
        <v>4574</v>
      </c>
      <c r="D2301" s="7">
        <v>480.5</v>
      </c>
      <c r="E2301" s="5">
        <v>263</v>
      </c>
      <c r="F2301" s="5">
        <v>31</v>
      </c>
      <c r="G2301" s="12">
        <f>SUM($D$7:D2301)</f>
        <v>10406521.760000033</v>
      </c>
      <c r="H2301" s="11">
        <f t="shared" si="35"/>
        <v>0.97560977987800712</v>
      </c>
    </row>
    <row r="2302" spans="1:8" ht="15" customHeight="1" x14ac:dyDescent="0.25">
      <c r="A2302" s="5">
        <v>2296</v>
      </c>
      <c r="B2302" s="10" t="s">
        <v>4575</v>
      </c>
      <c r="C2302" s="10" t="s">
        <v>4576</v>
      </c>
      <c r="D2302" s="7">
        <v>480.17</v>
      </c>
      <c r="E2302" s="5">
        <v>147</v>
      </c>
      <c r="F2302" s="5">
        <v>40</v>
      </c>
      <c r="G2302" s="12">
        <f>SUM($D$7:D2302)</f>
        <v>10407001.930000033</v>
      </c>
      <c r="H2302" s="11">
        <f t="shared" si="35"/>
        <v>0.97565479574006053</v>
      </c>
    </row>
    <row r="2303" spans="1:8" ht="15" customHeight="1" x14ac:dyDescent="0.25">
      <c r="A2303" s="5">
        <v>2297</v>
      </c>
      <c r="B2303" s="10" t="s">
        <v>3442</v>
      </c>
      <c r="C2303" s="10" t="s">
        <v>4577</v>
      </c>
      <c r="D2303" s="7">
        <v>479.82</v>
      </c>
      <c r="E2303" s="5">
        <v>1122</v>
      </c>
      <c r="F2303" s="5">
        <v>95</v>
      </c>
      <c r="G2303" s="12">
        <f>SUM($D$7:D2303)</f>
        <v>10407481.750000034</v>
      </c>
      <c r="H2303" s="11">
        <f t="shared" si="35"/>
        <v>0.97569977878966896</v>
      </c>
    </row>
    <row r="2304" spans="1:8" ht="15" customHeight="1" x14ac:dyDescent="0.25">
      <c r="A2304" s="5">
        <v>2298</v>
      </c>
      <c r="B2304" s="10" t="s">
        <v>884</v>
      </c>
      <c r="C2304" s="10" t="s">
        <v>4578</v>
      </c>
      <c r="D2304" s="7">
        <v>479.45</v>
      </c>
      <c r="E2304" s="5">
        <v>119</v>
      </c>
      <c r="F2304" s="5">
        <v>14</v>
      </c>
      <c r="G2304" s="12">
        <f>SUM($D$7:D2304)</f>
        <v>10407961.200000033</v>
      </c>
      <c r="H2304" s="11">
        <f t="shared" si="35"/>
        <v>0.97574472715183547</v>
      </c>
    </row>
    <row r="2305" spans="1:8" ht="15" customHeight="1" x14ac:dyDescent="0.25">
      <c r="A2305" s="5">
        <v>2299</v>
      </c>
      <c r="B2305" s="10" t="s">
        <v>4579</v>
      </c>
      <c r="C2305" s="10" t="s">
        <v>4580</v>
      </c>
      <c r="D2305" s="7">
        <v>478.83</v>
      </c>
      <c r="E2305" s="5">
        <v>266</v>
      </c>
      <c r="F2305" s="5">
        <v>76</v>
      </c>
      <c r="G2305" s="12">
        <f>SUM($D$7:D2305)</f>
        <v>10408440.030000033</v>
      </c>
      <c r="H2305" s="11">
        <f t="shared" si="35"/>
        <v>0.97578961738909942</v>
      </c>
    </row>
    <row r="2306" spans="1:8" ht="15" customHeight="1" x14ac:dyDescent="0.25">
      <c r="A2306" s="5">
        <v>2300</v>
      </c>
      <c r="B2306" s="10" t="s">
        <v>4581</v>
      </c>
      <c r="C2306" s="10" t="s">
        <v>4582</v>
      </c>
      <c r="D2306" s="7">
        <v>478.72</v>
      </c>
      <c r="E2306" s="5">
        <v>945</v>
      </c>
      <c r="F2306" s="5">
        <v>40</v>
      </c>
      <c r="G2306" s="12">
        <f>SUM($D$7:D2306)</f>
        <v>10408918.750000034</v>
      </c>
      <c r="H2306" s="11">
        <f t="shared" si="35"/>
        <v>0.97583449731388072</v>
      </c>
    </row>
    <row r="2307" spans="1:8" ht="15" customHeight="1" x14ac:dyDescent="0.25">
      <c r="A2307" s="5">
        <v>2301</v>
      </c>
      <c r="B2307" s="10" t="s">
        <v>4583</v>
      </c>
      <c r="C2307" s="10" t="s">
        <v>4584</v>
      </c>
      <c r="D2307" s="7">
        <v>477.89</v>
      </c>
      <c r="E2307" s="5">
        <v>213</v>
      </c>
      <c r="F2307" s="5">
        <v>47</v>
      </c>
      <c r="G2307" s="12">
        <f>SUM($D$7:D2307)</f>
        <v>10409396.640000034</v>
      </c>
      <c r="H2307" s="11">
        <f t="shared" si="35"/>
        <v>0.97587929942629248</v>
      </c>
    </row>
    <row r="2308" spans="1:8" ht="15" customHeight="1" x14ac:dyDescent="0.25">
      <c r="A2308" s="5">
        <v>2302</v>
      </c>
      <c r="B2308" s="10" t="s">
        <v>4585</v>
      </c>
      <c r="C2308" s="10" t="s">
        <v>4586</v>
      </c>
      <c r="D2308" s="7">
        <v>477.34</v>
      </c>
      <c r="E2308" s="5">
        <v>378</v>
      </c>
      <c r="F2308" s="5">
        <v>88</v>
      </c>
      <c r="G2308" s="12">
        <f>SUM($D$7:D2308)</f>
        <v>10409873.980000034</v>
      </c>
      <c r="H2308" s="11">
        <f t="shared" si="35"/>
        <v>0.97592404997629045</v>
      </c>
    </row>
    <row r="2309" spans="1:8" ht="15" customHeight="1" x14ac:dyDescent="0.25">
      <c r="A2309" s="5">
        <v>2303</v>
      </c>
      <c r="B2309" s="10" t="s">
        <v>4587</v>
      </c>
      <c r="C2309" s="10" t="s">
        <v>4588</v>
      </c>
      <c r="D2309" s="7">
        <v>476.41</v>
      </c>
      <c r="E2309" s="5">
        <v>123</v>
      </c>
      <c r="F2309" s="5">
        <v>37</v>
      </c>
      <c r="G2309" s="12">
        <f>SUM($D$7:D2309)</f>
        <v>10410350.390000034</v>
      </c>
      <c r="H2309" s="11">
        <f t="shared" si="35"/>
        <v>0.97596871333893476</v>
      </c>
    </row>
    <row r="2310" spans="1:8" ht="15" customHeight="1" x14ac:dyDescent="0.25">
      <c r="A2310" s="5">
        <v>2304</v>
      </c>
      <c r="B2310" s="10" t="s">
        <v>4589</v>
      </c>
      <c r="C2310" s="10" t="s">
        <v>4590</v>
      </c>
      <c r="D2310" s="7">
        <v>476</v>
      </c>
      <c r="E2310" s="5">
        <v>170</v>
      </c>
      <c r="F2310" s="5">
        <v>16</v>
      </c>
      <c r="G2310" s="12">
        <f>SUM($D$7:D2310)</f>
        <v>10410826.390000034</v>
      </c>
      <c r="H2310" s="11">
        <f t="shared" si="35"/>
        <v>0.97601333826414338</v>
      </c>
    </row>
    <row r="2311" spans="1:8" ht="15" customHeight="1" x14ac:dyDescent="0.25">
      <c r="A2311" s="5">
        <v>2305</v>
      </c>
      <c r="B2311" s="10" t="s">
        <v>4591</v>
      </c>
      <c r="C2311" s="10" t="s">
        <v>4592</v>
      </c>
      <c r="D2311" s="7">
        <v>475.18</v>
      </c>
      <c r="E2311" s="5">
        <v>708</v>
      </c>
      <c r="F2311" s="5">
        <v>88</v>
      </c>
      <c r="G2311" s="12">
        <f>SUM($D$7:D2311)</f>
        <v>10411301.570000034</v>
      </c>
      <c r="H2311" s="11">
        <f t="shared" ref="H2311:H2374" si="36">G2311/SUM($D$7:$D$4167)</f>
        <v>0.97605788631448076</v>
      </c>
    </row>
    <row r="2312" spans="1:8" ht="15" customHeight="1" x14ac:dyDescent="0.25">
      <c r="A2312" s="5">
        <v>2306</v>
      </c>
      <c r="B2312" s="10" t="s">
        <v>4593</v>
      </c>
      <c r="C2312" s="10" t="s">
        <v>4594</v>
      </c>
      <c r="D2312" s="7">
        <v>471.86</v>
      </c>
      <c r="E2312" s="5">
        <v>56</v>
      </c>
      <c r="F2312" s="5">
        <v>35</v>
      </c>
      <c r="G2312" s="12">
        <f>SUM($D$7:D2312)</f>
        <v>10411773.430000033</v>
      </c>
      <c r="H2312" s="11">
        <f t="shared" si="36"/>
        <v>0.97610212311533984</v>
      </c>
    </row>
    <row r="2313" spans="1:8" ht="15" customHeight="1" x14ac:dyDescent="0.25">
      <c r="A2313" s="5">
        <v>2307</v>
      </c>
      <c r="B2313" s="10" t="s">
        <v>4595</v>
      </c>
      <c r="C2313" s="10" t="s">
        <v>4596</v>
      </c>
      <c r="D2313" s="7">
        <v>470.17</v>
      </c>
      <c r="E2313" s="5">
        <v>89</v>
      </c>
      <c r="F2313" s="5">
        <v>46</v>
      </c>
      <c r="G2313" s="12">
        <f>SUM($D$7:D2313)</f>
        <v>10412243.600000033</v>
      </c>
      <c r="H2313" s="11">
        <f t="shared" si="36"/>
        <v>0.97614620147896447</v>
      </c>
    </row>
    <row r="2314" spans="1:8" ht="15" customHeight="1" x14ac:dyDescent="0.25">
      <c r="A2314" s="5">
        <v>2308</v>
      </c>
      <c r="B2314" s="10" t="s">
        <v>4597</v>
      </c>
      <c r="C2314" s="10" t="s">
        <v>4598</v>
      </c>
      <c r="D2314" s="7">
        <v>469.9</v>
      </c>
      <c r="E2314" s="5">
        <v>194</v>
      </c>
      <c r="F2314" s="5">
        <v>47</v>
      </c>
      <c r="G2314" s="12">
        <f>SUM($D$7:D2314)</f>
        <v>10412713.500000034</v>
      </c>
      <c r="H2314" s="11">
        <f t="shared" si="36"/>
        <v>0.97619025453013164</v>
      </c>
    </row>
    <row r="2315" spans="1:8" ht="15" customHeight="1" x14ac:dyDescent="0.25">
      <c r="A2315" s="5">
        <v>2309</v>
      </c>
      <c r="B2315" s="10" t="s">
        <v>4599</v>
      </c>
      <c r="C2315" s="10" t="s">
        <v>4600</v>
      </c>
      <c r="D2315" s="7">
        <v>469.73</v>
      </c>
      <c r="E2315" s="5">
        <v>143</v>
      </c>
      <c r="F2315" s="5">
        <v>40</v>
      </c>
      <c r="G2315" s="12">
        <f>SUM($D$7:D2315)</f>
        <v>10413183.230000034</v>
      </c>
      <c r="H2315" s="11">
        <f t="shared" si="36"/>
        <v>0.97623429164382547</v>
      </c>
    </row>
    <row r="2316" spans="1:8" ht="15" customHeight="1" x14ac:dyDescent="0.25">
      <c r="A2316" s="5">
        <v>2310</v>
      </c>
      <c r="B2316" s="10" t="s">
        <v>4601</v>
      </c>
      <c r="C2316" s="10" t="s">
        <v>4602</v>
      </c>
      <c r="D2316" s="7">
        <v>469.63</v>
      </c>
      <c r="E2316" s="5">
        <v>400</v>
      </c>
      <c r="F2316" s="5">
        <v>73</v>
      </c>
      <c r="G2316" s="12">
        <f>SUM($D$7:D2316)</f>
        <v>10413652.860000035</v>
      </c>
      <c r="H2316" s="11">
        <f t="shared" si="36"/>
        <v>0.97627831938253506</v>
      </c>
    </row>
    <row r="2317" spans="1:8" ht="15" customHeight="1" x14ac:dyDescent="0.25">
      <c r="A2317" s="5">
        <v>2311</v>
      </c>
      <c r="B2317" s="10" t="s">
        <v>4603</v>
      </c>
      <c r="C2317" s="10" t="s">
        <v>4604</v>
      </c>
      <c r="D2317" s="7">
        <v>468.39</v>
      </c>
      <c r="E2317" s="5">
        <v>464</v>
      </c>
      <c r="F2317" s="5">
        <v>149</v>
      </c>
      <c r="G2317" s="12">
        <f>SUM($D$7:D2317)</f>
        <v>10414121.250000035</v>
      </c>
      <c r="H2317" s="11">
        <f t="shared" si="36"/>
        <v>0.97632223087143943</v>
      </c>
    </row>
    <row r="2318" spans="1:8" ht="15" customHeight="1" x14ac:dyDescent="0.25">
      <c r="A2318" s="5">
        <v>2312</v>
      </c>
      <c r="B2318" s="10" t="s">
        <v>4605</v>
      </c>
      <c r="C2318" s="10" t="s">
        <v>4606</v>
      </c>
      <c r="D2318" s="7">
        <v>466.99</v>
      </c>
      <c r="E2318" s="5">
        <v>309</v>
      </c>
      <c r="F2318" s="5">
        <v>95</v>
      </c>
      <c r="G2318" s="12">
        <f>SUM($D$7:D2318)</f>
        <v>10414588.240000036</v>
      </c>
      <c r="H2318" s="11">
        <f t="shared" si="36"/>
        <v>0.97636601111056376</v>
      </c>
    </row>
    <row r="2319" spans="1:8" ht="15" customHeight="1" x14ac:dyDescent="0.25">
      <c r="A2319" s="5">
        <v>2313</v>
      </c>
      <c r="B2319" s="10" t="s">
        <v>4607</v>
      </c>
      <c r="C2319" s="10" t="s">
        <v>4608</v>
      </c>
      <c r="D2319" s="7">
        <v>466.53</v>
      </c>
      <c r="E2319" s="5">
        <v>216</v>
      </c>
      <c r="F2319" s="5">
        <v>39</v>
      </c>
      <c r="G2319" s="12">
        <f>SUM($D$7:D2319)</f>
        <v>10415054.770000035</v>
      </c>
      <c r="H2319" s="11">
        <f t="shared" si="36"/>
        <v>0.97640974822476034</v>
      </c>
    </row>
    <row r="2320" spans="1:8" ht="15" customHeight="1" x14ac:dyDescent="0.25">
      <c r="A2320" s="5">
        <v>2314</v>
      </c>
      <c r="B2320" s="10" t="s">
        <v>4609</v>
      </c>
      <c r="C2320" s="10" t="s">
        <v>4610</v>
      </c>
      <c r="D2320" s="7">
        <v>466.3</v>
      </c>
      <c r="E2320" s="5">
        <v>184</v>
      </c>
      <c r="F2320" s="5">
        <v>27</v>
      </c>
      <c r="G2320" s="12">
        <f>SUM($D$7:D2320)</f>
        <v>10415521.070000036</v>
      </c>
      <c r="H2320" s="11">
        <f t="shared" si="36"/>
        <v>0.97645346377649311</v>
      </c>
    </row>
    <row r="2321" spans="1:8" ht="15" customHeight="1" x14ac:dyDescent="0.25">
      <c r="A2321" s="5">
        <v>2315</v>
      </c>
      <c r="B2321" s="10" t="s">
        <v>4611</v>
      </c>
      <c r="C2321" s="10" t="s">
        <v>4612</v>
      </c>
      <c r="D2321" s="7">
        <v>466.18</v>
      </c>
      <c r="E2321" s="5">
        <v>732</v>
      </c>
      <c r="F2321" s="5">
        <v>45</v>
      </c>
      <c r="G2321" s="12">
        <f>SUM($D$7:D2321)</f>
        <v>10415987.250000035</v>
      </c>
      <c r="H2321" s="11">
        <f t="shared" si="36"/>
        <v>0.97649716807824471</v>
      </c>
    </row>
    <row r="2322" spans="1:8" ht="15" customHeight="1" x14ac:dyDescent="0.25">
      <c r="A2322" s="5">
        <v>2316</v>
      </c>
      <c r="B2322" s="10" t="s">
        <v>4613</v>
      </c>
      <c r="C2322" s="10" t="s">
        <v>4614</v>
      </c>
      <c r="D2322" s="7">
        <v>465.36</v>
      </c>
      <c r="E2322" s="5">
        <v>1220</v>
      </c>
      <c r="F2322" s="5">
        <v>76</v>
      </c>
      <c r="G2322" s="12">
        <f>SUM($D$7:D2322)</f>
        <v>10416452.610000035</v>
      </c>
      <c r="H2322" s="11">
        <f t="shared" si="36"/>
        <v>0.97654079550512507</v>
      </c>
    </row>
    <row r="2323" spans="1:8" ht="15" customHeight="1" x14ac:dyDescent="0.25">
      <c r="A2323" s="5">
        <v>2317</v>
      </c>
      <c r="B2323" s="10" t="s">
        <v>4615</v>
      </c>
      <c r="C2323" s="10" t="s">
        <v>4616</v>
      </c>
      <c r="D2323" s="7">
        <v>463.79</v>
      </c>
      <c r="E2323" s="5">
        <v>304</v>
      </c>
      <c r="F2323" s="5">
        <v>46</v>
      </c>
      <c r="G2323" s="12">
        <f>SUM($D$7:D2323)</f>
        <v>10416916.400000034</v>
      </c>
      <c r="H2323" s="11">
        <f t="shared" si="36"/>
        <v>0.97658427574475215</v>
      </c>
    </row>
    <row r="2324" spans="1:8" ht="15" customHeight="1" x14ac:dyDescent="0.25">
      <c r="A2324" s="5">
        <v>2318</v>
      </c>
      <c r="B2324" s="10" t="s">
        <v>4617</v>
      </c>
      <c r="C2324" s="10" t="s">
        <v>4618</v>
      </c>
      <c r="D2324" s="7">
        <v>462.45</v>
      </c>
      <c r="E2324" s="5">
        <v>165</v>
      </c>
      <c r="F2324" s="5">
        <v>33</v>
      </c>
      <c r="G2324" s="12">
        <f>SUM($D$7:D2324)</f>
        <v>10417378.850000033</v>
      </c>
      <c r="H2324" s="11">
        <f t="shared" si="36"/>
        <v>0.97662763035958966</v>
      </c>
    </row>
    <row r="2325" spans="1:8" ht="15" customHeight="1" x14ac:dyDescent="0.25">
      <c r="A2325" s="5">
        <v>2319</v>
      </c>
      <c r="B2325" s="10" t="s">
        <v>4619</v>
      </c>
      <c r="C2325" s="10" t="s">
        <v>4620</v>
      </c>
      <c r="D2325" s="7">
        <v>462.33</v>
      </c>
      <c r="E2325" s="5">
        <v>206</v>
      </c>
      <c r="F2325" s="5">
        <v>69</v>
      </c>
      <c r="G2325" s="12">
        <f>SUM($D$7:D2325)</f>
        <v>10417841.180000033</v>
      </c>
      <c r="H2325" s="11">
        <f t="shared" si="36"/>
        <v>0.97667097372444622</v>
      </c>
    </row>
    <row r="2326" spans="1:8" ht="15" customHeight="1" x14ac:dyDescent="0.25">
      <c r="A2326" s="5">
        <v>2320</v>
      </c>
      <c r="B2326" s="10" t="s">
        <v>4621</v>
      </c>
      <c r="C2326" s="10" t="s">
        <v>4622</v>
      </c>
      <c r="D2326" s="7">
        <v>461.45</v>
      </c>
      <c r="E2326" s="5">
        <v>385</v>
      </c>
      <c r="F2326" s="5">
        <v>57</v>
      </c>
      <c r="G2326" s="12">
        <f>SUM($D$7:D2326)</f>
        <v>10418302.630000032</v>
      </c>
      <c r="H2326" s="11">
        <f t="shared" si="36"/>
        <v>0.97671423458944095</v>
      </c>
    </row>
    <row r="2327" spans="1:8" ht="15" customHeight="1" x14ac:dyDescent="0.25">
      <c r="A2327" s="5">
        <v>2321</v>
      </c>
      <c r="B2327" s="10" t="s">
        <v>4623</v>
      </c>
      <c r="C2327" s="10" t="s">
        <v>4624</v>
      </c>
      <c r="D2327" s="7">
        <v>460.64</v>
      </c>
      <c r="E2327" s="5">
        <v>558</v>
      </c>
      <c r="F2327" s="5">
        <v>25</v>
      </c>
      <c r="G2327" s="12">
        <f>SUM($D$7:D2327)</f>
        <v>10418763.270000033</v>
      </c>
      <c r="H2327" s="11">
        <f t="shared" si="36"/>
        <v>0.97675741951706307</v>
      </c>
    </row>
    <row r="2328" spans="1:8" ht="15" customHeight="1" x14ac:dyDescent="0.25">
      <c r="A2328" s="5">
        <v>2322</v>
      </c>
      <c r="B2328" s="10" t="s">
        <v>4625</v>
      </c>
      <c r="C2328" s="10" t="s">
        <v>4626</v>
      </c>
      <c r="D2328" s="7">
        <v>460.58</v>
      </c>
      <c r="E2328" s="5">
        <v>78</v>
      </c>
      <c r="F2328" s="5">
        <v>46</v>
      </c>
      <c r="G2328" s="12">
        <f>SUM($D$7:D2328)</f>
        <v>10419223.850000033</v>
      </c>
      <c r="H2328" s="11">
        <f t="shared" si="36"/>
        <v>0.97680059881969461</v>
      </c>
    </row>
    <row r="2329" spans="1:8" ht="15" customHeight="1" x14ac:dyDescent="0.25">
      <c r="A2329" s="5">
        <v>2323</v>
      </c>
      <c r="B2329" s="10" t="s">
        <v>4627</v>
      </c>
      <c r="C2329" s="10" t="s">
        <v>4628</v>
      </c>
      <c r="D2329" s="7">
        <v>460.5</v>
      </c>
      <c r="E2329" s="5">
        <v>1125</v>
      </c>
      <c r="F2329" s="5">
        <v>36</v>
      </c>
      <c r="G2329" s="12">
        <f>SUM($D$7:D2329)</f>
        <v>10419684.350000033</v>
      </c>
      <c r="H2329" s="11">
        <f t="shared" si="36"/>
        <v>0.97684377062233863</v>
      </c>
    </row>
    <row r="2330" spans="1:8" ht="15" customHeight="1" x14ac:dyDescent="0.25">
      <c r="A2330" s="5">
        <v>2324</v>
      </c>
      <c r="B2330" s="10" t="s">
        <v>4629</v>
      </c>
      <c r="C2330" s="10" t="s">
        <v>4630</v>
      </c>
      <c r="D2330" s="7">
        <v>460.38</v>
      </c>
      <c r="E2330" s="5">
        <v>1228</v>
      </c>
      <c r="F2330" s="5">
        <v>76</v>
      </c>
      <c r="G2330" s="12">
        <f>SUM($D$7:D2330)</f>
        <v>10420144.730000034</v>
      </c>
      <c r="H2330" s="11">
        <f t="shared" si="36"/>
        <v>0.97688693117500158</v>
      </c>
    </row>
    <row r="2331" spans="1:8" ht="15" customHeight="1" x14ac:dyDescent="0.25">
      <c r="A2331" s="5">
        <v>2325</v>
      </c>
      <c r="B2331" s="10" t="s">
        <v>4631</v>
      </c>
      <c r="C2331" s="10" t="s">
        <v>4632</v>
      </c>
      <c r="D2331" s="7">
        <v>458.31</v>
      </c>
      <c r="E2331" s="5">
        <v>528</v>
      </c>
      <c r="F2331" s="5">
        <v>102</v>
      </c>
      <c r="G2331" s="12">
        <f>SUM($D$7:D2331)</f>
        <v>10420603.040000034</v>
      </c>
      <c r="H2331" s="11">
        <f t="shared" si="36"/>
        <v>0.97692989766548977</v>
      </c>
    </row>
    <row r="2332" spans="1:8" ht="15" customHeight="1" x14ac:dyDescent="0.25">
      <c r="A2332" s="5">
        <v>2326</v>
      </c>
      <c r="B2332" s="10" t="s">
        <v>4633</v>
      </c>
      <c r="C2332" s="10" t="s">
        <v>4634</v>
      </c>
      <c r="D2332" s="7">
        <v>458.23</v>
      </c>
      <c r="E2332" s="5">
        <v>539</v>
      </c>
      <c r="F2332" s="5">
        <v>74</v>
      </c>
      <c r="G2332" s="12">
        <f>SUM($D$7:D2332)</f>
        <v>10421061.270000035</v>
      </c>
      <c r="H2332" s="11">
        <f t="shared" si="36"/>
        <v>0.97697285665599054</v>
      </c>
    </row>
    <row r="2333" spans="1:8" ht="15" customHeight="1" x14ac:dyDescent="0.25">
      <c r="A2333" s="5">
        <v>2327</v>
      </c>
      <c r="B2333" s="10" t="s">
        <v>4635</v>
      </c>
      <c r="C2333" s="10" t="s">
        <v>4636</v>
      </c>
      <c r="D2333" s="7">
        <v>457.62</v>
      </c>
      <c r="E2333" s="5">
        <v>286</v>
      </c>
      <c r="F2333" s="5">
        <v>25</v>
      </c>
      <c r="G2333" s="12">
        <f>SUM($D$7:D2333)</f>
        <v>10421518.890000034</v>
      </c>
      <c r="H2333" s="11">
        <f t="shared" si="36"/>
        <v>0.97701575845908706</v>
      </c>
    </row>
    <row r="2334" spans="1:8" ht="15" customHeight="1" x14ac:dyDescent="0.25">
      <c r="A2334" s="5">
        <v>2328</v>
      </c>
      <c r="B2334" s="10" t="s">
        <v>4637</v>
      </c>
      <c r="C2334" s="10" t="s">
        <v>4638</v>
      </c>
      <c r="D2334" s="7">
        <v>457.51</v>
      </c>
      <c r="E2334" s="5">
        <v>348</v>
      </c>
      <c r="F2334" s="5">
        <v>89</v>
      </c>
      <c r="G2334" s="12">
        <f>SUM($D$7:D2334)</f>
        <v>10421976.400000034</v>
      </c>
      <c r="H2334" s="11">
        <f t="shared" si="36"/>
        <v>0.97705864994970093</v>
      </c>
    </row>
    <row r="2335" spans="1:8" ht="15" customHeight="1" x14ac:dyDescent="0.25">
      <c r="A2335" s="5">
        <v>2329</v>
      </c>
      <c r="B2335" s="10" t="s">
        <v>4639</v>
      </c>
      <c r="C2335" s="10" t="s">
        <v>4640</v>
      </c>
      <c r="D2335" s="7">
        <v>456.48</v>
      </c>
      <c r="E2335" s="5">
        <v>108</v>
      </c>
      <c r="F2335" s="5">
        <v>20</v>
      </c>
      <c r="G2335" s="12">
        <f>SUM($D$7:D2335)</f>
        <v>10422432.880000034</v>
      </c>
      <c r="H2335" s="11">
        <f t="shared" si="36"/>
        <v>0.97710144487797668</v>
      </c>
    </row>
    <row r="2336" spans="1:8" ht="15" customHeight="1" x14ac:dyDescent="0.25">
      <c r="A2336" s="5">
        <v>2330</v>
      </c>
      <c r="B2336" s="10" t="s">
        <v>4641</v>
      </c>
      <c r="C2336" s="10" t="s">
        <v>4642</v>
      </c>
      <c r="D2336" s="7">
        <v>455.98</v>
      </c>
      <c r="E2336" s="5">
        <v>2545</v>
      </c>
      <c r="F2336" s="5">
        <v>24</v>
      </c>
      <c r="G2336" s="12">
        <f>SUM($D$7:D2336)</f>
        <v>10422888.860000035</v>
      </c>
      <c r="H2336" s="11">
        <f t="shared" si="36"/>
        <v>0.97714419293133103</v>
      </c>
    </row>
    <row r="2337" spans="1:8" ht="15" customHeight="1" x14ac:dyDescent="0.25">
      <c r="A2337" s="5">
        <v>2331</v>
      </c>
      <c r="B2337" s="10" t="s">
        <v>4643</v>
      </c>
      <c r="C2337" s="10" t="s">
        <v>4644</v>
      </c>
      <c r="D2337" s="7">
        <v>454.99</v>
      </c>
      <c r="E2337" s="5">
        <v>141</v>
      </c>
      <c r="F2337" s="5">
        <v>63</v>
      </c>
      <c r="G2337" s="12">
        <f>SUM($D$7:D2337)</f>
        <v>10423343.850000035</v>
      </c>
      <c r="H2337" s="11">
        <f t="shared" si="36"/>
        <v>0.97718684817234081</v>
      </c>
    </row>
    <row r="2338" spans="1:8" ht="15" customHeight="1" x14ac:dyDescent="0.25">
      <c r="A2338" s="5">
        <v>2332</v>
      </c>
      <c r="B2338" s="10" t="s">
        <v>4645</v>
      </c>
      <c r="C2338" s="10" t="s">
        <v>4646</v>
      </c>
      <c r="D2338" s="7">
        <v>454.65</v>
      </c>
      <c r="E2338" s="5">
        <v>127</v>
      </c>
      <c r="F2338" s="5">
        <v>21</v>
      </c>
      <c r="G2338" s="12">
        <f>SUM($D$7:D2338)</f>
        <v>10423798.500000035</v>
      </c>
      <c r="H2338" s="11">
        <f t="shared" si="36"/>
        <v>0.97722947153840412</v>
      </c>
    </row>
    <row r="2339" spans="1:8" ht="15" customHeight="1" x14ac:dyDescent="0.25">
      <c r="A2339" s="5">
        <v>2333</v>
      </c>
      <c r="B2339" s="10" t="s">
        <v>4647</v>
      </c>
      <c r="C2339" s="10" t="s">
        <v>4648</v>
      </c>
      <c r="D2339" s="7">
        <v>454.5</v>
      </c>
      <c r="E2339" s="5">
        <v>531</v>
      </c>
      <c r="F2339" s="5">
        <v>75</v>
      </c>
      <c r="G2339" s="12">
        <f>SUM($D$7:D2339)</f>
        <v>10424253.000000035</v>
      </c>
      <c r="H2339" s="11">
        <f t="shared" si="36"/>
        <v>0.97727208084199091</v>
      </c>
    </row>
    <row r="2340" spans="1:8" ht="15" customHeight="1" x14ac:dyDescent="0.25">
      <c r="A2340" s="5">
        <v>2334</v>
      </c>
      <c r="B2340" s="10" t="s">
        <v>4649</v>
      </c>
      <c r="C2340" s="10" t="s">
        <v>4650</v>
      </c>
      <c r="D2340" s="7">
        <v>454.42</v>
      </c>
      <c r="E2340" s="5">
        <v>223</v>
      </c>
      <c r="F2340" s="5">
        <v>46</v>
      </c>
      <c r="G2340" s="12">
        <f>SUM($D$7:D2340)</f>
        <v>10424707.420000035</v>
      </c>
      <c r="H2340" s="11">
        <f t="shared" si="36"/>
        <v>0.97731468264559029</v>
      </c>
    </row>
    <row r="2341" spans="1:8" ht="15" customHeight="1" x14ac:dyDescent="0.25">
      <c r="A2341" s="5">
        <v>2335</v>
      </c>
      <c r="B2341" s="10" t="s">
        <v>4651</v>
      </c>
      <c r="C2341" s="10" t="s">
        <v>4652</v>
      </c>
      <c r="D2341" s="7">
        <v>453.73</v>
      </c>
      <c r="E2341" s="5">
        <v>117</v>
      </c>
      <c r="F2341" s="5">
        <v>48</v>
      </c>
      <c r="G2341" s="12">
        <f>SUM($D$7:D2341)</f>
        <v>10425161.150000036</v>
      </c>
      <c r="H2341" s="11">
        <f t="shared" si="36"/>
        <v>0.97735721976179812</v>
      </c>
    </row>
    <row r="2342" spans="1:8" ht="15" customHeight="1" x14ac:dyDescent="0.25">
      <c r="A2342" s="5">
        <v>2336</v>
      </c>
      <c r="B2342" s="10" t="s">
        <v>4653</v>
      </c>
      <c r="C2342" s="10" t="s">
        <v>4654</v>
      </c>
      <c r="D2342" s="7">
        <v>453.39</v>
      </c>
      <c r="E2342" s="5">
        <v>223</v>
      </c>
      <c r="F2342" s="5">
        <v>29</v>
      </c>
      <c r="G2342" s="12">
        <f>SUM($D$7:D2342)</f>
        <v>10425614.540000036</v>
      </c>
      <c r="H2342" s="11">
        <f t="shared" si="36"/>
        <v>0.97739972500305938</v>
      </c>
    </row>
    <row r="2343" spans="1:8" ht="15" customHeight="1" x14ac:dyDescent="0.25">
      <c r="A2343" s="5">
        <v>2337</v>
      </c>
      <c r="B2343" s="10" t="s">
        <v>4655</v>
      </c>
      <c r="C2343" s="10" t="s">
        <v>4656</v>
      </c>
      <c r="D2343" s="7">
        <v>452.86</v>
      </c>
      <c r="E2343" s="5">
        <v>429</v>
      </c>
      <c r="F2343" s="5">
        <v>46</v>
      </c>
      <c r="G2343" s="12">
        <f>SUM($D$7:D2343)</f>
        <v>10426067.400000036</v>
      </c>
      <c r="H2343" s="11">
        <f t="shared" si="36"/>
        <v>0.97744218055690379</v>
      </c>
    </row>
    <row r="2344" spans="1:8" ht="15" customHeight="1" x14ac:dyDescent="0.25">
      <c r="A2344" s="5">
        <v>2338</v>
      </c>
      <c r="B2344" s="10" t="s">
        <v>4657</v>
      </c>
      <c r="C2344" s="10" t="s">
        <v>4658</v>
      </c>
      <c r="D2344" s="7">
        <v>452.72</v>
      </c>
      <c r="E2344" s="5">
        <v>1065</v>
      </c>
      <c r="F2344" s="5">
        <v>65</v>
      </c>
      <c r="G2344" s="12">
        <f>SUM($D$7:D2344)</f>
        <v>10426520.120000036</v>
      </c>
      <c r="H2344" s="11">
        <f t="shared" si="36"/>
        <v>0.97748462298577032</v>
      </c>
    </row>
    <row r="2345" spans="1:8" ht="15" customHeight="1" x14ac:dyDescent="0.25">
      <c r="A2345" s="5">
        <v>2339</v>
      </c>
      <c r="B2345" s="10" t="s">
        <v>1261</v>
      </c>
      <c r="C2345" s="10" t="s">
        <v>4659</v>
      </c>
      <c r="D2345" s="7">
        <v>451.84</v>
      </c>
      <c r="E2345" s="5">
        <v>204</v>
      </c>
      <c r="F2345" s="5">
        <v>31</v>
      </c>
      <c r="G2345" s="12">
        <f>SUM($D$7:D2345)</f>
        <v>10426971.960000036</v>
      </c>
      <c r="H2345" s="11">
        <f t="shared" si="36"/>
        <v>0.97752698291477513</v>
      </c>
    </row>
    <row r="2346" spans="1:8" ht="15" customHeight="1" x14ac:dyDescent="0.25">
      <c r="A2346" s="5">
        <v>2340</v>
      </c>
      <c r="B2346" s="10" t="s">
        <v>4660</v>
      </c>
      <c r="C2346" s="10" t="s">
        <v>4661</v>
      </c>
      <c r="D2346" s="7">
        <v>451.7</v>
      </c>
      <c r="E2346" s="5">
        <v>488</v>
      </c>
      <c r="F2346" s="5">
        <v>83</v>
      </c>
      <c r="G2346" s="12">
        <f>SUM($D$7:D2346)</f>
        <v>10427423.660000036</v>
      </c>
      <c r="H2346" s="11">
        <f t="shared" si="36"/>
        <v>0.97756932971880184</v>
      </c>
    </row>
    <row r="2347" spans="1:8" ht="15" customHeight="1" x14ac:dyDescent="0.25">
      <c r="A2347" s="5">
        <v>2341</v>
      </c>
      <c r="B2347" s="10" t="s">
        <v>4662</v>
      </c>
      <c r="C2347" s="10" t="s">
        <v>4663</v>
      </c>
      <c r="D2347" s="7">
        <v>451.59</v>
      </c>
      <c r="E2347" s="5">
        <v>1153</v>
      </c>
      <c r="F2347" s="5">
        <v>49</v>
      </c>
      <c r="G2347" s="12">
        <f>SUM($D$7:D2347)</f>
        <v>10427875.250000035</v>
      </c>
      <c r="H2347" s="11">
        <f t="shared" si="36"/>
        <v>0.97761166621034579</v>
      </c>
    </row>
    <row r="2348" spans="1:8" ht="15" customHeight="1" x14ac:dyDescent="0.25">
      <c r="A2348" s="5">
        <v>2342</v>
      </c>
      <c r="B2348" s="10" t="s">
        <v>4664</v>
      </c>
      <c r="C2348" s="10" t="s">
        <v>4665</v>
      </c>
      <c r="D2348" s="7">
        <v>451.5</v>
      </c>
      <c r="E2348" s="5">
        <v>1075</v>
      </c>
      <c r="F2348" s="5">
        <v>43</v>
      </c>
      <c r="G2348" s="12">
        <f>SUM($D$7:D2348)</f>
        <v>10428326.750000035</v>
      </c>
      <c r="H2348" s="11">
        <f t="shared" si="36"/>
        <v>0.97765399426440402</v>
      </c>
    </row>
    <row r="2349" spans="1:8" ht="15" customHeight="1" x14ac:dyDescent="0.25">
      <c r="A2349" s="5">
        <v>2343</v>
      </c>
      <c r="B2349" s="10" t="s">
        <v>4666</v>
      </c>
      <c r="C2349" s="10" t="s">
        <v>4667</v>
      </c>
      <c r="D2349" s="7">
        <v>451.11</v>
      </c>
      <c r="E2349" s="5">
        <v>27</v>
      </c>
      <c r="F2349" s="5">
        <v>17</v>
      </c>
      <c r="G2349" s="12">
        <f>SUM($D$7:D2349)</f>
        <v>10428777.860000035</v>
      </c>
      <c r="H2349" s="11">
        <f t="shared" si="36"/>
        <v>0.97769628575602341</v>
      </c>
    </row>
    <row r="2350" spans="1:8" ht="15" customHeight="1" x14ac:dyDescent="0.25">
      <c r="A2350" s="5">
        <v>2344</v>
      </c>
      <c r="B2350" s="10" t="s">
        <v>4668</v>
      </c>
      <c r="C2350" s="10" t="s">
        <v>4669</v>
      </c>
      <c r="D2350" s="7">
        <v>450.08</v>
      </c>
      <c r="E2350" s="5">
        <v>40</v>
      </c>
      <c r="F2350" s="5">
        <v>32</v>
      </c>
      <c r="G2350" s="12">
        <f>SUM($D$7:D2350)</f>
        <v>10429227.940000035</v>
      </c>
      <c r="H2350" s="11">
        <f t="shared" si="36"/>
        <v>0.97773848068530467</v>
      </c>
    </row>
    <row r="2351" spans="1:8" ht="15" customHeight="1" x14ac:dyDescent="0.25">
      <c r="A2351" s="5">
        <v>2345</v>
      </c>
      <c r="B2351" s="10" t="s">
        <v>4670</v>
      </c>
      <c r="C2351" s="10" t="s">
        <v>4671</v>
      </c>
      <c r="D2351" s="7">
        <v>449.8</v>
      </c>
      <c r="E2351" s="5">
        <v>185</v>
      </c>
      <c r="F2351" s="5">
        <v>72</v>
      </c>
      <c r="G2351" s="12">
        <f>SUM($D$7:D2351)</f>
        <v>10429677.740000036</v>
      </c>
      <c r="H2351" s="11">
        <f t="shared" si="36"/>
        <v>0.97778064936463005</v>
      </c>
    </row>
    <row r="2352" spans="1:8" ht="15" customHeight="1" x14ac:dyDescent="0.25">
      <c r="A2352" s="5">
        <v>2346</v>
      </c>
      <c r="B2352" s="10" t="s">
        <v>4672</v>
      </c>
      <c r="C2352" s="10" t="s">
        <v>4673</v>
      </c>
      <c r="D2352" s="7">
        <v>449.39</v>
      </c>
      <c r="E2352" s="5">
        <v>238</v>
      </c>
      <c r="F2352" s="5">
        <v>57</v>
      </c>
      <c r="G2352" s="12">
        <f>SUM($D$7:D2352)</f>
        <v>10430127.130000036</v>
      </c>
      <c r="H2352" s="11">
        <f t="shared" si="36"/>
        <v>0.97782277960651987</v>
      </c>
    </row>
    <row r="2353" spans="1:8" ht="15" customHeight="1" x14ac:dyDescent="0.25">
      <c r="A2353" s="5">
        <v>2347</v>
      </c>
      <c r="B2353" s="10" t="s">
        <v>4674</v>
      </c>
      <c r="C2353" s="10" t="s">
        <v>4675</v>
      </c>
      <c r="D2353" s="7">
        <v>447.36</v>
      </c>
      <c r="E2353" s="5">
        <v>994</v>
      </c>
      <c r="F2353" s="5">
        <v>95</v>
      </c>
      <c r="G2353" s="12">
        <f>SUM($D$7:D2353)</f>
        <v>10430574.490000036</v>
      </c>
      <c r="H2353" s="11">
        <f t="shared" si="36"/>
        <v>0.97786471953622844</v>
      </c>
    </row>
    <row r="2354" spans="1:8" ht="15" customHeight="1" x14ac:dyDescent="0.25">
      <c r="A2354" s="5">
        <v>2348</v>
      </c>
      <c r="B2354" s="10" t="s">
        <v>4676</v>
      </c>
      <c r="C2354" s="10" t="s">
        <v>4677</v>
      </c>
      <c r="D2354" s="7">
        <v>447.34</v>
      </c>
      <c r="E2354" s="5">
        <v>304</v>
      </c>
      <c r="F2354" s="5">
        <v>96</v>
      </c>
      <c r="G2354" s="12">
        <f>SUM($D$7:D2354)</f>
        <v>10431021.830000035</v>
      </c>
      <c r="H2354" s="11">
        <f t="shared" si="36"/>
        <v>0.97790665759094031</v>
      </c>
    </row>
    <row r="2355" spans="1:8" ht="15" customHeight="1" x14ac:dyDescent="0.25">
      <c r="A2355" s="5">
        <v>2349</v>
      </c>
      <c r="B2355" s="10" t="s">
        <v>4678</v>
      </c>
      <c r="C2355" s="10" t="s">
        <v>4679</v>
      </c>
      <c r="D2355" s="7">
        <v>447.09</v>
      </c>
      <c r="E2355" s="5">
        <v>363</v>
      </c>
      <c r="F2355" s="5">
        <v>52</v>
      </c>
      <c r="G2355" s="12">
        <f>SUM($D$7:D2355)</f>
        <v>10431468.920000035</v>
      </c>
      <c r="H2355" s="11">
        <f t="shared" si="36"/>
        <v>0.97794857220819131</v>
      </c>
    </row>
    <row r="2356" spans="1:8" ht="15" customHeight="1" x14ac:dyDescent="0.25">
      <c r="A2356" s="5">
        <v>2350</v>
      </c>
      <c r="B2356" s="10" t="s">
        <v>4680</v>
      </c>
      <c r="C2356" s="10" t="s">
        <v>4681</v>
      </c>
      <c r="D2356" s="7">
        <v>446.89</v>
      </c>
      <c r="E2356" s="5">
        <v>53</v>
      </c>
      <c r="F2356" s="5">
        <v>25</v>
      </c>
      <c r="G2356" s="12">
        <f>SUM($D$7:D2356)</f>
        <v>10431915.810000036</v>
      </c>
      <c r="H2356" s="11">
        <f t="shared" si="36"/>
        <v>0.97799046807547396</v>
      </c>
    </row>
    <row r="2357" spans="1:8" ht="15" customHeight="1" x14ac:dyDescent="0.25">
      <c r="A2357" s="5">
        <v>2351</v>
      </c>
      <c r="B2357" s="10" t="s">
        <v>4682</v>
      </c>
      <c r="C2357" s="10" t="s">
        <v>4683</v>
      </c>
      <c r="D2357" s="7">
        <v>446.45</v>
      </c>
      <c r="E2357" s="5">
        <v>71</v>
      </c>
      <c r="F2357" s="5">
        <v>25</v>
      </c>
      <c r="G2357" s="12">
        <f>SUM($D$7:D2357)</f>
        <v>10432362.260000035</v>
      </c>
      <c r="H2357" s="11">
        <f t="shared" si="36"/>
        <v>0.97803232269282558</v>
      </c>
    </row>
    <row r="2358" spans="1:8" ht="15" customHeight="1" x14ac:dyDescent="0.25">
      <c r="A2358" s="5">
        <v>2352</v>
      </c>
      <c r="B2358" s="10" t="s">
        <v>4684</v>
      </c>
      <c r="C2358" s="10" t="s">
        <v>4685</v>
      </c>
      <c r="D2358" s="7">
        <v>446.15</v>
      </c>
      <c r="E2358" s="5">
        <v>512</v>
      </c>
      <c r="F2358" s="5">
        <v>37</v>
      </c>
      <c r="G2358" s="12">
        <f>SUM($D$7:D2358)</f>
        <v>10432808.410000036</v>
      </c>
      <c r="H2358" s="11">
        <f t="shared" si="36"/>
        <v>0.9780741491852244</v>
      </c>
    </row>
    <row r="2359" spans="1:8" ht="15" customHeight="1" x14ac:dyDescent="0.25">
      <c r="A2359" s="5">
        <v>2353</v>
      </c>
      <c r="B2359" s="10" t="s">
        <v>4686</v>
      </c>
      <c r="C2359" s="10" t="s">
        <v>4687</v>
      </c>
      <c r="D2359" s="7">
        <v>445.44</v>
      </c>
      <c r="E2359" s="5">
        <v>268</v>
      </c>
      <c r="F2359" s="5">
        <v>36</v>
      </c>
      <c r="G2359" s="12">
        <f>SUM($D$7:D2359)</f>
        <v>10433253.850000035</v>
      </c>
      <c r="H2359" s="11">
        <f t="shared" si="36"/>
        <v>0.97811590911523472</v>
      </c>
    </row>
    <row r="2360" spans="1:8" ht="15" customHeight="1" x14ac:dyDescent="0.25">
      <c r="A2360" s="5">
        <v>2354</v>
      </c>
      <c r="B2360" s="10" t="s">
        <v>4688</v>
      </c>
      <c r="C2360" s="10" t="s">
        <v>4689</v>
      </c>
      <c r="D2360" s="7">
        <v>445.17</v>
      </c>
      <c r="E2360" s="5">
        <v>240</v>
      </c>
      <c r="F2360" s="5">
        <v>48</v>
      </c>
      <c r="G2360" s="12">
        <f>SUM($D$7:D2360)</f>
        <v>10433699.020000035</v>
      </c>
      <c r="H2360" s="11">
        <f t="shared" si="36"/>
        <v>0.97815764373278746</v>
      </c>
    </row>
    <row r="2361" spans="1:8" ht="15" customHeight="1" x14ac:dyDescent="0.25">
      <c r="A2361" s="5">
        <v>2355</v>
      </c>
      <c r="B2361" s="10" t="s">
        <v>4690</v>
      </c>
      <c r="C2361" s="10" t="s">
        <v>4519</v>
      </c>
      <c r="D2361" s="7">
        <v>444.63</v>
      </c>
      <c r="E2361" s="5">
        <v>538</v>
      </c>
      <c r="F2361" s="5">
        <v>96</v>
      </c>
      <c r="G2361" s="12">
        <f>SUM($D$7:D2361)</f>
        <v>10434143.650000036</v>
      </c>
      <c r="H2361" s="11">
        <f t="shared" si="36"/>
        <v>0.97819932772542517</v>
      </c>
    </row>
    <row r="2362" spans="1:8" ht="15" customHeight="1" x14ac:dyDescent="0.25">
      <c r="A2362" s="5">
        <v>2356</v>
      </c>
      <c r="B2362" s="10" t="s">
        <v>4691</v>
      </c>
      <c r="C2362" s="10" t="s">
        <v>4692</v>
      </c>
      <c r="D2362" s="7">
        <v>444.58</v>
      </c>
      <c r="E2362" s="5">
        <v>219</v>
      </c>
      <c r="F2362" s="5">
        <v>47</v>
      </c>
      <c r="G2362" s="12">
        <f>SUM($D$7:D2362)</f>
        <v>10434588.230000036</v>
      </c>
      <c r="H2362" s="11">
        <f t="shared" si="36"/>
        <v>0.9782410070305706</v>
      </c>
    </row>
    <row r="2363" spans="1:8" ht="15" customHeight="1" x14ac:dyDescent="0.25">
      <c r="A2363" s="5">
        <v>2357</v>
      </c>
      <c r="B2363" s="10" t="s">
        <v>4693</v>
      </c>
      <c r="C2363" s="10" t="s">
        <v>4694</v>
      </c>
      <c r="D2363" s="7">
        <v>444.07</v>
      </c>
      <c r="E2363" s="5">
        <v>181</v>
      </c>
      <c r="F2363" s="5">
        <v>62</v>
      </c>
      <c r="G2363" s="12">
        <f>SUM($D$7:D2363)</f>
        <v>10435032.300000036</v>
      </c>
      <c r="H2363" s="11">
        <f t="shared" si="36"/>
        <v>0.97828263852329633</v>
      </c>
    </row>
    <row r="2364" spans="1:8" ht="15" customHeight="1" x14ac:dyDescent="0.25">
      <c r="A2364" s="5">
        <v>2358</v>
      </c>
      <c r="B2364" s="10" t="s">
        <v>4695</v>
      </c>
      <c r="C2364" s="10" t="s">
        <v>4696</v>
      </c>
      <c r="D2364" s="7">
        <v>441.89</v>
      </c>
      <c r="E2364" s="5">
        <v>82</v>
      </c>
      <c r="F2364" s="5">
        <v>56</v>
      </c>
      <c r="G2364" s="12">
        <f>SUM($D$7:D2364)</f>
        <v>10435474.190000037</v>
      </c>
      <c r="H2364" s="11">
        <f t="shared" si="36"/>
        <v>0.97832406564136454</v>
      </c>
    </row>
    <row r="2365" spans="1:8" ht="15" customHeight="1" x14ac:dyDescent="0.25">
      <c r="A2365" s="5">
        <v>2359</v>
      </c>
      <c r="B2365" s="10" t="s">
        <v>4697</v>
      </c>
      <c r="C2365" s="10" t="s">
        <v>4698</v>
      </c>
      <c r="D2365" s="7">
        <v>441.12</v>
      </c>
      <c r="E2365" s="5">
        <v>177</v>
      </c>
      <c r="F2365" s="5">
        <v>55</v>
      </c>
      <c r="G2365" s="12">
        <f>SUM($D$7:D2365)</f>
        <v>10435915.310000036</v>
      </c>
      <c r="H2365" s="11">
        <f t="shared" si="36"/>
        <v>0.97836542057205356</v>
      </c>
    </row>
    <row r="2366" spans="1:8" ht="15" customHeight="1" x14ac:dyDescent="0.25">
      <c r="A2366" s="5">
        <v>2360</v>
      </c>
      <c r="B2366" s="10" t="s">
        <v>4699</v>
      </c>
      <c r="C2366" s="10" t="s">
        <v>4700</v>
      </c>
      <c r="D2366" s="7">
        <v>441.07</v>
      </c>
      <c r="E2366" s="5">
        <v>1421</v>
      </c>
      <c r="F2366" s="5">
        <v>57</v>
      </c>
      <c r="G2366" s="12">
        <f>SUM($D$7:D2366)</f>
        <v>10436356.380000036</v>
      </c>
      <c r="H2366" s="11">
        <f t="shared" si="36"/>
        <v>0.97840677081525063</v>
      </c>
    </row>
    <row r="2367" spans="1:8" ht="15" customHeight="1" x14ac:dyDescent="0.25">
      <c r="A2367" s="5">
        <v>2361</v>
      </c>
      <c r="B2367" s="10" t="s">
        <v>4701</v>
      </c>
      <c r="C2367" s="10" t="s">
        <v>4702</v>
      </c>
      <c r="D2367" s="7">
        <v>440.62</v>
      </c>
      <c r="E2367" s="5">
        <v>170</v>
      </c>
      <c r="F2367" s="5">
        <v>28</v>
      </c>
      <c r="G2367" s="12">
        <f>SUM($D$7:D2367)</f>
        <v>10436797.000000035</v>
      </c>
      <c r="H2367" s="11">
        <f t="shared" si="36"/>
        <v>0.97844807887101815</v>
      </c>
    </row>
    <row r="2368" spans="1:8" ht="15" customHeight="1" x14ac:dyDescent="0.25">
      <c r="A2368" s="5">
        <v>2362</v>
      </c>
      <c r="B2368" s="10" t="s">
        <v>4703</v>
      </c>
      <c r="C2368" s="10" t="s">
        <v>4704</v>
      </c>
      <c r="D2368" s="7">
        <v>439.65</v>
      </c>
      <c r="E2368" s="5">
        <v>262</v>
      </c>
      <c r="F2368" s="5">
        <v>99</v>
      </c>
      <c r="G2368" s="12">
        <f>SUM($D$7:D2368)</f>
        <v>10437236.650000036</v>
      </c>
      <c r="H2368" s="11">
        <f t="shared" si="36"/>
        <v>0.97848929598943835</v>
      </c>
    </row>
    <row r="2369" spans="1:8" ht="15" customHeight="1" x14ac:dyDescent="0.25">
      <c r="A2369" s="5">
        <v>2363</v>
      </c>
      <c r="B2369" s="10" t="s">
        <v>4705</v>
      </c>
      <c r="C2369" s="10" t="s">
        <v>4706</v>
      </c>
      <c r="D2369" s="7">
        <v>439.54</v>
      </c>
      <c r="E2369" s="5">
        <v>333</v>
      </c>
      <c r="F2369" s="5">
        <v>84</v>
      </c>
      <c r="G2369" s="12">
        <f>SUM($D$7:D2369)</f>
        <v>10437676.190000035</v>
      </c>
      <c r="H2369" s="11">
        <f t="shared" si="36"/>
        <v>0.97853050279537568</v>
      </c>
    </row>
    <row r="2370" spans="1:8" ht="15" customHeight="1" x14ac:dyDescent="0.25">
      <c r="A2370" s="5">
        <v>2364</v>
      </c>
      <c r="B2370" s="10" t="s">
        <v>4707</v>
      </c>
      <c r="C2370" s="10" t="s">
        <v>4708</v>
      </c>
      <c r="D2370" s="7">
        <v>438.87</v>
      </c>
      <c r="E2370" s="5">
        <v>483</v>
      </c>
      <c r="F2370" s="5">
        <v>46</v>
      </c>
      <c r="G2370" s="12">
        <f>SUM($D$7:D2370)</f>
        <v>10438115.060000034</v>
      </c>
      <c r="H2370" s="11">
        <f t="shared" si="36"/>
        <v>0.97857164678891828</v>
      </c>
    </row>
    <row r="2371" spans="1:8" ht="15" customHeight="1" x14ac:dyDescent="0.25">
      <c r="A2371" s="5">
        <v>2365</v>
      </c>
      <c r="B2371" s="10" t="s">
        <v>4709</v>
      </c>
      <c r="C2371" s="10" t="s">
        <v>4710</v>
      </c>
      <c r="D2371" s="7">
        <v>436.09</v>
      </c>
      <c r="E2371" s="5">
        <v>1143</v>
      </c>
      <c r="F2371" s="5">
        <v>75</v>
      </c>
      <c r="G2371" s="12">
        <f>SUM($D$7:D2371)</f>
        <v>10438551.150000034</v>
      </c>
      <c r="H2371" s="11">
        <f t="shared" si="36"/>
        <v>0.97861253015789773</v>
      </c>
    </row>
    <row r="2372" spans="1:8" ht="15" customHeight="1" x14ac:dyDescent="0.25">
      <c r="A2372" s="5">
        <v>2366</v>
      </c>
      <c r="B2372" s="10" t="s">
        <v>4711</v>
      </c>
      <c r="C2372" s="10" t="s">
        <v>4712</v>
      </c>
      <c r="D2372" s="7">
        <v>434.12</v>
      </c>
      <c r="E2372" s="5">
        <v>78</v>
      </c>
      <c r="F2372" s="5">
        <v>20</v>
      </c>
      <c r="G2372" s="12">
        <f>SUM($D$7:D2372)</f>
        <v>10438985.270000033</v>
      </c>
      <c r="H2372" s="11">
        <f t="shared" si="36"/>
        <v>0.97865322883968664</v>
      </c>
    </row>
    <row r="2373" spans="1:8" ht="15" customHeight="1" x14ac:dyDescent="0.25">
      <c r="A2373" s="5">
        <v>2367</v>
      </c>
      <c r="B2373" s="10" t="s">
        <v>4713</v>
      </c>
      <c r="C2373" s="10" t="s">
        <v>4714</v>
      </c>
      <c r="D2373" s="7">
        <v>433.19</v>
      </c>
      <c r="E2373" s="5">
        <v>150</v>
      </c>
      <c r="F2373" s="5">
        <v>52</v>
      </c>
      <c r="G2373" s="12">
        <f>SUM($D$7:D2373)</f>
        <v>10439418.460000033</v>
      </c>
      <c r="H2373" s="11">
        <f t="shared" si="36"/>
        <v>0.97869384033412177</v>
      </c>
    </row>
    <row r="2374" spans="1:8" ht="15" customHeight="1" x14ac:dyDescent="0.25">
      <c r="A2374" s="5">
        <v>2368</v>
      </c>
      <c r="B2374" s="10" t="s">
        <v>4715</v>
      </c>
      <c r="C2374" s="10" t="s">
        <v>4716</v>
      </c>
      <c r="D2374" s="7">
        <v>432.79</v>
      </c>
      <c r="E2374" s="5">
        <v>51</v>
      </c>
      <c r="F2374" s="5">
        <v>35</v>
      </c>
      <c r="G2374" s="12">
        <f>SUM($D$7:D2374)</f>
        <v>10439851.250000032</v>
      </c>
      <c r="H2374" s="11">
        <f t="shared" si="36"/>
        <v>0.97873441432861963</v>
      </c>
    </row>
    <row r="2375" spans="1:8" ht="15" customHeight="1" x14ac:dyDescent="0.25">
      <c r="A2375" s="5">
        <v>2369</v>
      </c>
      <c r="B2375" s="10" t="s">
        <v>4717</v>
      </c>
      <c r="C2375" s="10" t="s">
        <v>4718</v>
      </c>
      <c r="D2375" s="7">
        <v>432.46</v>
      </c>
      <c r="E2375" s="5">
        <v>568</v>
      </c>
      <c r="F2375" s="5">
        <v>101</v>
      </c>
      <c r="G2375" s="12">
        <f>SUM($D$7:D2375)</f>
        <v>10440283.710000033</v>
      </c>
      <c r="H2375" s="11">
        <f t="shared" ref="H2375:H2438" si="37">G2375/SUM($D$7:$D$4167)</f>
        <v>0.97877495738566955</v>
      </c>
    </row>
    <row r="2376" spans="1:8" ht="15" customHeight="1" x14ac:dyDescent="0.25">
      <c r="A2376" s="5">
        <v>2370</v>
      </c>
      <c r="B2376" s="10" t="s">
        <v>4719</v>
      </c>
      <c r="C2376" s="10" t="s">
        <v>4720</v>
      </c>
      <c r="D2376" s="7">
        <v>431.98</v>
      </c>
      <c r="E2376" s="5">
        <v>86</v>
      </c>
      <c r="F2376" s="5">
        <v>29</v>
      </c>
      <c r="G2376" s="12">
        <f>SUM($D$7:D2376)</f>
        <v>10440715.690000033</v>
      </c>
      <c r="H2376" s="11">
        <f t="shared" si="37"/>
        <v>0.9788154554427948</v>
      </c>
    </row>
    <row r="2377" spans="1:8" ht="15" customHeight="1" x14ac:dyDescent="0.25">
      <c r="A2377" s="5">
        <v>2371</v>
      </c>
      <c r="B2377" s="10" t="s">
        <v>4721</v>
      </c>
      <c r="C2377" s="10" t="s">
        <v>4722</v>
      </c>
      <c r="D2377" s="7">
        <v>431.73</v>
      </c>
      <c r="E2377" s="5">
        <v>180</v>
      </c>
      <c r="F2377" s="5">
        <v>49</v>
      </c>
      <c r="G2377" s="12">
        <f>SUM($D$7:D2377)</f>
        <v>10441147.420000033</v>
      </c>
      <c r="H2377" s="11">
        <f t="shared" si="37"/>
        <v>0.97885593006245941</v>
      </c>
    </row>
    <row r="2378" spans="1:8" ht="15" customHeight="1" x14ac:dyDescent="0.25">
      <c r="A2378" s="5">
        <v>2372</v>
      </c>
      <c r="B2378" s="10" t="s">
        <v>4723</v>
      </c>
      <c r="C2378" s="10" t="s">
        <v>4724</v>
      </c>
      <c r="D2378" s="7">
        <v>430.86</v>
      </c>
      <c r="E2378" s="5">
        <v>490</v>
      </c>
      <c r="F2378" s="5">
        <v>48</v>
      </c>
      <c r="G2378" s="12">
        <f>SUM($D$7:D2378)</f>
        <v>10441578.280000033</v>
      </c>
      <c r="H2378" s="11">
        <f t="shared" si="37"/>
        <v>0.9788963231197606</v>
      </c>
    </row>
    <row r="2379" spans="1:8" ht="15" customHeight="1" x14ac:dyDescent="0.25">
      <c r="A2379" s="5">
        <v>2373</v>
      </c>
      <c r="B2379" s="10" t="s">
        <v>4725</v>
      </c>
      <c r="C2379" s="10" t="s">
        <v>4726</v>
      </c>
      <c r="D2379" s="7">
        <v>428.85</v>
      </c>
      <c r="E2379" s="5">
        <v>143</v>
      </c>
      <c r="F2379" s="5">
        <v>28</v>
      </c>
      <c r="G2379" s="12">
        <f>SUM($D$7:D2379)</f>
        <v>10442007.130000032</v>
      </c>
      <c r="H2379" s="11">
        <f t="shared" si="37"/>
        <v>0.9789365277398776</v>
      </c>
    </row>
    <row r="2380" spans="1:8" ht="15" customHeight="1" x14ac:dyDescent="0.25">
      <c r="A2380" s="5">
        <v>2374</v>
      </c>
      <c r="B2380" s="10" t="s">
        <v>4727</v>
      </c>
      <c r="C2380" s="10" t="s">
        <v>4728</v>
      </c>
      <c r="D2380" s="7">
        <v>428.66</v>
      </c>
      <c r="E2380" s="5">
        <v>125</v>
      </c>
      <c r="F2380" s="5">
        <v>66</v>
      </c>
      <c r="G2380" s="12">
        <f>SUM($D$7:D2380)</f>
        <v>10442435.790000033</v>
      </c>
      <c r="H2380" s="11">
        <f t="shared" si="37"/>
        <v>0.97897671454752455</v>
      </c>
    </row>
    <row r="2381" spans="1:8" ht="15" customHeight="1" x14ac:dyDescent="0.25">
      <c r="A2381" s="5">
        <v>2375</v>
      </c>
      <c r="B2381" s="10" t="s">
        <v>4729</v>
      </c>
      <c r="C2381" s="10" t="s">
        <v>4730</v>
      </c>
      <c r="D2381" s="7">
        <v>428.28</v>
      </c>
      <c r="E2381" s="5">
        <v>1678</v>
      </c>
      <c r="F2381" s="5">
        <v>103</v>
      </c>
      <c r="G2381" s="12">
        <f>SUM($D$7:D2381)</f>
        <v>10442864.070000032</v>
      </c>
      <c r="H2381" s="11">
        <f t="shared" si="37"/>
        <v>0.97901686573023106</v>
      </c>
    </row>
    <row r="2382" spans="1:8" ht="15" customHeight="1" x14ac:dyDescent="0.25">
      <c r="A2382" s="5">
        <v>2376</v>
      </c>
      <c r="B2382" s="10" t="s">
        <v>4731</v>
      </c>
      <c r="C2382" s="10" t="s">
        <v>4732</v>
      </c>
      <c r="D2382" s="7">
        <v>428.19</v>
      </c>
      <c r="E2382" s="5">
        <v>388</v>
      </c>
      <c r="F2382" s="5">
        <v>22</v>
      </c>
      <c r="G2382" s="12">
        <f>SUM($D$7:D2382)</f>
        <v>10443292.260000031</v>
      </c>
      <c r="H2382" s="11">
        <f t="shared" si="37"/>
        <v>0.97905700847545185</v>
      </c>
    </row>
    <row r="2383" spans="1:8" ht="15" customHeight="1" x14ac:dyDescent="0.25">
      <c r="A2383" s="5">
        <v>2377</v>
      </c>
      <c r="B2383" s="10" t="s">
        <v>4733</v>
      </c>
      <c r="C2383" s="10" t="s">
        <v>4734</v>
      </c>
      <c r="D2383" s="7">
        <v>428</v>
      </c>
      <c r="E2383" s="5">
        <v>683</v>
      </c>
      <c r="F2383" s="5">
        <v>105</v>
      </c>
      <c r="G2383" s="12">
        <f>SUM($D$7:D2383)</f>
        <v>10443720.260000031</v>
      </c>
      <c r="H2383" s="11">
        <f t="shared" si="37"/>
        <v>0.97909713340820237</v>
      </c>
    </row>
    <row r="2384" spans="1:8" ht="15" customHeight="1" x14ac:dyDescent="0.25">
      <c r="A2384" s="5">
        <v>2378</v>
      </c>
      <c r="B2384" s="10" t="s">
        <v>4735</v>
      </c>
      <c r="C2384" s="10" t="s">
        <v>4736</v>
      </c>
      <c r="D2384" s="7">
        <v>427.46</v>
      </c>
      <c r="E2384" s="5">
        <v>50</v>
      </c>
      <c r="F2384" s="5">
        <v>32</v>
      </c>
      <c r="G2384" s="12">
        <f>SUM($D$7:D2384)</f>
        <v>10444147.720000032</v>
      </c>
      <c r="H2384" s="11">
        <f t="shared" si="37"/>
        <v>0.97913720771603796</v>
      </c>
    </row>
    <row r="2385" spans="1:8" ht="15" customHeight="1" x14ac:dyDescent="0.25">
      <c r="A2385" s="5">
        <v>2379</v>
      </c>
      <c r="B2385" s="10" t="s">
        <v>4737</v>
      </c>
      <c r="C2385" s="10" t="s">
        <v>4738</v>
      </c>
      <c r="D2385" s="7">
        <v>426.13</v>
      </c>
      <c r="E2385" s="5">
        <v>59</v>
      </c>
      <c r="F2385" s="5">
        <v>22</v>
      </c>
      <c r="G2385" s="12">
        <f>SUM($D$7:D2385)</f>
        <v>10444573.850000033</v>
      </c>
      <c r="H2385" s="11">
        <f t="shared" si="37"/>
        <v>0.9791771573365825</v>
      </c>
    </row>
    <row r="2386" spans="1:8" ht="15" customHeight="1" x14ac:dyDescent="0.25">
      <c r="A2386" s="5">
        <v>2380</v>
      </c>
      <c r="B2386" s="10" t="s">
        <v>4739</v>
      </c>
      <c r="C2386" s="10" t="s">
        <v>4740</v>
      </c>
      <c r="D2386" s="7">
        <v>425.88</v>
      </c>
      <c r="E2386" s="5">
        <v>252</v>
      </c>
      <c r="F2386" s="5">
        <v>4</v>
      </c>
      <c r="G2386" s="12">
        <f>SUM($D$7:D2386)</f>
        <v>10444999.730000034</v>
      </c>
      <c r="H2386" s="11">
        <f t="shared" si="37"/>
        <v>0.9792170835196663</v>
      </c>
    </row>
    <row r="2387" spans="1:8" ht="15" customHeight="1" x14ac:dyDescent="0.25">
      <c r="A2387" s="5">
        <v>2381</v>
      </c>
      <c r="B2387" s="10" t="s">
        <v>4741</v>
      </c>
      <c r="C2387" s="10" t="s">
        <v>4742</v>
      </c>
      <c r="D2387" s="7">
        <v>425.08</v>
      </c>
      <c r="E2387" s="5">
        <v>696</v>
      </c>
      <c r="F2387" s="5">
        <v>49</v>
      </c>
      <c r="G2387" s="12">
        <f>SUM($D$7:D2387)</f>
        <v>10445424.810000034</v>
      </c>
      <c r="H2387" s="11">
        <f t="shared" si="37"/>
        <v>0.97925693470287567</v>
      </c>
    </row>
    <row r="2388" spans="1:8" ht="15" customHeight="1" x14ac:dyDescent="0.25">
      <c r="A2388" s="5">
        <v>2382</v>
      </c>
      <c r="B2388" s="10" t="s">
        <v>4743</v>
      </c>
      <c r="C2388" s="10" t="s">
        <v>4744</v>
      </c>
      <c r="D2388" s="7">
        <v>424.46</v>
      </c>
      <c r="E2388" s="5">
        <v>68</v>
      </c>
      <c r="F2388" s="5">
        <v>32</v>
      </c>
      <c r="G2388" s="12">
        <f>SUM($D$7:D2388)</f>
        <v>10445849.270000035</v>
      </c>
      <c r="H2388" s="11">
        <f t="shared" si="37"/>
        <v>0.97929672776118259</v>
      </c>
    </row>
    <row r="2389" spans="1:8" ht="15" customHeight="1" x14ac:dyDescent="0.25">
      <c r="A2389" s="5">
        <v>2383</v>
      </c>
      <c r="B2389" s="10" t="s">
        <v>4745</v>
      </c>
      <c r="C2389" s="10" t="s">
        <v>4746</v>
      </c>
      <c r="D2389" s="7">
        <v>424.08</v>
      </c>
      <c r="E2389" s="5">
        <v>145</v>
      </c>
      <c r="F2389" s="5">
        <v>30</v>
      </c>
      <c r="G2389" s="12">
        <f>SUM($D$7:D2389)</f>
        <v>10446273.350000035</v>
      </c>
      <c r="H2389" s="11">
        <f t="shared" si="37"/>
        <v>0.97933648519454919</v>
      </c>
    </row>
    <row r="2390" spans="1:8" ht="15" customHeight="1" x14ac:dyDescent="0.25">
      <c r="A2390" s="5">
        <v>2384</v>
      </c>
      <c r="B2390" s="10" t="s">
        <v>4747</v>
      </c>
      <c r="C2390" s="10" t="s">
        <v>4748</v>
      </c>
      <c r="D2390" s="7">
        <v>423.55</v>
      </c>
      <c r="E2390" s="5">
        <v>104</v>
      </c>
      <c r="F2390" s="5">
        <v>59</v>
      </c>
      <c r="G2390" s="12">
        <f>SUM($D$7:D2390)</f>
        <v>10446696.900000036</v>
      </c>
      <c r="H2390" s="11">
        <f t="shared" si="37"/>
        <v>0.97937619294049905</v>
      </c>
    </row>
    <row r="2391" spans="1:8" ht="15" customHeight="1" x14ac:dyDescent="0.25">
      <c r="A2391" s="5">
        <v>2385</v>
      </c>
      <c r="B2391" s="10" t="s">
        <v>4749</v>
      </c>
      <c r="C2391" s="10" t="s">
        <v>4750</v>
      </c>
      <c r="D2391" s="7">
        <v>423.41</v>
      </c>
      <c r="E2391" s="5">
        <v>103</v>
      </c>
      <c r="F2391" s="5">
        <v>44</v>
      </c>
      <c r="G2391" s="12">
        <f>SUM($D$7:D2391)</f>
        <v>10447120.310000036</v>
      </c>
      <c r="H2391" s="11">
        <f t="shared" si="37"/>
        <v>0.97941588756147091</v>
      </c>
    </row>
    <row r="2392" spans="1:8" ht="15" customHeight="1" x14ac:dyDescent="0.25">
      <c r="A2392" s="5">
        <v>2386</v>
      </c>
      <c r="B2392" s="10" t="s">
        <v>4751</v>
      </c>
      <c r="C2392" s="10" t="s">
        <v>4752</v>
      </c>
      <c r="D2392" s="7">
        <v>421.75</v>
      </c>
      <c r="E2392" s="5">
        <v>57</v>
      </c>
      <c r="F2392" s="5">
        <v>5</v>
      </c>
      <c r="G2392" s="12">
        <f>SUM($D$7:D2392)</f>
        <v>10447542.060000036</v>
      </c>
      <c r="H2392" s="11">
        <f t="shared" si="37"/>
        <v>0.97945542655770357</v>
      </c>
    </row>
    <row r="2393" spans="1:8" ht="15" customHeight="1" x14ac:dyDescent="0.25">
      <c r="A2393" s="5">
        <v>2387</v>
      </c>
      <c r="B2393" s="10" t="s">
        <v>4753</v>
      </c>
      <c r="C2393" s="10" t="s">
        <v>4754</v>
      </c>
      <c r="D2393" s="7">
        <v>421.18</v>
      </c>
      <c r="E2393" s="5">
        <v>52</v>
      </c>
      <c r="F2393" s="5">
        <v>36</v>
      </c>
      <c r="G2393" s="12">
        <f>SUM($D$7:D2393)</f>
        <v>10447963.240000036</v>
      </c>
      <c r="H2393" s="11">
        <f t="shared" si="37"/>
        <v>0.97949491211652573</v>
      </c>
    </row>
    <row r="2394" spans="1:8" ht="15" customHeight="1" x14ac:dyDescent="0.25">
      <c r="A2394" s="5">
        <v>2388</v>
      </c>
      <c r="B2394" s="10" t="s">
        <v>4755</v>
      </c>
      <c r="C2394" s="10" t="s">
        <v>4756</v>
      </c>
      <c r="D2394" s="7">
        <v>420.08</v>
      </c>
      <c r="E2394" s="5">
        <v>106</v>
      </c>
      <c r="F2394" s="5">
        <v>56</v>
      </c>
      <c r="G2394" s="12">
        <f>SUM($D$7:D2394)</f>
        <v>10448383.320000036</v>
      </c>
      <c r="H2394" s="11">
        <f t="shared" si="37"/>
        <v>0.97953429455052077</v>
      </c>
    </row>
    <row r="2395" spans="1:8" ht="15" customHeight="1" x14ac:dyDescent="0.25">
      <c r="A2395" s="5">
        <v>2389</v>
      </c>
      <c r="B2395" s="10" t="s">
        <v>4757</v>
      </c>
      <c r="C2395" s="10" t="s">
        <v>4758</v>
      </c>
      <c r="D2395" s="7">
        <v>420</v>
      </c>
      <c r="E2395" s="5">
        <v>1000</v>
      </c>
      <c r="F2395" s="5">
        <v>39</v>
      </c>
      <c r="G2395" s="12">
        <f>SUM($D$7:D2395)</f>
        <v>10448803.320000036</v>
      </c>
      <c r="H2395" s="11">
        <f t="shared" si="37"/>
        <v>0.9795736694845284</v>
      </c>
    </row>
    <row r="2396" spans="1:8" ht="15" customHeight="1" x14ac:dyDescent="0.25">
      <c r="A2396" s="5">
        <v>2390</v>
      </c>
      <c r="B2396" s="10" t="s">
        <v>4759</v>
      </c>
      <c r="C2396" s="10" t="s">
        <v>4760</v>
      </c>
      <c r="D2396" s="7">
        <v>419.52</v>
      </c>
      <c r="E2396" s="5">
        <v>52</v>
      </c>
      <c r="F2396" s="5">
        <v>27</v>
      </c>
      <c r="G2396" s="12">
        <f>SUM($D$7:D2396)</f>
        <v>10449222.840000035</v>
      </c>
      <c r="H2396" s="11">
        <f t="shared" si="37"/>
        <v>0.97961299941861135</v>
      </c>
    </row>
    <row r="2397" spans="1:8" ht="15" customHeight="1" x14ac:dyDescent="0.25">
      <c r="A2397" s="5">
        <v>2391</v>
      </c>
      <c r="B2397" s="10" t="s">
        <v>4761</v>
      </c>
      <c r="C2397" s="10" t="s">
        <v>4762</v>
      </c>
      <c r="D2397" s="7">
        <v>419.01</v>
      </c>
      <c r="E2397" s="5">
        <v>224</v>
      </c>
      <c r="F2397" s="5">
        <v>48</v>
      </c>
      <c r="G2397" s="12">
        <f>SUM($D$7:D2397)</f>
        <v>10449641.850000035</v>
      </c>
      <c r="H2397" s="11">
        <f t="shared" si="37"/>
        <v>0.97965228154027451</v>
      </c>
    </row>
    <row r="2398" spans="1:8" ht="15" customHeight="1" x14ac:dyDescent="0.25">
      <c r="A2398" s="5">
        <v>2392</v>
      </c>
      <c r="B2398" s="10" t="s">
        <v>4763</v>
      </c>
      <c r="C2398" s="10" t="s">
        <v>861</v>
      </c>
      <c r="D2398" s="7">
        <v>418.98</v>
      </c>
      <c r="E2398" s="5">
        <v>201</v>
      </c>
      <c r="F2398" s="5">
        <v>50</v>
      </c>
      <c r="G2398" s="12">
        <f>SUM($D$7:D2398)</f>
        <v>10450060.830000035</v>
      </c>
      <c r="H2398" s="11">
        <f t="shared" si="37"/>
        <v>0.97969156084944242</v>
      </c>
    </row>
    <row r="2399" spans="1:8" ht="15" customHeight="1" x14ac:dyDescent="0.25">
      <c r="A2399" s="5">
        <v>2393</v>
      </c>
      <c r="B2399" s="10" t="s">
        <v>4764</v>
      </c>
      <c r="C2399" s="10" t="s">
        <v>4765</v>
      </c>
      <c r="D2399" s="7">
        <v>417.96</v>
      </c>
      <c r="E2399" s="5">
        <v>167</v>
      </c>
      <c r="F2399" s="5">
        <v>88</v>
      </c>
      <c r="G2399" s="12">
        <f>SUM($D$7:D2399)</f>
        <v>10450478.790000036</v>
      </c>
      <c r="H2399" s="11">
        <f t="shared" si="37"/>
        <v>0.97973074453377063</v>
      </c>
    </row>
    <row r="2400" spans="1:8" ht="15" customHeight="1" x14ac:dyDescent="0.25">
      <c r="A2400" s="5">
        <v>2394</v>
      </c>
      <c r="B2400" s="10" t="s">
        <v>4766</v>
      </c>
      <c r="C2400" s="10" t="s">
        <v>4767</v>
      </c>
      <c r="D2400" s="7">
        <v>417.86</v>
      </c>
      <c r="E2400" s="5">
        <v>374</v>
      </c>
      <c r="F2400" s="5">
        <v>70</v>
      </c>
      <c r="G2400" s="12">
        <f>SUM($D$7:D2400)</f>
        <v>10450896.650000036</v>
      </c>
      <c r="H2400" s="11">
        <f t="shared" si="37"/>
        <v>0.97976991884311448</v>
      </c>
    </row>
    <row r="2401" spans="1:8" ht="15" customHeight="1" x14ac:dyDescent="0.25">
      <c r="A2401" s="5">
        <v>2395</v>
      </c>
      <c r="B2401" s="10" t="s">
        <v>4768</v>
      </c>
      <c r="C2401" s="10" t="s">
        <v>4769</v>
      </c>
      <c r="D2401" s="7">
        <v>417.35</v>
      </c>
      <c r="E2401" s="5">
        <v>947</v>
      </c>
      <c r="F2401" s="5">
        <v>40</v>
      </c>
      <c r="G2401" s="12">
        <f>SUM($D$7:D2401)</f>
        <v>10451314.000000035</v>
      </c>
      <c r="H2401" s="11">
        <f t="shared" si="37"/>
        <v>0.97980904534003843</v>
      </c>
    </row>
    <row r="2402" spans="1:8" ht="15" customHeight="1" x14ac:dyDescent="0.25">
      <c r="A2402" s="5">
        <v>2396</v>
      </c>
      <c r="B2402" s="10" t="s">
        <v>4770</v>
      </c>
      <c r="C2402" s="10" t="s">
        <v>4771</v>
      </c>
      <c r="D2402" s="7">
        <v>416.6</v>
      </c>
      <c r="E2402" s="5">
        <v>193</v>
      </c>
      <c r="F2402" s="5">
        <v>56</v>
      </c>
      <c r="G2402" s="12">
        <f>SUM($D$7:D2402)</f>
        <v>10451730.600000035</v>
      </c>
      <c r="H2402" s="11">
        <f t="shared" si="37"/>
        <v>0.97984810152458024</v>
      </c>
    </row>
    <row r="2403" spans="1:8" ht="15" customHeight="1" x14ac:dyDescent="0.25">
      <c r="A2403" s="5">
        <v>2397</v>
      </c>
      <c r="B2403" s="10" t="s">
        <v>4772</v>
      </c>
      <c r="C2403" s="10" t="s">
        <v>4773</v>
      </c>
      <c r="D2403" s="7">
        <v>415.77</v>
      </c>
      <c r="E2403" s="5">
        <v>203</v>
      </c>
      <c r="F2403" s="5">
        <v>76</v>
      </c>
      <c r="G2403" s="12">
        <f>SUM($D$7:D2403)</f>
        <v>10452146.370000035</v>
      </c>
      <c r="H2403" s="11">
        <f t="shared" si="37"/>
        <v>0.97988707989675239</v>
      </c>
    </row>
    <row r="2404" spans="1:8" ht="15" customHeight="1" x14ac:dyDescent="0.25">
      <c r="A2404" s="5">
        <v>2398</v>
      </c>
      <c r="B2404" s="10" t="s">
        <v>4774</v>
      </c>
      <c r="C2404" s="10" t="s">
        <v>4775</v>
      </c>
      <c r="D2404" s="7">
        <v>415.09</v>
      </c>
      <c r="E2404" s="5">
        <v>152</v>
      </c>
      <c r="F2404" s="5">
        <v>63</v>
      </c>
      <c r="G2404" s="12">
        <f>SUM($D$7:D2404)</f>
        <v>10452561.460000034</v>
      </c>
      <c r="H2404" s="11">
        <f t="shared" si="37"/>
        <v>0.97992599451903151</v>
      </c>
    </row>
    <row r="2405" spans="1:8" ht="15" customHeight="1" x14ac:dyDescent="0.25">
      <c r="A2405" s="5">
        <v>2399</v>
      </c>
      <c r="B2405" s="10" t="s">
        <v>4776</v>
      </c>
      <c r="C2405" s="10" t="s">
        <v>4777</v>
      </c>
      <c r="D2405" s="7">
        <v>414.63</v>
      </c>
      <c r="E2405" s="5">
        <v>912</v>
      </c>
      <c r="F2405" s="5">
        <v>58</v>
      </c>
      <c r="G2405" s="12">
        <f>SUM($D$7:D2405)</f>
        <v>10452976.090000035</v>
      </c>
      <c r="H2405" s="11">
        <f t="shared" si="37"/>
        <v>0.97996486601638289</v>
      </c>
    </row>
    <row r="2406" spans="1:8" ht="15" customHeight="1" x14ac:dyDescent="0.25">
      <c r="A2406" s="5">
        <v>2400</v>
      </c>
      <c r="B2406" s="10" t="s">
        <v>4778</v>
      </c>
      <c r="C2406" s="10" t="s">
        <v>4779</v>
      </c>
      <c r="D2406" s="7">
        <v>414.22</v>
      </c>
      <c r="E2406" s="5">
        <v>178</v>
      </c>
      <c r="F2406" s="5">
        <v>50</v>
      </c>
      <c r="G2406" s="12">
        <f>SUM($D$7:D2406)</f>
        <v>10453390.310000036</v>
      </c>
      <c r="H2406" s="11">
        <f t="shared" si="37"/>
        <v>0.98000369907629881</v>
      </c>
    </row>
    <row r="2407" spans="1:8" ht="15" customHeight="1" x14ac:dyDescent="0.25">
      <c r="A2407" s="5">
        <v>2401</v>
      </c>
      <c r="B2407" s="10" t="s">
        <v>4780</v>
      </c>
      <c r="C2407" s="10" t="s">
        <v>4781</v>
      </c>
      <c r="D2407" s="7">
        <v>413.88</v>
      </c>
      <c r="E2407" s="5">
        <v>365</v>
      </c>
      <c r="F2407" s="5">
        <v>43</v>
      </c>
      <c r="G2407" s="12">
        <f>SUM($D$7:D2407)</f>
        <v>10453804.190000037</v>
      </c>
      <c r="H2407" s="11">
        <f t="shared" si="37"/>
        <v>0.98004250026126805</v>
      </c>
    </row>
    <row r="2408" spans="1:8" ht="15" customHeight="1" x14ac:dyDescent="0.25">
      <c r="A2408" s="5">
        <v>2402</v>
      </c>
      <c r="B2408" s="10" t="s">
        <v>4782</v>
      </c>
      <c r="C2408" s="10" t="s">
        <v>4783</v>
      </c>
      <c r="D2408" s="7">
        <v>413.76</v>
      </c>
      <c r="E2408" s="5">
        <v>1166</v>
      </c>
      <c r="F2408" s="5">
        <v>93</v>
      </c>
      <c r="G2408" s="12">
        <f>SUM($D$7:D2408)</f>
        <v>10454217.950000037</v>
      </c>
      <c r="H2408" s="11">
        <f t="shared" si="37"/>
        <v>0.98008129019625612</v>
      </c>
    </row>
    <row r="2409" spans="1:8" ht="15" customHeight="1" x14ac:dyDescent="0.25">
      <c r="A2409" s="5">
        <v>2403</v>
      </c>
      <c r="B2409" s="10" t="s">
        <v>4784</v>
      </c>
      <c r="C2409" s="10" t="s">
        <v>4785</v>
      </c>
      <c r="D2409" s="7">
        <v>412.74</v>
      </c>
      <c r="E2409" s="5">
        <v>83</v>
      </c>
      <c r="F2409" s="5">
        <v>50</v>
      </c>
      <c r="G2409" s="12">
        <f>SUM($D$7:D2409)</f>
        <v>10454630.690000037</v>
      </c>
      <c r="H2409" s="11">
        <f t="shared" si="37"/>
        <v>0.98011998450640447</v>
      </c>
    </row>
    <row r="2410" spans="1:8" ht="15" customHeight="1" x14ac:dyDescent="0.25">
      <c r="A2410" s="5">
        <v>2404</v>
      </c>
      <c r="B2410" s="10" t="s">
        <v>4786</v>
      </c>
      <c r="C2410" s="10" t="s">
        <v>4787</v>
      </c>
      <c r="D2410" s="7">
        <v>412.5</v>
      </c>
      <c r="E2410" s="5">
        <v>33</v>
      </c>
      <c r="F2410" s="5">
        <v>19</v>
      </c>
      <c r="G2410" s="12">
        <f>SUM($D$7:D2410)</f>
        <v>10455043.190000037</v>
      </c>
      <c r="H2410" s="11">
        <f t="shared" si="37"/>
        <v>0.98015865631659049</v>
      </c>
    </row>
    <row r="2411" spans="1:8" ht="15" customHeight="1" x14ac:dyDescent="0.25">
      <c r="A2411" s="5">
        <v>2405</v>
      </c>
      <c r="B2411" s="10" t="s">
        <v>4788</v>
      </c>
      <c r="C2411" s="10" t="s">
        <v>1219</v>
      </c>
      <c r="D2411" s="7">
        <v>412.48</v>
      </c>
      <c r="E2411" s="5">
        <v>33</v>
      </c>
      <c r="F2411" s="5">
        <v>26</v>
      </c>
      <c r="G2411" s="12">
        <f>SUM($D$7:D2411)</f>
        <v>10455455.670000037</v>
      </c>
      <c r="H2411" s="11">
        <f t="shared" si="37"/>
        <v>0.9801973262517798</v>
      </c>
    </row>
    <row r="2412" spans="1:8" ht="15" customHeight="1" x14ac:dyDescent="0.25">
      <c r="A2412" s="5">
        <v>2406</v>
      </c>
      <c r="B2412" s="10" t="s">
        <v>4789</v>
      </c>
      <c r="C2412" s="10" t="s">
        <v>4790</v>
      </c>
      <c r="D2412" s="7">
        <v>412.18</v>
      </c>
      <c r="E2412" s="5">
        <v>328</v>
      </c>
      <c r="F2412" s="5">
        <v>47</v>
      </c>
      <c r="G2412" s="12">
        <f>SUM($D$7:D2412)</f>
        <v>10455867.850000037</v>
      </c>
      <c r="H2412" s="11">
        <f t="shared" si="37"/>
        <v>0.98023596806201607</v>
      </c>
    </row>
    <row r="2413" spans="1:8" ht="15" customHeight="1" x14ac:dyDescent="0.25">
      <c r="A2413" s="5">
        <v>2407</v>
      </c>
      <c r="B2413" s="10" t="s">
        <v>4791</v>
      </c>
      <c r="C2413" s="10" t="s">
        <v>4792</v>
      </c>
      <c r="D2413" s="7">
        <v>412.1</v>
      </c>
      <c r="E2413" s="5">
        <v>565</v>
      </c>
      <c r="F2413" s="5">
        <v>79</v>
      </c>
      <c r="G2413" s="12">
        <f>SUM($D$7:D2413)</f>
        <v>10456279.950000037</v>
      </c>
      <c r="H2413" s="11">
        <f t="shared" si="37"/>
        <v>0.98027460237226494</v>
      </c>
    </row>
    <row r="2414" spans="1:8" ht="15" customHeight="1" x14ac:dyDescent="0.25">
      <c r="A2414" s="5">
        <v>2408</v>
      </c>
      <c r="B2414" s="10" t="s">
        <v>4793</v>
      </c>
      <c r="C2414" s="10" t="s">
        <v>4794</v>
      </c>
      <c r="D2414" s="7">
        <v>411.56</v>
      </c>
      <c r="E2414" s="5">
        <v>308</v>
      </c>
      <c r="F2414" s="5">
        <v>20</v>
      </c>
      <c r="G2414" s="12">
        <f>SUM($D$7:D2414)</f>
        <v>10456691.510000037</v>
      </c>
      <c r="H2414" s="11">
        <f t="shared" si="37"/>
        <v>0.98031318605759865</v>
      </c>
    </row>
    <row r="2415" spans="1:8" ht="15" customHeight="1" x14ac:dyDescent="0.25">
      <c r="A2415" s="5">
        <v>2409</v>
      </c>
      <c r="B2415" s="10" t="s">
        <v>4795</v>
      </c>
      <c r="C2415" s="10" t="s">
        <v>4796</v>
      </c>
      <c r="D2415" s="7">
        <v>410.81</v>
      </c>
      <c r="E2415" s="5">
        <v>137</v>
      </c>
      <c r="F2415" s="5">
        <v>45</v>
      </c>
      <c r="G2415" s="12">
        <f>SUM($D$7:D2415)</f>
        <v>10457102.320000038</v>
      </c>
      <c r="H2415" s="11">
        <f t="shared" si="37"/>
        <v>0.98035169943055034</v>
      </c>
    </row>
    <row r="2416" spans="1:8" ht="15" customHeight="1" x14ac:dyDescent="0.25">
      <c r="A2416" s="5">
        <v>2410</v>
      </c>
      <c r="B2416" s="10" t="s">
        <v>4797</v>
      </c>
      <c r="C2416" s="10" t="s">
        <v>4798</v>
      </c>
      <c r="D2416" s="7">
        <v>409.83</v>
      </c>
      <c r="E2416" s="5">
        <v>136</v>
      </c>
      <c r="F2416" s="5">
        <v>37</v>
      </c>
      <c r="G2416" s="12">
        <f>SUM($D$7:D2416)</f>
        <v>10457512.150000038</v>
      </c>
      <c r="H2416" s="11">
        <f t="shared" si="37"/>
        <v>0.98039012092865596</v>
      </c>
    </row>
    <row r="2417" spans="1:8" ht="15" customHeight="1" x14ac:dyDescent="0.25">
      <c r="A2417" s="5">
        <v>2411</v>
      </c>
      <c r="B2417" s="10" t="s">
        <v>4799</v>
      </c>
      <c r="C2417" s="10" t="s">
        <v>4800</v>
      </c>
      <c r="D2417" s="7">
        <v>409.41</v>
      </c>
      <c r="E2417" s="5">
        <v>896</v>
      </c>
      <c r="F2417" s="5">
        <v>127</v>
      </c>
      <c r="G2417" s="12">
        <f>SUM($D$7:D2417)</f>
        <v>10457921.560000038</v>
      </c>
      <c r="H2417" s="11">
        <f t="shared" si="37"/>
        <v>0.98042850305182749</v>
      </c>
    </row>
    <row r="2418" spans="1:8" ht="15" customHeight="1" x14ac:dyDescent="0.25">
      <c r="A2418" s="5">
        <v>2412</v>
      </c>
      <c r="B2418" s="10" t="s">
        <v>4801</v>
      </c>
      <c r="C2418" s="10" t="s">
        <v>4802</v>
      </c>
      <c r="D2418" s="7">
        <v>407.72</v>
      </c>
      <c r="E2418" s="5">
        <v>3048</v>
      </c>
      <c r="F2418" s="5">
        <v>100</v>
      </c>
      <c r="G2418" s="12">
        <f>SUM($D$7:D2418)</f>
        <v>10458329.280000038</v>
      </c>
      <c r="H2418" s="11">
        <f t="shared" si="37"/>
        <v>0.98046672673776469</v>
      </c>
    </row>
    <row r="2419" spans="1:8" ht="15" customHeight="1" x14ac:dyDescent="0.25">
      <c r="A2419" s="5">
        <v>2413</v>
      </c>
      <c r="B2419" s="10" t="s">
        <v>4803</v>
      </c>
      <c r="C2419" s="10" t="s">
        <v>4804</v>
      </c>
      <c r="D2419" s="7">
        <v>406.49</v>
      </c>
      <c r="E2419" s="5">
        <v>211</v>
      </c>
      <c r="F2419" s="5">
        <v>42</v>
      </c>
      <c r="G2419" s="12">
        <f>SUM($D$7:D2419)</f>
        <v>10458735.770000039</v>
      </c>
      <c r="H2419" s="11">
        <f t="shared" si="37"/>
        <v>0.98050483511139508</v>
      </c>
    </row>
    <row r="2420" spans="1:8" ht="15" customHeight="1" x14ac:dyDescent="0.25">
      <c r="A2420" s="5">
        <v>2414</v>
      </c>
      <c r="B2420" s="10" t="s">
        <v>4805</v>
      </c>
      <c r="C2420" s="10" t="s">
        <v>4806</v>
      </c>
      <c r="D2420" s="7">
        <v>405.25</v>
      </c>
      <c r="E2420" s="5">
        <v>786</v>
      </c>
      <c r="F2420" s="5">
        <v>100</v>
      </c>
      <c r="G2420" s="12">
        <f>SUM($D$7:D2420)</f>
        <v>10459141.020000039</v>
      </c>
      <c r="H2420" s="11">
        <f t="shared" si="37"/>
        <v>0.98054282723522024</v>
      </c>
    </row>
    <row r="2421" spans="1:8" ht="15" customHeight="1" x14ac:dyDescent="0.25">
      <c r="A2421" s="5">
        <v>2415</v>
      </c>
      <c r="B2421" s="10" t="s">
        <v>4807</v>
      </c>
      <c r="C2421" s="10" t="s">
        <v>4808</v>
      </c>
      <c r="D2421" s="7">
        <v>405</v>
      </c>
      <c r="E2421" s="5">
        <v>175</v>
      </c>
      <c r="F2421" s="5">
        <v>76</v>
      </c>
      <c r="G2421" s="12">
        <f>SUM($D$7:D2421)</f>
        <v>10459546.020000039</v>
      </c>
      <c r="H2421" s="11">
        <f t="shared" si="37"/>
        <v>0.98058079592158476</v>
      </c>
    </row>
    <row r="2422" spans="1:8" ht="15" customHeight="1" x14ac:dyDescent="0.25">
      <c r="A2422" s="5">
        <v>2416</v>
      </c>
      <c r="B2422" s="10" t="s">
        <v>4809</v>
      </c>
      <c r="C2422" s="10" t="s">
        <v>4810</v>
      </c>
      <c r="D2422" s="7">
        <v>403.46</v>
      </c>
      <c r="E2422" s="5">
        <v>346</v>
      </c>
      <c r="F2422" s="5">
        <v>84</v>
      </c>
      <c r="G2422" s="12">
        <f>SUM($D$7:D2422)</f>
        <v>10459949.48000004</v>
      </c>
      <c r="H2422" s="11">
        <f t="shared" si="37"/>
        <v>0.98061862023319124</v>
      </c>
    </row>
    <row r="2423" spans="1:8" ht="15" customHeight="1" x14ac:dyDescent="0.25">
      <c r="A2423" s="5">
        <v>2417</v>
      </c>
      <c r="B2423" s="10" t="s">
        <v>4811</v>
      </c>
      <c r="C2423" s="10" t="s">
        <v>4812</v>
      </c>
      <c r="D2423" s="7">
        <v>401.6</v>
      </c>
      <c r="E2423" s="5">
        <v>866</v>
      </c>
      <c r="F2423" s="5">
        <v>153</v>
      </c>
      <c r="G2423" s="12">
        <f>SUM($D$7:D2423)</f>
        <v>10460351.080000039</v>
      </c>
      <c r="H2423" s="11">
        <f t="shared" si="37"/>
        <v>0.98065627017008994</v>
      </c>
    </row>
    <row r="2424" spans="1:8" ht="15" customHeight="1" x14ac:dyDescent="0.25">
      <c r="A2424" s="5">
        <v>2418</v>
      </c>
      <c r="B2424" s="10" t="s">
        <v>4813</v>
      </c>
      <c r="C2424" s="10" t="s">
        <v>4814</v>
      </c>
      <c r="D2424" s="7">
        <v>401.02</v>
      </c>
      <c r="E2424" s="5">
        <v>236</v>
      </c>
      <c r="F2424" s="5">
        <v>35</v>
      </c>
      <c r="G2424" s="12">
        <f>SUM($D$7:D2424)</f>
        <v>10460752.100000039</v>
      </c>
      <c r="H2424" s="11">
        <f t="shared" si="37"/>
        <v>0.98069386573207973</v>
      </c>
    </row>
    <row r="2425" spans="1:8" ht="15" customHeight="1" x14ac:dyDescent="0.25">
      <c r="A2425" s="5">
        <v>2419</v>
      </c>
      <c r="B2425" s="10" t="s">
        <v>4815</v>
      </c>
      <c r="C2425" s="10" t="s">
        <v>4816</v>
      </c>
      <c r="D2425" s="7">
        <v>400.04</v>
      </c>
      <c r="E2425" s="5">
        <v>198</v>
      </c>
      <c r="F2425" s="5">
        <v>37</v>
      </c>
      <c r="G2425" s="12">
        <f>SUM($D$7:D2425)</f>
        <v>10461152.140000038</v>
      </c>
      <c r="H2425" s="11">
        <f t="shared" si="37"/>
        <v>0.98073136941922345</v>
      </c>
    </row>
    <row r="2426" spans="1:8" ht="15" customHeight="1" x14ac:dyDescent="0.25">
      <c r="A2426" s="5">
        <v>2420</v>
      </c>
      <c r="B2426" s="10" t="s">
        <v>4817</v>
      </c>
      <c r="C2426" s="10" t="s">
        <v>4818</v>
      </c>
      <c r="D2426" s="7">
        <v>400.01</v>
      </c>
      <c r="E2426" s="5">
        <v>47</v>
      </c>
      <c r="F2426" s="5">
        <v>23</v>
      </c>
      <c r="G2426" s="12">
        <f>SUM($D$7:D2426)</f>
        <v>10461552.150000038</v>
      </c>
      <c r="H2426" s="11">
        <f t="shared" si="37"/>
        <v>0.98076887029387194</v>
      </c>
    </row>
    <row r="2427" spans="1:8" ht="15" customHeight="1" x14ac:dyDescent="0.25">
      <c r="A2427" s="5">
        <v>2421</v>
      </c>
      <c r="B2427" s="10" t="s">
        <v>4819</v>
      </c>
      <c r="C2427" s="10" t="s">
        <v>4820</v>
      </c>
      <c r="D2427" s="7">
        <v>399.71</v>
      </c>
      <c r="E2427" s="5">
        <v>199</v>
      </c>
      <c r="F2427" s="5">
        <v>28</v>
      </c>
      <c r="G2427" s="12">
        <f>SUM($D$7:D2427)</f>
        <v>10461951.860000039</v>
      </c>
      <c r="H2427" s="11">
        <f t="shared" si="37"/>
        <v>0.98080634304356773</v>
      </c>
    </row>
    <row r="2428" spans="1:8" ht="15" customHeight="1" x14ac:dyDescent="0.25">
      <c r="A2428" s="5">
        <v>2422</v>
      </c>
      <c r="B2428" s="10" t="s">
        <v>4821</v>
      </c>
      <c r="C2428" s="10" t="s">
        <v>4822</v>
      </c>
      <c r="D2428" s="7">
        <v>399.62</v>
      </c>
      <c r="E2428" s="5">
        <v>1120</v>
      </c>
      <c r="F2428" s="5">
        <v>71</v>
      </c>
      <c r="G2428" s="12">
        <f>SUM($D$7:D2428)</f>
        <v>10462351.480000038</v>
      </c>
      <c r="H2428" s="11">
        <f t="shared" si="37"/>
        <v>0.98084380735577748</v>
      </c>
    </row>
    <row r="2429" spans="1:8" ht="15" customHeight="1" x14ac:dyDescent="0.25">
      <c r="A2429" s="5">
        <v>2423</v>
      </c>
      <c r="B2429" s="10" t="s">
        <v>4823</v>
      </c>
      <c r="C2429" s="10" t="s">
        <v>4824</v>
      </c>
      <c r="D2429" s="7">
        <v>399.03</v>
      </c>
      <c r="E2429" s="5">
        <v>43</v>
      </c>
      <c r="F2429" s="5">
        <v>23</v>
      </c>
      <c r="G2429" s="12">
        <f>SUM($D$7:D2429)</f>
        <v>10462750.510000037</v>
      </c>
      <c r="H2429" s="11">
        <f t="shared" si="37"/>
        <v>0.9808812163555799</v>
      </c>
    </row>
    <row r="2430" spans="1:8" ht="15" customHeight="1" x14ac:dyDescent="0.25">
      <c r="A2430" s="5">
        <v>2424</v>
      </c>
      <c r="B2430" s="10" t="s">
        <v>4825</v>
      </c>
      <c r="C2430" s="10" t="s">
        <v>4826</v>
      </c>
      <c r="D2430" s="7">
        <v>399.02</v>
      </c>
      <c r="E2430" s="5">
        <v>37</v>
      </c>
      <c r="F2430" s="5">
        <v>26</v>
      </c>
      <c r="G2430" s="12">
        <f>SUM($D$7:D2430)</f>
        <v>10463149.530000037</v>
      </c>
      <c r="H2430" s="11">
        <f t="shared" si="37"/>
        <v>0.98091862441788391</v>
      </c>
    </row>
    <row r="2431" spans="1:8" ht="15" customHeight="1" x14ac:dyDescent="0.25">
      <c r="A2431" s="5">
        <v>2425</v>
      </c>
      <c r="B2431" s="10" t="s">
        <v>4827</v>
      </c>
      <c r="C2431" s="10" t="s">
        <v>4828</v>
      </c>
      <c r="D2431" s="7">
        <v>398.02</v>
      </c>
      <c r="E2431" s="5">
        <v>106</v>
      </c>
      <c r="F2431" s="5">
        <v>28</v>
      </c>
      <c r="G2431" s="12">
        <f>SUM($D$7:D2431)</f>
        <v>10463547.550000036</v>
      </c>
      <c r="H2431" s="11">
        <f t="shared" si="37"/>
        <v>0.98095593873034514</v>
      </c>
    </row>
    <row r="2432" spans="1:8" ht="15" customHeight="1" x14ac:dyDescent="0.25">
      <c r="A2432" s="5">
        <v>2426</v>
      </c>
      <c r="B2432" s="10" t="s">
        <v>4829</v>
      </c>
      <c r="C2432" s="10" t="s">
        <v>4830</v>
      </c>
      <c r="D2432" s="7">
        <v>398</v>
      </c>
      <c r="E2432" s="5">
        <v>40</v>
      </c>
      <c r="F2432" s="5">
        <v>28</v>
      </c>
      <c r="G2432" s="12">
        <f>SUM($D$7:D2432)</f>
        <v>10463945.550000036</v>
      </c>
      <c r="H2432" s="11">
        <f t="shared" si="37"/>
        <v>0.98099325116780944</v>
      </c>
    </row>
    <row r="2433" spans="1:8" ht="15" customHeight="1" x14ac:dyDescent="0.25">
      <c r="A2433" s="5">
        <v>2427</v>
      </c>
      <c r="B2433" s="10" t="s">
        <v>4831</v>
      </c>
      <c r="C2433" s="10" t="s">
        <v>4832</v>
      </c>
      <c r="D2433" s="7">
        <v>395.61</v>
      </c>
      <c r="E2433" s="5">
        <v>5884</v>
      </c>
      <c r="F2433" s="5">
        <v>30</v>
      </c>
      <c r="G2433" s="12">
        <f>SUM($D$7:D2433)</f>
        <v>10464341.160000036</v>
      </c>
      <c r="H2433" s="11">
        <f t="shared" si="37"/>
        <v>0.98103033954314933</v>
      </c>
    </row>
    <row r="2434" spans="1:8" ht="15" customHeight="1" x14ac:dyDescent="0.25">
      <c r="A2434" s="5">
        <v>2428</v>
      </c>
      <c r="B2434" s="10" t="s">
        <v>4833</v>
      </c>
      <c r="C2434" s="10" t="s">
        <v>4834</v>
      </c>
      <c r="D2434" s="7">
        <v>395.11</v>
      </c>
      <c r="E2434" s="5">
        <v>129</v>
      </c>
      <c r="F2434" s="5">
        <v>30</v>
      </c>
      <c r="G2434" s="12">
        <f>SUM($D$7:D2434)</f>
        <v>10464736.270000035</v>
      </c>
      <c r="H2434" s="11">
        <f t="shared" si="37"/>
        <v>0.98106738104356772</v>
      </c>
    </row>
    <row r="2435" spans="1:8" ht="15" customHeight="1" x14ac:dyDescent="0.25">
      <c r="A2435" s="5">
        <v>2429</v>
      </c>
      <c r="B2435" s="10" t="s">
        <v>4835</v>
      </c>
      <c r="C2435" s="10" t="s">
        <v>4836</v>
      </c>
      <c r="D2435" s="7">
        <v>395.1</v>
      </c>
      <c r="E2435" s="5">
        <v>999</v>
      </c>
      <c r="F2435" s="5">
        <v>55</v>
      </c>
      <c r="G2435" s="12">
        <f>SUM($D$7:D2435)</f>
        <v>10465131.370000035</v>
      </c>
      <c r="H2435" s="11">
        <f t="shared" si="37"/>
        <v>0.9811044216064877</v>
      </c>
    </row>
    <row r="2436" spans="1:8" ht="15" customHeight="1" x14ac:dyDescent="0.25">
      <c r="A2436" s="5">
        <v>2430</v>
      </c>
      <c r="B2436" s="10" t="s">
        <v>4837</v>
      </c>
      <c r="C2436" s="10" t="s">
        <v>4838</v>
      </c>
      <c r="D2436" s="7">
        <v>394.15</v>
      </c>
      <c r="E2436" s="5">
        <v>291</v>
      </c>
      <c r="F2436" s="5">
        <v>50</v>
      </c>
      <c r="G2436" s="12">
        <f>SUM($D$7:D2436)</f>
        <v>10465525.520000035</v>
      </c>
      <c r="H2436" s="11">
        <f t="shared" si="37"/>
        <v>0.98114137310705696</v>
      </c>
    </row>
    <row r="2437" spans="1:8" ht="15" customHeight="1" x14ac:dyDescent="0.25">
      <c r="A2437" s="5">
        <v>2431</v>
      </c>
      <c r="B2437" s="10" t="s">
        <v>4839</v>
      </c>
      <c r="C2437" s="10" t="s">
        <v>4840</v>
      </c>
      <c r="D2437" s="7">
        <v>393.59</v>
      </c>
      <c r="E2437" s="5">
        <v>219</v>
      </c>
      <c r="F2437" s="5">
        <v>33</v>
      </c>
      <c r="G2437" s="12">
        <f>SUM($D$7:D2437)</f>
        <v>10465919.110000035</v>
      </c>
      <c r="H2437" s="11">
        <f t="shared" si="37"/>
        <v>0.98117827210771424</v>
      </c>
    </row>
    <row r="2438" spans="1:8" ht="15" customHeight="1" x14ac:dyDescent="0.25">
      <c r="A2438" s="5">
        <v>2432</v>
      </c>
      <c r="B2438" s="10" t="s">
        <v>4841</v>
      </c>
      <c r="C2438" s="10" t="s">
        <v>4842</v>
      </c>
      <c r="D2438" s="7">
        <v>393.5</v>
      </c>
      <c r="E2438" s="5">
        <v>975</v>
      </c>
      <c r="F2438" s="5">
        <v>32</v>
      </c>
      <c r="G2438" s="12">
        <f>SUM($D$7:D2438)</f>
        <v>10466312.610000035</v>
      </c>
      <c r="H2438" s="11">
        <f t="shared" si="37"/>
        <v>0.98121516267088571</v>
      </c>
    </row>
    <row r="2439" spans="1:8" ht="15" customHeight="1" x14ac:dyDescent="0.25">
      <c r="A2439" s="5">
        <v>2433</v>
      </c>
      <c r="B2439" s="10" t="s">
        <v>4843</v>
      </c>
      <c r="C2439" s="10" t="s">
        <v>4844</v>
      </c>
      <c r="D2439" s="7">
        <v>393.47</v>
      </c>
      <c r="E2439" s="5">
        <v>331</v>
      </c>
      <c r="F2439" s="5">
        <v>62</v>
      </c>
      <c r="G2439" s="12">
        <f>SUM($D$7:D2439)</f>
        <v>10466706.080000035</v>
      </c>
      <c r="H2439" s="11">
        <f t="shared" ref="H2439:H2502" si="38">G2439/SUM($D$7:$D$4167)</f>
        <v>0.98125205042156183</v>
      </c>
    </row>
    <row r="2440" spans="1:8" ht="15" customHeight="1" x14ac:dyDescent="0.25">
      <c r="A2440" s="5">
        <v>2434</v>
      </c>
      <c r="B2440" s="10" t="s">
        <v>4845</v>
      </c>
      <c r="C2440" s="10" t="s">
        <v>4846</v>
      </c>
      <c r="D2440" s="7">
        <v>392.83</v>
      </c>
      <c r="E2440" s="5">
        <v>93</v>
      </c>
      <c r="F2440" s="5">
        <v>47</v>
      </c>
      <c r="G2440" s="12">
        <f>SUM($D$7:D2440)</f>
        <v>10467098.910000036</v>
      </c>
      <c r="H2440" s="11">
        <f t="shared" si="38"/>
        <v>0.98128887817233856</v>
      </c>
    </row>
    <row r="2441" spans="1:8" ht="15" customHeight="1" x14ac:dyDescent="0.25">
      <c r="A2441" s="5">
        <v>2435</v>
      </c>
      <c r="B2441" s="10" t="s">
        <v>4847</v>
      </c>
      <c r="C2441" s="10" t="s">
        <v>4848</v>
      </c>
      <c r="D2441" s="7">
        <v>392.34</v>
      </c>
      <c r="E2441" s="5">
        <v>78</v>
      </c>
      <c r="F2441" s="5">
        <v>22</v>
      </c>
      <c r="G2441" s="12">
        <f>SUM($D$7:D2441)</f>
        <v>10467491.250000035</v>
      </c>
      <c r="H2441" s="11">
        <f t="shared" si="38"/>
        <v>0.98132565998569221</v>
      </c>
    </row>
    <row r="2442" spans="1:8" ht="15" customHeight="1" x14ac:dyDescent="0.25">
      <c r="A2442" s="5">
        <v>2436</v>
      </c>
      <c r="B2442" s="10" t="s">
        <v>4849</v>
      </c>
      <c r="C2442" s="10" t="s">
        <v>4850</v>
      </c>
      <c r="D2442" s="7">
        <v>391.93</v>
      </c>
      <c r="E2442" s="5">
        <v>1165</v>
      </c>
      <c r="F2442" s="5">
        <v>31</v>
      </c>
      <c r="G2442" s="12">
        <f>SUM($D$7:D2442)</f>
        <v>10467883.180000035</v>
      </c>
      <c r="H2442" s="11">
        <f t="shared" si="38"/>
        <v>0.98136240336161029</v>
      </c>
    </row>
    <row r="2443" spans="1:8" ht="15" customHeight="1" x14ac:dyDescent="0.25">
      <c r="A2443" s="5">
        <v>2437</v>
      </c>
      <c r="B2443" s="10" t="s">
        <v>4851</v>
      </c>
      <c r="C2443" s="10" t="s">
        <v>4852</v>
      </c>
      <c r="D2443" s="7">
        <v>390.75</v>
      </c>
      <c r="E2443" s="5">
        <v>148</v>
      </c>
      <c r="F2443" s="5">
        <v>49</v>
      </c>
      <c r="G2443" s="12">
        <f>SUM($D$7:D2443)</f>
        <v>10468273.930000035</v>
      </c>
      <c r="H2443" s="11">
        <f t="shared" si="38"/>
        <v>0.98139903611271384</v>
      </c>
    </row>
    <row r="2444" spans="1:8" ht="15" customHeight="1" x14ac:dyDescent="0.25">
      <c r="A2444" s="5">
        <v>2438</v>
      </c>
      <c r="B2444" s="10" t="s">
        <v>4853</v>
      </c>
      <c r="C2444" s="10" t="s">
        <v>4854</v>
      </c>
      <c r="D2444" s="7">
        <v>389.55</v>
      </c>
      <c r="E2444" s="5">
        <v>78</v>
      </c>
      <c r="F2444" s="5">
        <v>29</v>
      </c>
      <c r="G2444" s="12">
        <f>SUM($D$7:D2444)</f>
        <v>10468663.480000036</v>
      </c>
      <c r="H2444" s="11">
        <f t="shared" si="38"/>
        <v>0.98143555636400592</v>
      </c>
    </row>
    <row r="2445" spans="1:8" ht="15" customHeight="1" x14ac:dyDescent="0.25">
      <c r="A2445" s="5">
        <v>2439</v>
      </c>
      <c r="B2445" s="10" t="s">
        <v>4855</v>
      </c>
      <c r="C2445" s="10" t="s">
        <v>4856</v>
      </c>
      <c r="D2445" s="7">
        <v>389.04</v>
      </c>
      <c r="E2445" s="5">
        <v>512</v>
      </c>
      <c r="F2445" s="5">
        <v>47</v>
      </c>
      <c r="G2445" s="12">
        <f>SUM($D$7:D2445)</f>
        <v>10469052.520000035</v>
      </c>
      <c r="H2445" s="11">
        <f t="shared" si="38"/>
        <v>0.98147202880287809</v>
      </c>
    </row>
    <row r="2446" spans="1:8" ht="15" customHeight="1" x14ac:dyDescent="0.25">
      <c r="A2446" s="5">
        <v>2440</v>
      </c>
      <c r="B2446" s="10" t="s">
        <v>4857</v>
      </c>
      <c r="C2446" s="10" t="s">
        <v>4858</v>
      </c>
      <c r="D2446" s="7">
        <v>388.75</v>
      </c>
      <c r="E2446" s="5">
        <v>180</v>
      </c>
      <c r="F2446" s="5">
        <v>69</v>
      </c>
      <c r="G2446" s="12">
        <f>SUM($D$7:D2446)</f>
        <v>10469441.270000035</v>
      </c>
      <c r="H2446" s="11">
        <f t="shared" si="38"/>
        <v>0.98150847405429587</v>
      </c>
    </row>
    <row r="2447" spans="1:8" ht="15" customHeight="1" x14ac:dyDescent="0.25">
      <c r="A2447" s="5">
        <v>2441</v>
      </c>
      <c r="B2447" s="10" t="s">
        <v>4859</v>
      </c>
      <c r="C2447" s="10" t="s">
        <v>4860</v>
      </c>
      <c r="D2447" s="7">
        <v>388.57</v>
      </c>
      <c r="E2447" s="5">
        <v>925</v>
      </c>
      <c r="F2447" s="5">
        <v>100</v>
      </c>
      <c r="G2447" s="12">
        <f>SUM($D$7:D2447)</f>
        <v>10469829.840000035</v>
      </c>
      <c r="H2447" s="11">
        <f t="shared" si="38"/>
        <v>0.98154490243074188</v>
      </c>
    </row>
    <row r="2448" spans="1:8" ht="15" customHeight="1" x14ac:dyDescent="0.25">
      <c r="A2448" s="5">
        <v>2442</v>
      </c>
      <c r="B2448" s="10" t="s">
        <v>844</v>
      </c>
      <c r="C2448" s="10" t="s">
        <v>4861</v>
      </c>
      <c r="D2448" s="7">
        <v>387</v>
      </c>
      <c r="E2448" s="5">
        <v>252</v>
      </c>
      <c r="F2448" s="5">
        <v>9</v>
      </c>
      <c r="G2448" s="12">
        <f>SUM($D$7:D2448)</f>
        <v>10470216.840000035</v>
      </c>
      <c r="H2448" s="11">
        <f t="shared" si="38"/>
        <v>0.98158118361993463</v>
      </c>
    </row>
    <row r="2449" spans="1:8" ht="15" customHeight="1" x14ac:dyDescent="0.25">
      <c r="A2449" s="5">
        <v>2443</v>
      </c>
      <c r="B2449" s="10" t="s">
        <v>4862</v>
      </c>
      <c r="C2449" s="10" t="s">
        <v>4863</v>
      </c>
      <c r="D2449" s="7">
        <v>386.77</v>
      </c>
      <c r="E2449" s="5">
        <v>1178</v>
      </c>
      <c r="F2449" s="5">
        <v>94</v>
      </c>
      <c r="G2449" s="12">
        <f>SUM($D$7:D2449)</f>
        <v>10470603.610000035</v>
      </c>
      <c r="H2449" s="11">
        <f t="shared" si="38"/>
        <v>0.98161744324666345</v>
      </c>
    </row>
    <row r="2450" spans="1:8" ht="15" customHeight="1" x14ac:dyDescent="0.25">
      <c r="A2450" s="5">
        <v>2444</v>
      </c>
      <c r="B2450" s="10" t="s">
        <v>4864</v>
      </c>
      <c r="C2450" s="10" t="s">
        <v>4865</v>
      </c>
      <c r="D2450" s="7">
        <v>386.32</v>
      </c>
      <c r="E2450" s="5">
        <v>244</v>
      </c>
      <c r="F2450" s="5">
        <v>41</v>
      </c>
      <c r="G2450" s="12">
        <f>SUM($D$7:D2450)</f>
        <v>10470989.930000035</v>
      </c>
      <c r="H2450" s="11">
        <f t="shared" si="38"/>
        <v>0.98165366068596305</v>
      </c>
    </row>
    <row r="2451" spans="1:8" ht="15" customHeight="1" x14ac:dyDescent="0.25">
      <c r="A2451" s="5">
        <v>2445</v>
      </c>
      <c r="B2451" s="10" t="s">
        <v>656</v>
      </c>
      <c r="C2451" s="10" t="s">
        <v>4866</v>
      </c>
      <c r="D2451" s="7">
        <v>385.3</v>
      </c>
      <c r="E2451" s="5">
        <v>70</v>
      </c>
      <c r="F2451" s="5">
        <v>26</v>
      </c>
      <c r="G2451" s="12">
        <f>SUM($D$7:D2451)</f>
        <v>10471375.230000036</v>
      </c>
      <c r="H2451" s="11">
        <f t="shared" si="38"/>
        <v>0.98168978250042294</v>
      </c>
    </row>
    <row r="2452" spans="1:8" ht="15" customHeight="1" x14ac:dyDescent="0.25">
      <c r="A2452" s="5">
        <v>2446</v>
      </c>
      <c r="B2452" s="10" t="s">
        <v>4867</v>
      </c>
      <c r="C2452" s="10" t="s">
        <v>4868</v>
      </c>
      <c r="D2452" s="7">
        <v>383.11</v>
      </c>
      <c r="E2452" s="5">
        <v>1102</v>
      </c>
      <c r="F2452" s="5">
        <v>79</v>
      </c>
      <c r="G2452" s="12">
        <f>SUM($D$7:D2452)</f>
        <v>10471758.340000035</v>
      </c>
      <c r="H2452" s="11">
        <f t="shared" si="38"/>
        <v>0.98172569900272677</v>
      </c>
    </row>
    <row r="2453" spans="1:8" ht="15" customHeight="1" x14ac:dyDescent="0.25">
      <c r="A2453" s="5">
        <v>2447</v>
      </c>
      <c r="B2453" s="10" t="s">
        <v>4869</v>
      </c>
      <c r="C2453" s="10" t="s">
        <v>4870</v>
      </c>
      <c r="D2453" s="7">
        <v>382.96</v>
      </c>
      <c r="E2453" s="5">
        <v>284</v>
      </c>
      <c r="F2453" s="5">
        <v>27</v>
      </c>
      <c r="G2453" s="12">
        <f>SUM($D$7:D2453)</f>
        <v>10472141.300000036</v>
      </c>
      <c r="H2453" s="11">
        <f t="shared" si="38"/>
        <v>0.98176160144255442</v>
      </c>
    </row>
    <row r="2454" spans="1:8" ht="15" customHeight="1" x14ac:dyDescent="0.25">
      <c r="A2454" s="5">
        <v>2448</v>
      </c>
      <c r="B2454" s="10" t="s">
        <v>4871</v>
      </c>
      <c r="C2454" s="10" t="s">
        <v>4872</v>
      </c>
      <c r="D2454" s="7">
        <v>381.78</v>
      </c>
      <c r="E2454" s="5">
        <v>58</v>
      </c>
      <c r="F2454" s="5">
        <v>29</v>
      </c>
      <c r="G2454" s="12">
        <f>SUM($D$7:D2454)</f>
        <v>10472523.080000035</v>
      </c>
      <c r="H2454" s="11">
        <f t="shared" si="38"/>
        <v>0.98179739325756732</v>
      </c>
    </row>
    <row r="2455" spans="1:8" ht="15" customHeight="1" x14ac:dyDescent="0.25">
      <c r="A2455" s="5">
        <v>2449</v>
      </c>
      <c r="B2455" s="10" t="s">
        <v>4873</v>
      </c>
      <c r="C2455" s="10" t="s">
        <v>4874</v>
      </c>
      <c r="D2455" s="7">
        <v>381.66</v>
      </c>
      <c r="E2455" s="5">
        <v>1037</v>
      </c>
      <c r="F2455" s="5">
        <v>59</v>
      </c>
      <c r="G2455" s="12">
        <f>SUM($D$7:D2455)</f>
        <v>10472904.740000036</v>
      </c>
      <c r="H2455" s="11">
        <f t="shared" si="38"/>
        <v>0.98183317382259905</v>
      </c>
    </row>
    <row r="2456" spans="1:8" ht="15" customHeight="1" x14ac:dyDescent="0.25">
      <c r="A2456" s="5">
        <v>2450</v>
      </c>
      <c r="B2456" s="10" t="s">
        <v>4875</v>
      </c>
      <c r="C2456" s="10" t="s">
        <v>4876</v>
      </c>
      <c r="D2456" s="7">
        <v>380.79</v>
      </c>
      <c r="E2456" s="5">
        <v>193</v>
      </c>
      <c r="F2456" s="5">
        <v>59</v>
      </c>
      <c r="G2456" s="12">
        <f>SUM($D$7:D2456)</f>
        <v>10473285.530000035</v>
      </c>
      <c r="H2456" s="11">
        <f t="shared" si="38"/>
        <v>0.98186887282526747</v>
      </c>
    </row>
    <row r="2457" spans="1:8" ht="15" customHeight="1" x14ac:dyDescent="0.25">
      <c r="A2457" s="5">
        <v>2451</v>
      </c>
      <c r="B2457" s="10" t="s">
        <v>4877</v>
      </c>
      <c r="C2457" s="10" t="s">
        <v>4878</v>
      </c>
      <c r="D2457" s="7">
        <v>380.36</v>
      </c>
      <c r="E2457" s="5">
        <v>324</v>
      </c>
      <c r="F2457" s="5">
        <v>28</v>
      </c>
      <c r="G2457" s="12">
        <f>SUM($D$7:D2457)</f>
        <v>10473665.890000034</v>
      </c>
      <c r="H2457" s="11">
        <f t="shared" si="38"/>
        <v>0.98190453151550339</v>
      </c>
    </row>
    <row r="2458" spans="1:8" ht="15" customHeight="1" x14ac:dyDescent="0.25">
      <c r="A2458" s="5">
        <v>2452</v>
      </c>
      <c r="B2458" s="10" t="s">
        <v>4879</v>
      </c>
      <c r="C2458" s="10" t="s">
        <v>4880</v>
      </c>
      <c r="D2458" s="7">
        <v>380</v>
      </c>
      <c r="E2458" s="5">
        <v>8900</v>
      </c>
      <c r="F2458" s="5">
        <v>68</v>
      </c>
      <c r="G2458" s="12">
        <f>SUM($D$7:D2458)</f>
        <v>10474045.890000034</v>
      </c>
      <c r="H2458" s="11">
        <f t="shared" si="38"/>
        <v>0.98194015645579602</v>
      </c>
    </row>
    <row r="2459" spans="1:8" ht="15" customHeight="1" x14ac:dyDescent="0.25">
      <c r="A2459" s="5">
        <v>2453</v>
      </c>
      <c r="B2459" s="10" t="s">
        <v>1952</v>
      </c>
      <c r="C2459" s="10" t="s">
        <v>4881</v>
      </c>
      <c r="D2459" s="7">
        <v>379.28</v>
      </c>
      <c r="E2459" s="5">
        <v>88</v>
      </c>
      <c r="F2459" s="5">
        <v>28</v>
      </c>
      <c r="G2459" s="12">
        <f>SUM($D$7:D2459)</f>
        <v>10474425.170000033</v>
      </c>
      <c r="H2459" s="11">
        <f t="shared" si="38"/>
        <v>0.98197571389620164</v>
      </c>
    </row>
    <row r="2460" spans="1:8" ht="15" customHeight="1" x14ac:dyDescent="0.25">
      <c r="A2460" s="5">
        <v>2454</v>
      </c>
      <c r="B2460" s="10" t="s">
        <v>4882</v>
      </c>
      <c r="C2460" s="10" t="s">
        <v>4883</v>
      </c>
      <c r="D2460" s="7">
        <v>378.29</v>
      </c>
      <c r="E2460" s="5">
        <v>89</v>
      </c>
      <c r="F2460" s="5">
        <v>37</v>
      </c>
      <c r="G2460" s="12">
        <f>SUM($D$7:D2460)</f>
        <v>10474803.460000033</v>
      </c>
      <c r="H2460" s="11">
        <f t="shared" si="38"/>
        <v>0.9820111785242629</v>
      </c>
    </row>
    <row r="2461" spans="1:8" ht="15" customHeight="1" x14ac:dyDescent="0.25">
      <c r="A2461" s="5">
        <v>2455</v>
      </c>
      <c r="B2461" s="10" t="s">
        <v>4884</v>
      </c>
      <c r="C2461" s="10" t="s">
        <v>4885</v>
      </c>
      <c r="D2461" s="7">
        <v>377.88</v>
      </c>
      <c r="E2461" s="5">
        <v>76</v>
      </c>
      <c r="F2461" s="5">
        <v>37</v>
      </c>
      <c r="G2461" s="12">
        <f>SUM($D$7:D2461)</f>
        <v>10475181.340000033</v>
      </c>
      <c r="H2461" s="11">
        <f t="shared" si="38"/>
        <v>0.98204660471488869</v>
      </c>
    </row>
    <row r="2462" spans="1:8" ht="15" customHeight="1" x14ac:dyDescent="0.25">
      <c r="A2462" s="5">
        <v>2456</v>
      </c>
      <c r="B2462" s="10" t="s">
        <v>1496</v>
      </c>
      <c r="C2462" s="10" t="s">
        <v>4886</v>
      </c>
      <c r="D2462" s="7">
        <v>377.56</v>
      </c>
      <c r="E2462" s="5">
        <v>220</v>
      </c>
      <c r="F2462" s="5">
        <v>25</v>
      </c>
      <c r="G2462" s="12">
        <f>SUM($D$7:D2462)</f>
        <v>10475558.900000034</v>
      </c>
      <c r="H2462" s="11">
        <f t="shared" si="38"/>
        <v>0.98208200090556474</v>
      </c>
    </row>
    <row r="2463" spans="1:8" ht="15" customHeight="1" x14ac:dyDescent="0.25">
      <c r="A2463" s="5">
        <v>2457</v>
      </c>
      <c r="B2463" s="10" t="s">
        <v>4887</v>
      </c>
      <c r="C2463" s="10" t="s">
        <v>4888</v>
      </c>
      <c r="D2463" s="7">
        <v>377.2</v>
      </c>
      <c r="E2463" s="5">
        <v>192</v>
      </c>
      <c r="F2463" s="5">
        <v>51</v>
      </c>
      <c r="G2463" s="12">
        <f>SUM($D$7:D2463)</f>
        <v>10475936.100000033</v>
      </c>
      <c r="H2463" s="11">
        <f t="shared" si="38"/>
        <v>0.98211736334629718</v>
      </c>
    </row>
    <row r="2464" spans="1:8" ht="15" customHeight="1" x14ac:dyDescent="0.25">
      <c r="A2464" s="5">
        <v>2458</v>
      </c>
      <c r="B2464" s="10" t="s">
        <v>4889</v>
      </c>
      <c r="C2464" s="10" t="s">
        <v>4890</v>
      </c>
      <c r="D2464" s="7">
        <v>377.04</v>
      </c>
      <c r="E2464" s="5">
        <v>54</v>
      </c>
      <c r="F2464" s="5">
        <v>26</v>
      </c>
      <c r="G2464" s="12">
        <f>SUM($D$7:D2464)</f>
        <v>10476313.140000032</v>
      </c>
      <c r="H2464" s="11">
        <f t="shared" si="38"/>
        <v>0.98215271078705479</v>
      </c>
    </row>
    <row r="2465" spans="1:8" ht="15" customHeight="1" x14ac:dyDescent="0.25">
      <c r="A2465" s="5">
        <v>2459</v>
      </c>
      <c r="B2465" s="10" t="s">
        <v>4891</v>
      </c>
      <c r="C2465" s="10" t="s">
        <v>4892</v>
      </c>
      <c r="D2465" s="7">
        <v>376.27</v>
      </c>
      <c r="E2465" s="5">
        <v>112</v>
      </c>
      <c r="F2465" s="5">
        <v>43</v>
      </c>
      <c r="G2465" s="12">
        <f>SUM($D$7:D2465)</f>
        <v>10476689.410000032</v>
      </c>
      <c r="H2465" s="11">
        <f t="shared" si="38"/>
        <v>0.98218798604043345</v>
      </c>
    </row>
    <row r="2466" spans="1:8" ht="15" customHeight="1" x14ac:dyDescent="0.25">
      <c r="A2466" s="5">
        <v>2460</v>
      </c>
      <c r="B2466" s="10" t="s">
        <v>4893</v>
      </c>
      <c r="C2466" s="10" t="s">
        <v>4894</v>
      </c>
      <c r="D2466" s="7">
        <v>376.18</v>
      </c>
      <c r="E2466" s="5">
        <v>404</v>
      </c>
      <c r="F2466" s="5">
        <v>42</v>
      </c>
      <c r="G2466" s="12">
        <f>SUM($D$7:D2466)</f>
        <v>10477065.590000032</v>
      </c>
      <c r="H2466" s="11">
        <f t="shared" si="38"/>
        <v>0.98222325285632617</v>
      </c>
    </row>
    <row r="2467" spans="1:8" ht="15" customHeight="1" x14ac:dyDescent="0.25">
      <c r="A2467" s="5">
        <v>2461</v>
      </c>
      <c r="B2467" s="10" t="s">
        <v>4895</v>
      </c>
      <c r="C2467" s="10" t="s">
        <v>4896</v>
      </c>
      <c r="D2467" s="7">
        <v>375.93</v>
      </c>
      <c r="E2467" s="5">
        <v>323</v>
      </c>
      <c r="F2467" s="5">
        <v>65</v>
      </c>
      <c r="G2467" s="12">
        <f>SUM($D$7:D2467)</f>
        <v>10477441.520000031</v>
      </c>
      <c r="H2467" s="11">
        <f t="shared" si="38"/>
        <v>0.98225849623475825</v>
      </c>
    </row>
    <row r="2468" spans="1:8" ht="15" customHeight="1" x14ac:dyDescent="0.25">
      <c r="A2468" s="5">
        <v>2462</v>
      </c>
      <c r="B2468" s="10" t="s">
        <v>4897</v>
      </c>
      <c r="C2468" s="10" t="s">
        <v>4898</v>
      </c>
      <c r="D2468" s="7">
        <v>375.61</v>
      </c>
      <c r="E2468" s="5">
        <v>397</v>
      </c>
      <c r="F2468" s="5">
        <v>94</v>
      </c>
      <c r="G2468" s="12">
        <f>SUM($D$7:D2468)</f>
        <v>10477817.130000031</v>
      </c>
      <c r="H2468" s="11">
        <f t="shared" si="38"/>
        <v>0.98229370961324058</v>
      </c>
    </row>
    <row r="2469" spans="1:8" ht="15" customHeight="1" x14ac:dyDescent="0.25">
      <c r="A2469" s="5">
        <v>2463</v>
      </c>
      <c r="B2469" s="10" t="s">
        <v>4899</v>
      </c>
      <c r="C2469" s="10" t="s">
        <v>4900</v>
      </c>
      <c r="D2469" s="7">
        <v>374.96</v>
      </c>
      <c r="E2469" s="5">
        <v>271</v>
      </c>
      <c r="F2469" s="5">
        <v>16</v>
      </c>
      <c r="G2469" s="12">
        <f>SUM($D$7:D2469)</f>
        <v>10478192.090000032</v>
      </c>
      <c r="H2469" s="11">
        <f t="shared" si="38"/>
        <v>0.98232886205432524</v>
      </c>
    </row>
    <row r="2470" spans="1:8" ht="15" customHeight="1" x14ac:dyDescent="0.25">
      <c r="A2470" s="5">
        <v>2464</v>
      </c>
      <c r="B2470" s="10" t="s">
        <v>4901</v>
      </c>
      <c r="C2470" s="10" t="s">
        <v>4902</v>
      </c>
      <c r="D2470" s="7">
        <v>374.12</v>
      </c>
      <c r="E2470" s="5">
        <v>272</v>
      </c>
      <c r="F2470" s="5">
        <v>34</v>
      </c>
      <c r="G2470" s="12">
        <f>SUM($D$7:D2470)</f>
        <v>10478566.210000031</v>
      </c>
      <c r="H2470" s="11">
        <f t="shared" si="38"/>
        <v>0.98236393574554159</v>
      </c>
    </row>
    <row r="2471" spans="1:8" ht="15" customHeight="1" x14ac:dyDescent="0.25">
      <c r="A2471" s="5">
        <v>2465</v>
      </c>
      <c r="B2471" s="10" t="s">
        <v>2289</v>
      </c>
      <c r="C2471" s="10" t="s">
        <v>4903</v>
      </c>
      <c r="D2471" s="7">
        <v>373.9</v>
      </c>
      <c r="E2471" s="5">
        <v>82</v>
      </c>
      <c r="F2471" s="5">
        <v>12</v>
      </c>
      <c r="G2471" s="12">
        <f>SUM($D$7:D2471)</f>
        <v>10478940.110000031</v>
      </c>
      <c r="H2471" s="11">
        <f t="shared" si="38"/>
        <v>0.98239898881179266</v>
      </c>
    </row>
    <row r="2472" spans="1:8" ht="15" customHeight="1" x14ac:dyDescent="0.25">
      <c r="A2472" s="5">
        <v>2466</v>
      </c>
      <c r="B2472" s="10" t="s">
        <v>4904</v>
      </c>
      <c r="C2472" s="10" t="s">
        <v>4905</v>
      </c>
      <c r="D2472" s="7">
        <v>373.57</v>
      </c>
      <c r="E2472" s="5">
        <v>54</v>
      </c>
      <c r="F2472" s="5">
        <v>27</v>
      </c>
      <c r="G2472" s="12">
        <f>SUM($D$7:D2472)</f>
        <v>10479313.680000031</v>
      </c>
      <c r="H2472" s="11">
        <f t="shared" si="38"/>
        <v>0.98243401094059568</v>
      </c>
    </row>
    <row r="2473" spans="1:8" ht="15" customHeight="1" x14ac:dyDescent="0.25">
      <c r="A2473" s="5">
        <v>2467</v>
      </c>
      <c r="B2473" s="10" t="s">
        <v>4906</v>
      </c>
      <c r="C2473" s="10" t="s">
        <v>4907</v>
      </c>
      <c r="D2473" s="7">
        <v>373.34</v>
      </c>
      <c r="E2473" s="5">
        <v>358</v>
      </c>
      <c r="F2473" s="5">
        <v>105</v>
      </c>
      <c r="G2473" s="12">
        <f>SUM($D$7:D2473)</f>
        <v>10479687.020000031</v>
      </c>
      <c r="H2473" s="11">
        <f t="shared" si="38"/>
        <v>0.98246901150693466</v>
      </c>
    </row>
    <row r="2474" spans="1:8" ht="15" customHeight="1" x14ac:dyDescent="0.25">
      <c r="A2474" s="5">
        <v>2468</v>
      </c>
      <c r="B2474" s="10" t="s">
        <v>4908</v>
      </c>
      <c r="C2474" s="10" t="s">
        <v>4909</v>
      </c>
      <c r="D2474" s="7">
        <v>372.33</v>
      </c>
      <c r="E2474" s="5">
        <v>1773</v>
      </c>
      <c r="F2474" s="5">
        <v>46</v>
      </c>
      <c r="G2474" s="12">
        <f>SUM($D$7:D2474)</f>
        <v>10480059.350000031</v>
      </c>
      <c r="H2474" s="11">
        <f t="shared" si="38"/>
        <v>0.98250391738593246</v>
      </c>
    </row>
    <row r="2475" spans="1:8" ht="15" customHeight="1" x14ac:dyDescent="0.25">
      <c r="A2475" s="5">
        <v>2469</v>
      </c>
      <c r="B2475" s="10" t="s">
        <v>4910</v>
      </c>
      <c r="C2475" s="10" t="s">
        <v>4911</v>
      </c>
      <c r="D2475" s="7">
        <v>372.33</v>
      </c>
      <c r="E2475" s="5">
        <v>217</v>
      </c>
      <c r="F2475" s="5">
        <v>23</v>
      </c>
      <c r="G2475" s="12">
        <f>SUM($D$7:D2475)</f>
        <v>10480431.680000031</v>
      </c>
      <c r="H2475" s="11">
        <f t="shared" si="38"/>
        <v>0.98253882326493025</v>
      </c>
    </row>
    <row r="2476" spans="1:8" ht="15" customHeight="1" x14ac:dyDescent="0.25">
      <c r="A2476" s="5">
        <v>2470</v>
      </c>
      <c r="B2476" s="10" t="s">
        <v>4912</v>
      </c>
      <c r="C2476" s="10" t="s">
        <v>4913</v>
      </c>
      <c r="D2476" s="7">
        <v>369.87</v>
      </c>
      <c r="E2476" s="5">
        <v>95</v>
      </c>
      <c r="F2476" s="5">
        <v>26</v>
      </c>
      <c r="G2476" s="12">
        <f>SUM($D$7:D2476)</f>
        <v>10480801.550000031</v>
      </c>
      <c r="H2476" s="11">
        <f t="shared" si="38"/>
        <v>0.98257349851931441</v>
      </c>
    </row>
    <row r="2477" spans="1:8" ht="15" customHeight="1" x14ac:dyDescent="0.25">
      <c r="A2477" s="5">
        <v>2471</v>
      </c>
      <c r="B2477" s="10" t="s">
        <v>4914</v>
      </c>
      <c r="C2477" s="10" t="s">
        <v>4915</v>
      </c>
      <c r="D2477" s="7">
        <v>369.84</v>
      </c>
      <c r="E2477" s="5">
        <v>96</v>
      </c>
      <c r="F2477" s="5">
        <v>35</v>
      </c>
      <c r="G2477" s="12">
        <f>SUM($D$7:D2477)</f>
        <v>10481171.39000003</v>
      </c>
      <c r="H2477" s="11">
        <f t="shared" si="38"/>
        <v>0.98260817096120334</v>
      </c>
    </row>
    <row r="2478" spans="1:8" ht="15" customHeight="1" x14ac:dyDescent="0.25">
      <c r="A2478" s="5">
        <v>2472</v>
      </c>
      <c r="B2478" s="10" t="s">
        <v>4916</v>
      </c>
      <c r="C2478" s="10" t="s">
        <v>4917</v>
      </c>
      <c r="D2478" s="7">
        <v>367.35</v>
      </c>
      <c r="E2478" s="5">
        <v>179</v>
      </c>
      <c r="F2478" s="5">
        <v>32</v>
      </c>
      <c r="G2478" s="12">
        <f>SUM($D$7:D2478)</f>
        <v>10481538.74000003</v>
      </c>
      <c r="H2478" s="11">
        <f t="shared" si="38"/>
        <v>0.98264260996598352</v>
      </c>
    </row>
    <row r="2479" spans="1:8" ht="15" customHeight="1" x14ac:dyDescent="0.25">
      <c r="A2479" s="5">
        <v>2473</v>
      </c>
      <c r="B2479" s="10" t="s">
        <v>4918</v>
      </c>
      <c r="C2479" s="10" t="s">
        <v>4919</v>
      </c>
      <c r="D2479" s="7">
        <v>366.75</v>
      </c>
      <c r="E2479" s="5">
        <v>1072</v>
      </c>
      <c r="F2479" s="5">
        <v>73</v>
      </c>
      <c r="G2479" s="12">
        <f>SUM($D$7:D2479)</f>
        <v>10481905.49000003</v>
      </c>
      <c r="H2479" s="11">
        <f t="shared" si="38"/>
        <v>0.98267699272085807</v>
      </c>
    </row>
    <row r="2480" spans="1:8" ht="15" customHeight="1" x14ac:dyDescent="0.25">
      <c r="A2480" s="5">
        <v>2474</v>
      </c>
      <c r="B2480" s="10" t="s">
        <v>4920</v>
      </c>
      <c r="C2480" s="10" t="s">
        <v>4921</v>
      </c>
      <c r="D2480" s="7">
        <v>366.73</v>
      </c>
      <c r="E2480" s="5">
        <v>11</v>
      </c>
      <c r="F2480" s="5">
        <v>8</v>
      </c>
      <c r="G2480" s="12">
        <f>SUM($D$7:D2480)</f>
        <v>10482272.22000003</v>
      </c>
      <c r="H2480" s="11">
        <f t="shared" si="38"/>
        <v>0.98271137360073579</v>
      </c>
    </row>
    <row r="2481" spans="1:8" ht="15" customHeight="1" x14ac:dyDescent="0.25">
      <c r="A2481" s="5">
        <v>2475</v>
      </c>
      <c r="B2481" s="10" t="s">
        <v>4922</v>
      </c>
      <c r="C2481" s="10" t="s">
        <v>4923</v>
      </c>
      <c r="D2481" s="7">
        <v>366.15</v>
      </c>
      <c r="E2481" s="5">
        <v>540</v>
      </c>
      <c r="F2481" s="5">
        <v>64</v>
      </c>
      <c r="G2481" s="12">
        <f>SUM($D$7:D2481)</f>
        <v>10482638.370000031</v>
      </c>
      <c r="H2481" s="11">
        <f t="shared" si="38"/>
        <v>0.98274570010570461</v>
      </c>
    </row>
    <row r="2482" spans="1:8" ht="15" customHeight="1" x14ac:dyDescent="0.25">
      <c r="A2482" s="5">
        <v>2476</v>
      </c>
      <c r="B2482" s="10" t="s">
        <v>4924</v>
      </c>
      <c r="C2482" s="10" t="s">
        <v>4925</v>
      </c>
      <c r="D2482" s="7">
        <v>365.09</v>
      </c>
      <c r="E2482" s="5">
        <v>97</v>
      </c>
      <c r="F2482" s="5">
        <v>52</v>
      </c>
      <c r="G2482" s="12">
        <f>SUM($D$7:D2482)</f>
        <v>10483003.460000031</v>
      </c>
      <c r="H2482" s="11">
        <f t="shared" si="38"/>
        <v>0.98277992723583985</v>
      </c>
    </row>
    <row r="2483" spans="1:8" ht="15" customHeight="1" x14ac:dyDescent="0.25">
      <c r="A2483" s="5">
        <v>2477</v>
      </c>
      <c r="B2483" s="10" t="s">
        <v>4926</v>
      </c>
      <c r="C2483" s="10" t="s">
        <v>4927</v>
      </c>
      <c r="D2483" s="7">
        <v>364.22</v>
      </c>
      <c r="E2483" s="5">
        <v>197</v>
      </c>
      <c r="F2483" s="5">
        <v>19</v>
      </c>
      <c r="G2483" s="12">
        <f>SUM($D$7:D2483)</f>
        <v>10483367.680000031</v>
      </c>
      <c r="H2483" s="11">
        <f t="shared" si="38"/>
        <v>0.98281407280361199</v>
      </c>
    </row>
    <row r="2484" spans="1:8" ht="15" customHeight="1" x14ac:dyDescent="0.25">
      <c r="A2484" s="5">
        <v>2478</v>
      </c>
      <c r="B2484" s="10" t="s">
        <v>4928</v>
      </c>
      <c r="C2484" s="10" t="s">
        <v>4929</v>
      </c>
      <c r="D2484" s="7">
        <v>362.65</v>
      </c>
      <c r="E2484" s="5">
        <v>171</v>
      </c>
      <c r="F2484" s="5">
        <v>35</v>
      </c>
      <c r="G2484" s="12">
        <f>SUM($D$7:D2484)</f>
        <v>10483730.330000032</v>
      </c>
      <c r="H2484" s="11">
        <f t="shared" si="38"/>
        <v>0.98284807118413076</v>
      </c>
    </row>
    <row r="2485" spans="1:8" ht="15" customHeight="1" x14ac:dyDescent="0.25">
      <c r="A2485" s="5">
        <v>2479</v>
      </c>
      <c r="B2485" s="10" t="s">
        <v>4930</v>
      </c>
      <c r="C2485" s="10" t="s">
        <v>4931</v>
      </c>
      <c r="D2485" s="7">
        <v>362.12</v>
      </c>
      <c r="E2485" s="5">
        <v>273</v>
      </c>
      <c r="F2485" s="5">
        <v>30</v>
      </c>
      <c r="G2485" s="12">
        <f>SUM($D$7:D2485)</f>
        <v>10484092.450000031</v>
      </c>
      <c r="H2485" s="11">
        <f t="shared" si="38"/>
        <v>0.98288201987723267</v>
      </c>
    </row>
    <row r="2486" spans="1:8" ht="15" customHeight="1" x14ac:dyDescent="0.25">
      <c r="A2486" s="5">
        <v>2480</v>
      </c>
      <c r="B2486" s="10" t="s">
        <v>4932</v>
      </c>
      <c r="C2486" s="10" t="s">
        <v>4933</v>
      </c>
      <c r="D2486" s="7">
        <v>361.81</v>
      </c>
      <c r="E2486" s="5">
        <v>688</v>
      </c>
      <c r="F2486" s="5">
        <v>41</v>
      </c>
      <c r="G2486" s="12">
        <f>SUM($D$7:D2486)</f>
        <v>10484454.260000031</v>
      </c>
      <c r="H2486" s="11">
        <f t="shared" si="38"/>
        <v>0.98291593950788336</v>
      </c>
    </row>
    <row r="2487" spans="1:8" ht="15" customHeight="1" x14ac:dyDescent="0.25">
      <c r="A2487" s="5">
        <v>2481</v>
      </c>
      <c r="B2487" s="10" t="s">
        <v>4934</v>
      </c>
      <c r="C2487" s="10" t="s">
        <v>4935</v>
      </c>
      <c r="D2487" s="7">
        <v>361.56</v>
      </c>
      <c r="E2487" s="5">
        <v>140</v>
      </c>
      <c r="F2487" s="5">
        <v>6</v>
      </c>
      <c r="G2487" s="12">
        <f>SUM($D$7:D2487)</f>
        <v>10484815.820000032</v>
      </c>
      <c r="H2487" s="11">
        <f t="shared" si="38"/>
        <v>0.98294983570107342</v>
      </c>
    </row>
    <row r="2488" spans="1:8" ht="15" customHeight="1" x14ac:dyDescent="0.25">
      <c r="A2488" s="5">
        <v>2482</v>
      </c>
      <c r="B2488" s="10" t="s">
        <v>4936</v>
      </c>
      <c r="C2488" s="10" t="s">
        <v>4937</v>
      </c>
      <c r="D2488" s="7">
        <v>361.04</v>
      </c>
      <c r="E2488" s="5">
        <v>86</v>
      </c>
      <c r="F2488" s="5">
        <v>20</v>
      </c>
      <c r="G2488" s="12">
        <f>SUM($D$7:D2488)</f>
        <v>10485176.860000031</v>
      </c>
      <c r="H2488" s="11">
        <f t="shared" si="38"/>
        <v>0.98298368314434503</v>
      </c>
    </row>
    <row r="2489" spans="1:8" ht="15" customHeight="1" x14ac:dyDescent="0.25">
      <c r="A2489" s="5">
        <v>2483</v>
      </c>
      <c r="B2489" s="10" t="s">
        <v>4938</v>
      </c>
      <c r="C2489" s="10" t="s">
        <v>1372</v>
      </c>
      <c r="D2489" s="7">
        <v>360.71</v>
      </c>
      <c r="E2489" s="5">
        <v>109</v>
      </c>
      <c r="F2489" s="5">
        <v>42</v>
      </c>
      <c r="G2489" s="12">
        <f>SUM($D$7:D2489)</f>
        <v>10485537.570000032</v>
      </c>
      <c r="H2489" s="11">
        <f t="shared" si="38"/>
        <v>0.9830174996501686</v>
      </c>
    </row>
    <row r="2490" spans="1:8" ht="15" customHeight="1" x14ac:dyDescent="0.25">
      <c r="A2490" s="5">
        <v>2484</v>
      </c>
      <c r="B2490" s="10" t="s">
        <v>4939</v>
      </c>
      <c r="C2490" s="10" t="s">
        <v>4940</v>
      </c>
      <c r="D2490" s="7">
        <v>360.71</v>
      </c>
      <c r="E2490" s="5">
        <v>2892</v>
      </c>
      <c r="F2490" s="5">
        <v>70</v>
      </c>
      <c r="G2490" s="12">
        <f>SUM($D$7:D2490)</f>
        <v>10485898.280000033</v>
      </c>
      <c r="H2490" s="11">
        <f t="shared" si="38"/>
        <v>0.98305131615599228</v>
      </c>
    </row>
    <row r="2491" spans="1:8" ht="15" customHeight="1" x14ac:dyDescent="0.25">
      <c r="A2491" s="5">
        <v>2485</v>
      </c>
      <c r="B2491" s="10" t="s">
        <v>4941</v>
      </c>
      <c r="C2491" s="10" t="s">
        <v>4942</v>
      </c>
      <c r="D2491" s="7">
        <v>359.7</v>
      </c>
      <c r="E2491" s="5">
        <v>6</v>
      </c>
      <c r="F2491" s="5">
        <v>5</v>
      </c>
      <c r="G2491" s="12">
        <f>SUM($D$7:D2491)</f>
        <v>10486257.980000032</v>
      </c>
      <c r="H2491" s="11">
        <f t="shared" si="38"/>
        <v>0.98308503797447444</v>
      </c>
    </row>
    <row r="2492" spans="1:8" ht="15" customHeight="1" x14ac:dyDescent="0.25">
      <c r="A2492" s="5">
        <v>2486</v>
      </c>
      <c r="B2492" s="10" t="s">
        <v>4943</v>
      </c>
      <c r="C2492" s="10" t="s">
        <v>4944</v>
      </c>
      <c r="D2492" s="7">
        <v>359.6</v>
      </c>
      <c r="E2492" s="5">
        <v>1293</v>
      </c>
      <c r="F2492" s="5">
        <v>54</v>
      </c>
      <c r="G2492" s="12">
        <f>SUM($D$7:D2492)</f>
        <v>10486617.580000032</v>
      </c>
      <c r="H2492" s="11">
        <f t="shared" si="38"/>
        <v>0.98311875041797236</v>
      </c>
    </row>
    <row r="2493" spans="1:8" ht="15" customHeight="1" x14ac:dyDescent="0.25">
      <c r="A2493" s="5">
        <v>2487</v>
      </c>
      <c r="B2493" s="10" t="s">
        <v>4945</v>
      </c>
      <c r="C2493" s="10" t="s">
        <v>4946</v>
      </c>
      <c r="D2493" s="7">
        <v>359.29</v>
      </c>
      <c r="E2493" s="5">
        <v>405</v>
      </c>
      <c r="F2493" s="5">
        <v>71</v>
      </c>
      <c r="G2493" s="12">
        <f>SUM($D$7:D2493)</f>
        <v>10486976.870000031</v>
      </c>
      <c r="H2493" s="11">
        <f t="shared" si="38"/>
        <v>0.98315243379901884</v>
      </c>
    </row>
    <row r="2494" spans="1:8" ht="15" customHeight="1" x14ac:dyDescent="0.25">
      <c r="A2494" s="5">
        <v>2488</v>
      </c>
      <c r="B2494" s="10" t="s">
        <v>4947</v>
      </c>
      <c r="C2494" s="10" t="s">
        <v>4948</v>
      </c>
      <c r="D2494" s="7">
        <v>358.1</v>
      </c>
      <c r="E2494" s="5">
        <v>98</v>
      </c>
      <c r="F2494" s="5">
        <v>38</v>
      </c>
      <c r="G2494" s="12">
        <f>SUM($D$7:D2494)</f>
        <v>10487334.97000003</v>
      </c>
      <c r="H2494" s="11">
        <f t="shared" si="38"/>
        <v>0.98318600561775249</v>
      </c>
    </row>
    <row r="2495" spans="1:8" ht="15" customHeight="1" x14ac:dyDescent="0.25">
      <c r="A2495" s="5">
        <v>2489</v>
      </c>
      <c r="B2495" s="10" t="s">
        <v>4949</v>
      </c>
      <c r="C2495" s="10" t="s">
        <v>4950</v>
      </c>
      <c r="D2495" s="7">
        <v>357.74</v>
      </c>
      <c r="E2495" s="5">
        <v>185</v>
      </c>
      <c r="F2495" s="5">
        <v>54</v>
      </c>
      <c r="G2495" s="12">
        <f>SUM($D$7:D2495)</f>
        <v>10487692.710000031</v>
      </c>
      <c r="H2495" s="11">
        <f t="shared" si="38"/>
        <v>0.98321954368654274</v>
      </c>
    </row>
    <row r="2496" spans="1:8" ht="15" customHeight="1" x14ac:dyDescent="0.25">
      <c r="A2496" s="5">
        <v>2490</v>
      </c>
      <c r="B2496" s="10" t="s">
        <v>4951</v>
      </c>
      <c r="C2496" s="10" t="s">
        <v>4952</v>
      </c>
      <c r="D2496" s="7">
        <v>357.29</v>
      </c>
      <c r="E2496" s="5">
        <v>216</v>
      </c>
      <c r="F2496" s="5">
        <v>61</v>
      </c>
      <c r="G2496" s="12">
        <f>SUM($D$7:D2496)</f>
        <v>10488050.00000003</v>
      </c>
      <c r="H2496" s="11">
        <f t="shared" si="38"/>
        <v>0.98325303956790355</v>
      </c>
    </row>
    <row r="2497" spans="1:8" ht="15" customHeight="1" x14ac:dyDescent="0.25">
      <c r="A2497" s="5">
        <v>2491</v>
      </c>
      <c r="B2497" s="10" t="s">
        <v>4953</v>
      </c>
      <c r="C2497" s="10" t="s">
        <v>4954</v>
      </c>
      <c r="D2497" s="7">
        <v>356.97</v>
      </c>
      <c r="E2497" s="5">
        <v>171</v>
      </c>
      <c r="F2497" s="5">
        <v>42</v>
      </c>
      <c r="G2497" s="12">
        <f>SUM($D$7:D2497)</f>
        <v>10488406.97000003</v>
      </c>
      <c r="H2497" s="11">
        <f t="shared" si="38"/>
        <v>0.98328650544931473</v>
      </c>
    </row>
    <row r="2498" spans="1:8" ht="15" customHeight="1" x14ac:dyDescent="0.25">
      <c r="A2498" s="5">
        <v>2492</v>
      </c>
      <c r="B2498" s="10" t="s">
        <v>4955</v>
      </c>
      <c r="C2498" s="10" t="s">
        <v>4956</v>
      </c>
      <c r="D2498" s="7">
        <v>356.46</v>
      </c>
      <c r="E2498" s="5">
        <v>757</v>
      </c>
      <c r="F2498" s="5">
        <v>59</v>
      </c>
      <c r="G2498" s="12">
        <f>SUM($D$7:D2498)</f>
        <v>10488763.430000031</v>
      </c>
      <c r="H2498" s="11">
        <f t="shared" si="38"/>
        <v>0.98331992351830622</v>
      </c>
    </row>
    <row r="2499" spans="1:8" ht="15" customHeight="1" x14ac:dyDescent="0.25">
      <c r="A2499" s="5">
        <v>2493</v>
      </c>
      <c r="B2499" s="10" t="s">
        <v>4957</v>
      </c>
      <c r="C2499" s="10" t="s">
        <v>4958</v>
      </c>
      <c r="D2499" s="7">
        <v>356.11</v>
      </c>
      <c r="E2499" s="5">
        <v>68</v>
      </c>
      <c r="F2499" s="5">
        <v>30</v>
      </c>
      <c r="G2499" s="12">
        <f>SUM($D$7:D2499)</f>
        <v>10489119.540000031</v>
      </c>
      <c r="H2499" s="11">
        <f t="shared" si="38"/>
        <v>0.98335330877485239</v>
      </c>
    </row>
    <row r="2500" spans="1:8" ht="15" customHeight="1" x14ac:dyDescent="0.25">
      <c r="A2500" s="5">
        <v>2494</v>
      </c>
      <c r="B2500" s="10" t="s">
        <v>4959</v>
      </c>
      <c r="C2500" s="10" t="s">
        <v>4960</v>
      </c>
      <c r="D2500" s="7">
        <v>356.08</v>
      </c>
      <c r="E2500" s="5">
        <v>351</v>
      </c>
      <c r="F2500" s="5">
        <v>50</v>
      </c>
      <c r="G2500" s="12">
        <f>SUM($D$7:D2500)</f>
        <v>10489475.620000031</v>
      </c>
      <c r="H2500" s="11">
        <f t="shared" si="38"/>
        <v>0.98338669121890343</v>
      </c>
    </row>
    <row r="2501" spans="1:8" ht="15" customHeight="1" x14ac:dyDescent="0.25">
      <c r="A2501" s="5">
        <v>2495</v>
      </c>
      <c r="B2501" s="10" t="s">
        <v>4961</v>
      </c>
      <c r="C2501" s="10" t="s">
        <v>4962</v>
      </c>
      <c r="D2501" s="7">
        <v>356.06</v>
      </c>
      <c r="E2501" s="5">
        <v>329</v>
      </c>
      <c r="F2501" s="5">
        <v>62</v>
      </c>
      <c r="G2501" s="12">
        <f>SUM($D$7:D2501)</f>
        <v>10489831.680000031</v>
      </c>
      <c r="H2501" s="11">
        <f t="shared" si="38"/>
        <v>0.98342007178795765</v>
      </c>
    </row>
    <row r="2502" spans="1:8" ht="15" customHeight="1" x14ac:dyDescent="0.25">
      <c r="A2502" s="5">
        <v>2496</v>
      </c>
      <c r="B2502" s="10" t="s">
        <v>4963</v>
      </c>
      <c r="C2502" s="10" t="s">
        <v>4964</v>
      </c>
      <c r="D2502" s="7">
        <v>355.84</v>
      </c>
      <c r="E2502" s="5">
        <v>294</v>
      </c>
      <c r="F2502" s="5">
        <v>65</v>
      </c>
      <c r="G2502" s="12">
        <f>SUM($D$7:D2502)</f>
        <v>10490187.520000031</v>
      </c>
      <c r="H2502" s="11">
        <f t="shared" si="38"/>
        <v>0.98345343173204636</v>
      </c>
    </row>
    <row r="2503" spans="1:8" ht="15" customHeight="1" x14ac:dyDescent="0.25">
      <c r="A2503" s="5">
        <v>2497</v>
      </c>
      <c r="B2503" s="10" t="s">
        <v>4965</v>
      </c>
      <c r="C2503" s="10" t="s">
        <v>4966</v>
      </c>
      <c r="D2503" s="7">
        <v>355.83</v>
      </c>
      <c r="E2503" s="5">
        <v>408</v>
      </c>
      <c r="F2503" s="5">
        <v>81</v>
      </c>
      <c r="G2503" s="12">
        <f>SUM($D$7:D2503)</f>
        <v>10490543.350000031</v>
      </c>
      <c r="H2503" s="11">
        <f t="shared" ref="H2503:H2566" si="39">G2503/SUM($D$7:$D$4167)</f>
        <v>0.98348679073863665</v>
      </c>
    </row>
    <row r="2504" spans="1:8" ht="15" customHeight="1" x14ac:dyDescent="0.25">
      <c r="A2504" s="5">
        <v>2498</v>
      </c>
      <c r="B2504" s="10" t="s">
        <v>4967</v>
      </c>
      <c r="C2504" s="10" t="s">
        <v>4968</v>
      </c>
      <c r="D2504" s="7">
        <v>354.14</v>
      </c>
      <c r="E2504" s="5">
        <v>74</v>
      </c>
      <c r="F2504" s="5">
        <v>50</v>
      </c>
      <c r="G2504" s="12">
        <f>SUM($D$7:D2504)</f>
        <v>10490897.490000032</v>
      </c>
      <c r="H2504" s="11">
        <f t="shared" si="39"/>
        <v>0.98351999130799261</v>
      </c>
    </row>
    <row r="2505" spans="1:8" ht="15" customHeight="1" x14ac:dyDescent="0.25">
      <c r="A2505" s="5">
        <v>2499</v>
      </c>
      <c r="B2505" s="10" t="s">
        <v>4969</v>
      </c>
      <c r="C2505" s="10" t="s">
        <v>4970</v>
      </c>
      <c r="D2505" s="7">
        <v>354.03</v>
      </c>
      <c r="E2505" s="5">
        <v>506</v>
      </c>
      <c r="F2505" s="5">
        <v>47</v>
      </c>
      <c r="G2505" s="12">
        <f>SUM($D$7:D2505)</f>
        <v>10491251.520000031</v>
      </c>
      <c r="H2505" s="11">
        <f t="shared" si="39"/>
        <v>0.98355318156486571</v>
      </c>
    </row>
    <row r="2506" spans="1:8" ht="15" customHeight="1" x14ac:dyDescent="0.25">
      <c r="A2506" s="5">
        <v>2500</v>
      </c>
      <c r="B2506" s="10" t="s">
        <v>4971</v>
      </c>
      <c r="C2506" s="10" t="s">
        <v>4972</v>
      </c>
      <c r="D2506" s="7">
        <v>353.98</v>
      </c>
      <c r="E2506" s="5">
        <v>258</v>
      </c>
      <c r="F2506" s="5">
        <v>87</v>
      </c>
      <c r="G2506" s="12">
        <f>SUM($D$7:D2506)</f>
        <v>10491605.500000032</v>
      </c>
      <c r="H2506" s="11">
        <f t="shared" si="39"/>
        <v>0.98358636713424674</v>
      </c>
    </row>
    <row r="2507" spans="1:8" ht="15" customHeight="1" x14ac:dyDescent="0.25">
      <c r="A2507" s="5">
        <v>2501</v>
      </c>
      <c r="B2507" s="10" t="s">
        <v>4973</v>
      </c>
      <c r="C2507" s="10" t="s">
        <v>4974</v>
      </c>
      <c r="D2507" s="7">
        <v>353.97</v>
      </c>
      <c r="E2507" s="5">
        <v>99</v>
      </c>
      <c r="F2507" s="5">
        <v>18</v>
      </c>
      <c r="G2507" s="12">
        <f>SUM($D$7:D2507)</f>
        <v>10491959.470000032</v>
      </c>
      <c r="H2507" s="11">
        <f t="shared" si="39"/>
        <v>0.98361955176612936</v>
      </c>
    </row>
    <row r="2508" spans="1:8" ht="15" customHeight="1" x14ac:dyDescent="0.25">
      <c r="A2508" s="5">
        <v>2502</v>
      </c>
      <c r="B2508" s="10" t="s">
        <v>4975</v>
      </c>
      <c r="C2508" s="10" t="s">
        <v>4976</v>
      </c>
      <c r="D2508" s="7">
        <v>353.48</v>
      </c>
      <c r="E2508" s="5">
        <v>401</v>
      </c>
      <c r="F2508" s="5">
        <v>59</v>
      </c>
      <c r="G2508" s="12">
        <f>SUM($D$7:D2508)</f>
        <v>10492312.950000033</v>
      </c>
      <c r="H2508" s="11">
        <f t="shared" si="39"/>
        <v>0.9836526904605889</v>
      </c>
    </row>
    <row r="2509" spans="1:8" ht="15" customHeight="1" x14ac:dyDescent="0.25">
      <c r="A2509" s="5">
        <v>2503</v>
      </c>
      <c r="B2509" s="10" t="s">
        <v>4977</v>
      </c>
      <c r="C2509" s="10" t="s">
        <v>4978</v>
      </c>
      <c r="D2509" s="7">
        <v>353.45</v>
      </c>
      <c r="E2509" s="5">
        <v>165</v>
      </c>
      <c r="F2509" s="5">
        <v>32</v>
      </c>
      <c r="G2509" s="12">
        <f>SUM($D$7:D2509)</f>
        <v>10492666.400000032</v>
      </c>
      <c r="H2509" s="11">
        <f t="shared" si="39"/>
        <v>0.98368582634255308</v>
      </c>
    </row>
    <row r="2510" spans="1:8" ht="15" customHeight="1" x14ac:dyDescent="0.25">
      <c r="A2510" s="5">
        <v>2504</v>
      </c>
      <c r="B2510" s="10" t="s">
        <v>4979</v>
      </c>
      <c r="C2510" s="10" t="s">
        <v>4980</v>
      </c>
      <c r="D2510" s="7">
        <v>353.36</v>
      </c>
      <c r="E2510" s="5">
        <v>162</v>
      </c>
      <c r="F2510" s="5">
        <v>33</v>
      </c>
      <c r="G2510" s="12">
        <f>SUM($D$7:D2510)</f>
        <v>10493019.760000031</v>
      </c>
      <c r="H2510" s="11">
        <f t="shared" si="39"/>
        <v>0.98371895378703145</v>
      </c>
    </row>
    <row r="2511" spans="1:8" ht="15" customHeight="1" x14ac:dyDescent="0.25">
      <c r="A2511" s="5">
        <v>2505</v>
      </c>
      <c r="B2511" s="10" t="s">
        <v>4981</v>
      </c>
      <c r="C2511" s="10" t="s">
        <v>4982</v>
      </c>
      <c r="D2511" s="7">
        <v>353.19</v>
      </c>
      <c r="E2511" s="5">
        <v>269</v>
      </c>
      <c r="F2511" s="5">
        <v>73</v>
      </c>
      <c r="G2511" s="12">
        <f>SUM($D$7:D2511)</f>
        <v>10493372.950000031</v>
      </c>
      <c r="H2511" s="11">
        <f t="shared" si="39"/>
        <v>0.98375206529403647</v>
      </c>
    </row>
    <row r="2512" spans="1:8" ht="15" customHeight="1" x14ac:dyDescent="0.25">
      <c r="A2512" s="5">
        <v>2506</v>
      </c>
      <c r="B2512" s="10" t="s">
        <v>4983</v>
      </c>
      <c r="C2512" s="10" t="s">
        <v>4984</v>
      </c>
      <c r="D2512" s="7">
        <v>352.25</v>
      </c>
      <c r="E2512" s="5">
        <v>862</v>
      </c>
      <c r="F2512" s="5">
        <v>98</v>
      </c>
      <c r="G2512" s="12">
        <f>SUM($D$7:D2512)</f>
        <v>10493725.200000031</v>
      </c>
      <c r="H2512" s="11">
        <f t="shared" si="39"/>
        <v>0.9837850886761893</v>
      </c>
    </row>
    <row r="2513" spans="1:8" ht="15" customHeight="1" x14ac:dyDescent="0.25">
      <c r="A2513" s="5">
        <v>2507</v>
      </c>
      <c r="B2513" s="10" t="s">
        <v>4985</v>
      </c>
      <c r="C2513" s="10" t="s">
        <v>4986</v>
      </c>
      <c r="D2513" s="7">
        <v>350.61</v>
      </c>
      <c r="E2513" s="5">
        <v>268</v>
      </c>
      <c r="F2513" s="5">
        <v>78</v>
      </c>
      <c r="G2513" s="12">
        <f>SUM($D$7:D2513)</f>
        <v>10494075.81000003</v>
      </c>
      <c r="H2513" s="11">
        <f t="shared" si="39"/>
        <v>0.98381795830859975</v>
      </c>
    </row>
    <row r="2514" spans="1:8" ht="15" customHeight="1" x14ac:dyDescent="0.25">
      <c r="A2514" s="5">
        <v>2508</v>
      </c>
      <c r="B2514" s="10" t="s">
        <v>4987</v>
      </c>
      <c r="C2514" s="10" t="s">
        <v>4988</v>
      </c>
      <c r="D2514" s="7">
        <v>350.47</v>
      </c>
      <c r="E2514" s="5">
        <v>137</v>
      </c>
      <c r="F2514" s="5">
        <v>69</v>
      </c>
      <c r="G2514" s="12">
        <f>SUM($D$7:D2514)</f>
        <v>10494426.280000031</v>
      </c>
      <c r="H2514" s="11">
        <f t="shared" si="39"/>
        <v>0.98385081481603232</v>
      </c>
    </row>
    <row r="2515" spans="1:8" ht="15" customHeight="1" x14ac:dyDescent="0.25">
      <c r="A2515" s="5">
        <v>2509</v>
      </c>
      <c r="B2515" s="10" t="s">
        <v>4989</v>
      </c>
      <c r="C2515" s="10" t="s">
        <v>4990</v>
      </c>
      <c r="D2515" s="7">
        <v>349.87</v>
      </c>
      <c r="E2515" s="5">
        <v>853</v>
      </c>
      <c r="F2515" s="5">
        <v>70</v>
      </c>
      <c r="G2515" s="12">
        <f>SUM($D$7:D2515)</f>
        <v>10494776.15000003</v>
      </c>
      <c r="H2515" s="11">
        <f t="shared" si="39"/>
        <v>0.98388361507355904</v>
      </c>
    </row>
    <row r="2516" spans="1:8" ht="15" customHeight="1" x14ac:dyDescent="0.25">
      <c r="A2516" s="5">
        <v>2510</v>
      </c>
      <c r="B2516" s="10" t="s">
        <v>4647</v>
      </c>
      <c r="C2516" s="10" t="s">
        <v>4991</v>
      </c>
      <c r="D2516" s="7">
        <v>349.54</v>
      </c>
      <c r="E2516" s="5">
        <v>1480</v>
      </c>
      <c r="F2516" s="5">
        <v>83</v>
      </c>
      <c r="G2516" s="12">
        <f>SUM($D$7:D2516)</f>
        <v>10495125.690000029</v>
      </c>
      <c r="H2516" s="11">
        <f t="shared" si="39"/>
        <v>0.98391638439363749</v>
      </c>
    </row>
    <row r="2517" spans="1:8" ht="15" customHeight="1" x14ac:dyDescent="0.25">
      <c r="A2517" s="5">
        <v>2511</v>
      </c>
      <c r="B2517" s="10" t="s">
        <v>4992</v>
      </c>
      <c r="C2517" s="10" t="s">
        <v>4993</v>
      </c>
      <c r="D2517" s="7">
        <v>348.59</v>
      </c>
      <c r="E2517" s="5">
        <v>81</v>
      </c>
      <c r="F2517" s="5">
        <v>33</v>
      </c>
      <c r="G2517" s="12">
        <f>SUM($D$7:D2517)</f>
        <v>10495474.280000029</v>
      </c>
      <c r="H2517" s="11">
        <f t="shared" si="39"/>
        <v>0.98394906465136545</v>
      </c>
    </row>
    <row r="2518" spans="1:8" ht="15" customHeight="1" x14ac:dyDescent="0.25">
      <c r="A2518" s="5">
        <v>2512</v>
      </c>
      <c r="B2518" s="10" t="s">
        <v>4994</v>
      </c>
      <c r="C2518" s="10" t="s">
        <v>4995</v>
      </c>
      <c r="D2518" s="7">
        <v>348.53</v>
      </c>
      <c r="E2518" s="5">
        <v>41</v>
      </c>
      <c r="F2518" s="5">
        <v>24</v>
      </c>
      <c r="G2518" s="12">
        <f>SUM($D$7:D2518)</f>
        <v>10495822.810000028</v>
      </c>
      <c r="H2518" s="11">
        <f t="shared" si="39"/>
        <v>0.98398173928410271</v>
      </c>
    </row>
    <row r="2519" spans="1:8" ht="15" customHeight="1" x14ac:dyDescent="0.25">
      <c r="A2519" s="5">
        <v>2513</v>
      </c>
      <c r="B2519" s="10" t="s">
        <v>4996</v>
      </c>
      <c r="C2519" s="10" t="s">
        <v>4997</v>
      </c>
      <c r="D2519" s="7">
        <v>348.43</v>
      </c>
      <c r="E2519" s="5">
        <v>299</v>
      </c>
      <c r="F2519" s="5">
        <v>14</v>
      </c>
      <c r="G2519" s="12">
        <f>SUM($D$7:D2519)</f>
        <v>10496171.240000028</v>
      </c>
      <c r="H2519" s="11">
        <f t="shared" si="39"/>
        <v>0.98401440454185563</v>
      </c>
    </row>
    <row r="2520" spans="1:8" ht="15" customHeight="1" x14ac:dyDescent="0.25">
      <c r="A2520" s="5">
        <v>2514</v>
      </c>
      <c r="B2520" s="10" t="s">
        <v>2742</v>
      </c>
      <c r="C2520" s="10" t="s">
        <v>4998</v>
      </c>
      <c r="D2520" s="7">
        <v>347.7</v>
      </c>
      <c r="E2520" s="5">
        <v>78</v>
      </c>
      <c r="F2520" s="5">
        <v>7</v>
      </c>
      <c r="G2520" s="12">
        <f>SUM($D$7:D2520)</f>
        <v>10496518.940000027</v>
      </c>
      <c r="H2520" s="11">
        <f t="shared" si="39"/>
        <v>0.98404700136222334</v>
      </c>
    </row>
    <row r="2521" spans="1:8" ht="15" customHeight="1" x14ac:dyDescent="0.25">
      <c r="A2521" s="5">
        <v>2515</v>
      </c>
      <c r="B2521" s="10" t="s">
        <v>4999</v>
      </c>
      <c r="C2521" s="10" t="s">
        <v>5000</v>
      </c>
      <c r="D2521" s="7">
        <v>345.17</v>
      </c>
      <c r="E2521" s="5">
        <v>73</v>
      </c>
      <c r="F2521" s="5">
        <v>54</v>
      </c>
      <c r="G2521" s="12">
        <f>SUM($D$7:D2521)</f>
        <v>10496864.110000027</v>
      </c>
      <c r="H2521" s="11">
        <f t="shared" si="39"/>
        <v>0.98407936099548854</v>
      </c>
    </row>
    <row r="2522" spans="1:8" ht="15" customHeight="1" x14ac:dyDescent="0.25">
      <c r="A2522" s="5">
        <v>2516</v>
      </c>
      <c r="B2522" s="10" t="s">
        <v>5001</v>
      </c>
      <c r="C2522" s="10" t="s">
        <v>5002</v>
      </c>
      <c r="D2522" s="7">
        <v>344.79</v>
      </c>
      <c r="E2522" s="5">
        <v>209</v>
      </c>
      <c r="F2522" s="5">
        <v>56</v>
      </c>
      <c r="G2522" s="12">
        <f>SUM($D$7:D2522)</f>
        <v>10497208.900000026</v>
      </c>
      <c r="H2522" s="11">
        <f t="shared" si="39"/>
        <v>0.98411168500381341</v>
      </c>
    </row>
    <row r="2523" spans="1:8" ht="15" customHeight="1" x14ac:dyDescent="0.25">
      <c r="A2523" s="5">
        <v>2517</v>
      </c>
      <c r="B2523" s="10" t="s">
        <v>5003</v>
      </c>
      <c r="C2523" s="10" t="s">
        <v>5004</v>
      </c>
      <c r="D2523" s="7">
        <v>344.34</v>
      </c>
      <c r="E2523" s="5">
        <v>180</v>
      </c>
      <c r="F2523" s="5">
        <v>53</v>
      </c>
      <c r="G2523" s="12">
        <f>SUM($D$7:D2523)</f>
        <v>10497553.240000026</v>
      </c>
      <c r="H2523" s="11">
        <f t="shared" si="39"/>
        <v>0.98414396682470906</v>
      </c>
    </row>
    <row r="2524" spans="1:8" ht="15" customHeight="1" x14ac:dyDescent="0.25">
      <c r="A2524" s="5">
        <v>2518</v>
      </c>
      <c r="B2524" s="10" t="s">
        <v>5005</v>
      </c>
      <c r="C2524" s="10" t="s">
        <v>5006</v>
      </c>
      <c r="D2524" s="7">
        <v>343.99</v>
      </c>
      <c r="E2524" s="5">
        <v>208</v>
      </c>
      <c r="F2524" s="5">
        <v>65</v>
      </c>
      <c r="G2524" s="12">
        <f>SUM($D$7:D2524)</f>
        <v>10497897.230000027</v>
      </c>
      <c r="H2524" s="11">
        <f t="shared" si="39"/>
        <v>0.98417621583315984</v>
      </c>
    </row>
    <row r="2525" spans="1:8" ht="15" customHeight="1" x14ac:dyDescent="0.25">
      <c r="A2525" s="5">
        <v>2519</v>
      </c>
      <c r="B2525" s="10" t="s">
        <v>5007</v>
      </c>
      <c r="C2525" s="10" t="s">
        <v>5008</v>
      </c>
      <c r="D2525" s="7">
        <v>343.71</v>
      </c>
      <c r="E2525" s="5">
        <v>288</v>
      </c>
      <c r="F2525" s="5">
        <v>59</v>
      </c>
      <c r="G2525" s="12">
        <f>SUM($D$7:D2525)</f>
        <v>10498240.940000027</v>
      </c>
      <c r="H2525" s="11">
        <f t="shared" si="39"/>
        <v>0.98420843859165452</v>
      </c>
    </row>
    <row r="2526" spans="1:8" ht="15" customHeight="1" x14ac:dyDescent="0.25">
      <c r="A2526" s="5">
        <v>2520</v>
      </c>
      <c r="B2526" s="10" t="s">
        <v>5009</v>
      </c>
      <c r="C2526" s="10" t="s">
        <v>5010</v>
      </c>
      <c r="D2526" s="7">
        <v>342.76</v>
      </c>
      <c r="E2526" s="5">
        <v>53</v>
      </c>
      <c r="F2526" s="5">
        <v>4</v>
      </c>
      <c r="G2526" s="12">
        <f>SUM($D$7:D2526)</f>
        <v>10498583.700000027</v>
      </c>
      <c r="H2526" s="11">
        <f t="shared" si="39"/>
        <v>0.98424057228779849</v>
      </c>
    </row>
    <row r="2527" spans="1:8" ht="15" customHeight="1" x14ac:dyDescent="0.25">
      <c r="A2527" s="5">
        <v>2521</v>
      </c>
      <c r="B2527" s="10" t="s">
        <v>5011</v>
      </c>
      <c r="C2527" s="10" t="s">
        <v>1844</v>
      </c>
      <c r="D2527" s="7">
        <v>342.65</v>
      </c>
      <c r="E2527" s="5">
        <v>103</v>
      </c>
      <c r="F2527" s="5">
        <v>28</v>
      </c>
      <c r="G2527" s="12">
        <f>SUM($D$7:D2527)</f>
        <v>10498926.350000028</v>
      </c>
      <c r="H2527" s="11">
        <f t="shared" si="39"/>
        <v>0.9842726956714597</v>
      </c>
    </row>
    <row r="2528" spans="1:8" ht="15" customHeight="1" x14ac:dyDescent="0.25">
      <c r="A2528" s="5">
        <v>2522</v>
      </c>
      <c r="B2528" s="10" t="s">
        <v>5012</v>
      </c>
      <c r="C2528" s="10" t="s">
        <v>5013</v>
      </c>
      <c r="D2528" s="7">
        <v>340.7</v>
      </c>
      <c r="E2528" s="5">
        <v>146</v>
      </c>
      <c r="F2528" s="5">
        <v>14</v>
      </c>
      <c r="G2528" s="12">
        <f>SUM($D$7:D2528)</f>
        <v>10499267.050000027</v>
      </c>
      <c r="H2528" s="11">
        <f t="shared" si="39"/>
        <v>0.98430463624292719</v>
      </c>
    </row>
    <row r="2529" spans="1:8" ht="15" customHeight="1" x14ac:dyDescent="0.25">
      <c r="A2529" s="5">
        <v>2523</v>
      </c>
      <c r="B2529" s="10" t="s">
        <v>3643</v>
      </c>
      <c r="C2529" s="10" t="s">
        <v>5014</v>
      </c>
      <c r="D2529" s="7">
        <v>340.35</v>
      </c>
      <c r="E2529" s="5">
        <v>90</v>
      </c>
      <c r="F2529" s="5">
        <v>25</v>
      </c>
      <c r="G2529" s="12">
        <f>SUM($D$7:D2529)</f>
        <v>10499607.400000026</v>
      </c>
      <c r="H2529" s="11">
        <f t="shared" si="39"/>
        <v>0.98433654400194981</v>
      </c>
    </row>
    <row r="2530" spans="1:8" ht="15" customHeight="1" x14ac:dyDescent="0.25">
      <c r="A2530" s="5">
        <v>2524</v>
      </c>
      <c r="B2530" s="10" t="s">
        <v>5015</v>
      </c>
      <c r="C2530" s="10" t="s">
        <v>5016</v>
      </c>
      <c r="D2530" s="7">
        <v>340.22</v>
      </c>
      <c r="E2530" s="5">
        <v>261</v>
      </c>
      <c r="F2530" s="5">
        <v>54</v>
      </c>
      <c r="G2530" s="12">
        <f>SUM($D$7:D2530)</f>
        <v>10499947.620000027</v>
      </c>
      <c r="H2530" s="11">
        <f t="shared" si="39"/>
        <v>0.98436843957349285</v>
      </c>
    </row>
    <row r="2531" spans="1:8" ht="15" customHeight="1" x14ac:dyDescent="0.25">
      <c r="A2531" s="5">
        <v>2525</v>
      </c>
      <c r="B2531" s="10" t="s">
        <v>5017</v>
      </c>
      <c r="C2531" s="10" t="s">
        <v>5018</v>
      </c>
      <c r="D2531" s="7">
        <v>338.73</v>
      </c>
      <c r="E2531" s="5">
        <v>239</v>
      </c>
      <c r="F2531" s="5">
        <v>49</v>
      </c>
      <c r="G2531" s="12">
        <f>SUM($D$7:D2531)</f>
        <v>10500286.350000028</v>
      </c>
      <c r="H2531" s="11">
        <f t="shared" si="39"/>
        <v>0.98440019545777002</v>
      </c>
    </row>
    <row r="2532" spans="1:8" ht="15" customHeight="1" x14ac:dyDescent="0.25">
      <c r="A2532" s="5">
        <v>2526</v>
      </c>
      <c r="B2532" s="10" t="s">
        <v>5019</v>
      </c>
      <c r="C2532" s="10" t="s">
        <v>5020</v>
      </c>
      <c r="D2532" s="7">
        <v>338.23</v>
      </c>
      <c r="E2532" s="5">
        <v>809</v>
      </c>
      <c r="F2532" s="5">
        <v>101</v>
      </c>
      <c r="G2532" s="12">
        <f>SUM($D$7:D2532)</f>
        <v>10500624.580000028</v>
      </c>
      <c r="H2532" s="11">
        <f t="shared" si="39"/>
        <v>0.98443190446712581</v>
      </c>
    </row>
    <row r="2533" spans="1:8" ht="15" customHeight="1" x14ac:dyDescent="0.25">
      <c r="A2533" s="5">
        <v>2527</v>
      </c>
      <c r="B2533" s="10" t="s">
        <v>5021</v>
      </c>
      <c r="C2533" s="10" t="s">
        <v>5022</v>
      </c>
      <c r="D2533" s="7">
        <v>337.14</v>
      </c>
      <c r="E2533" s="5">
        <v>1432</v>
      </c>
      <c r="F2533" s="5">
        <v>67</v>
      </c>
      <c r="G2533" s="12">
        <f>SUM($D$7:D2533)</f>
        <v>10500961.720000029</v>
      </c>
      <c r="H2533" s="11">
        <f t="shared" si="39"/>
        <v>0.98446351128915277</v>
      </c>
    </row>
    <row r="2534" spans="1:8" ht="15" customHeight="1" x14ac:dyDescent="0.25">
      <c r="A2534" s="5">
        <v>2528</v>
      </c>
      <c r="B2534" s="10" t="s">
        <v>5023</v>
      </c>
      <c r="C2534" s="10" t="s">
        <v>5024</v>
      </c>
      <c r="D2534" s="7">
        <v>336.74</v>
      </c>
      <c r="E2534" s="5">
        <v>325</v>
      </c>
      <c r="F2534" s="5">
        <v>61</v>
      </c>
      <c r="G2534" s="12">
        <f>SUM($D$7:D2534)</f>
        <v>10501298.460000029</v>
      </c>
      <c r="H2534" s="11">
        <f t="shared" si="39"/>
        <v>0.98449508061124269</v>
      </c>
    </row>
    <row r="2535" spans="1:8" ht="15" customHeight="1" x14ac:dyDescent="0.25">
      <c r="A2535" s="5">
        <v>2529</v>
      </c>
      <c r="B2535" s="10" t="s">
        <v>1516</v>
      </c>
      <c r="C2535" s="10" t="s">
        <v>5025</v>
      </c>
      <c r="D2535" s="7">
        <v>336.6</v>
      </c>
      <c r="E2535" s="5">
        <v>68</v>
      </c>
      <c r="F2535" s="5">
        <v>12</v>
      </c>
      <c r="G2535" s="12">
        <f>SUM($D$7:D2535)</f>
        <v>10501635.060000028</v>
      </c>
      <c r="H2535" s="11">
        <f t="shared" si="39"/>
        <v>0.98452663680835439</v>
      </c>
    </row>
    <row r="2536" spans="1:8" ht="15" customHeight="1" x14ac:dyDescent="0.25">
      <c r="A2536" s="5">
        <v>2530</v>
      </c>
      <c r="B2536" s="10" t="s">
        <v>5026</v>
      </c>
      <c r="C2536" s="10" t="s">
        <v>5027</v>
      </c>
      <c r="D2536" s="7">
        <v>334.76</v>
      </c>
      <c r="E2536" s="5">
        <v>992</v>
      </c>
      <c r="F2536" s="5">
        <v>39</v>
      </c>
      <c r="G2536" s="12">
        <f>SUM($D$7:D2536)</f>
        <v>10501969.820000028</v>
      </c>
      <c r="H2536" s="11">
        <f t="shared" si="39"/>
        <v>0.98455802050575536</v>
      </c>
    </row>
    <row r="2537" spans="1:8" ht="15" customHeight="1" x14ac:dyDescent="0.25">
      <c r="A2537" s="5">
        <v>2531</v>
      </c>
      <c r="B2537" s="10" t="s">
        <v>5028</v>
      </c>
      <c r="C2537" s="10" t="s">
        <v>5029</v>
      </c>
      <c r="D2537" s="7">
        <v>334.03</v>
      </c>
      <c r="E2537" s="5">
        <v>841</v>
      </c>
      <c r="F2537" s="5">
        <v>33</v>
      </c>
      <c r="G2537" s="12">
        <f>SUM($D$7:D2537)</f>
        <v>10502303.850000028</v>
      </c>
      <c r="H2537" s="11">
        <f t="shared" si="39"/>
        <v>0.9845893357657709</v>
      </c>
    </row>
    <row r="2538" spans="1:8" ht="15" customHeight="1" x14ac:dyDescent="0.25">
      <c r="A2538" s="5">
        <v>2532</v>
      </c>
      <c r="B2538" s="10" t="s">
        <v>5030</v>
      </c>
      <c r="C2538" s="10" t="s">
        <v>5031</v>
      </c>
      <c r="D2538" s="7">
        <v>333.2</v>
      </c>
      <c r="E2538" s="5">
        <v>1288</v>
      </c>
      <c r="F2538" s="5">
        <v>39</v>
      </c>
      <c r="G2538" s="12">
        <f>SUM($D$7:D2538)</f>
        <v>10502637.050000027</v>
      </c>
      <c r="H2538" s="11">
        <f t="shared" si="39"/>
        <v>0.98462057321341689</v>
      </c>
    </row>
    <row r="2539" spans="1:8" ht="15" customHeight="1" x14ac:dyDescent="0.25">
      <c r="A2539" s="5">
        <v>2533</v>
      </c>
      <c r="B2539" s="10" t="s">
        <v>5032</v>
      </c>
      <c r="C2539" s="10" t="s">
        <v>5033</v>
      </c>
      <c r="D2539" s="7">
        <v>332.84</v>
      </c>
      <c r="E2539" s="5">
        <v>481</v>
      </c>
      <c r="F2539" s="5">
        <v>44</v>
      </c>
      <c r="G2539" s="12">
        <f>SUM($D$7:D2539)</f>
        <v>10502969.890000027</v>
      </c>
      <c r="H2539" s="11">
        <f t="shared" si="39"/>
        <v>0.98465177691111938</v>
      </c>
    </row>
    <row r="2540" spans="1:8" ht="15" customHeight="1" x14ac:dyDescent="0.25">
      <c r="A2540" s="5">
        <v>2534</v>
      </c>
      <c r="B2540" s="10" t="s">
        <v>5034</v>
      </c>
      <c r="C2540" s="10" t="s">
        <v>5035</v>
      </c>
      <c r="D2540" s="7">
        <v>332.14</v>
      </c>
      <c r="E2540" s="5">
        <v>186</v>
      </c>
      <c r="F2540" s="5">
        <v>29</v>
      </c>
      <c r="G2540" s="12">
        <f>SUM($D$7:D2540)</f>
        <v>10503302.030000027</v>
      </c>
      <c r="H2540" s="11">
        <f t="shared" si="39"/>
        <v>0.98468291498393212</v>
      </c>
    </row>
    <row r="2541" spans="1:8" ht="15" customHeight="1" x14ac:dyDescent="0.25">
      <c r="A2541" s="5">
        <v>2535</v>
      </c>
      <c r="B2541" s="10" t="s">
        <v>5036</v>
      </c>
      <c r="C2541" s="10" t="s">
        <v>5037</v>
      </c>
      <c r="D2541" s="7">
        <v>331.5</v>
      </c>
      <c r="E2541" s="5">
        <v>50</v>
      </c>
      <c r="F2541" s="5">
        <v>37</v>
      </c>
      <c r="G2541" s="12">
        <f>SUM($D$7:D2541)</f>
        <v>10503633.530000027</v>
      </c>
      <c r="H2541" s="11">
        <f t="shared" si="39"/>
        <v>0.98471399305684526</v>
      </c>
    </row>
    <row r="2542" spans="1:8" ht="15" customHeight="1" x14ac:dyDescent="0.25">
      <c r="A2542" s="5">
        <v>2536</v>
      </c>
      <c r="B2542" s="10" t="s">
        <v>5038</v>
      </c>
      <c r="C2542" s="10" t="s">
        <v>5039</v>
      </c>
      <c r="D2542" s="7">
        <v>330.72</v>
      </c>
      <c r="E2542" s="5">
        <v>205</v>
      </c>
      <c r="F2542" s="5">
        <v>66</v>
      </c>
      <c r="G2542" s="12">
        <f>SUM($D$7:D2542)</f>
        <v>10503964.250000028</v>
      </c>
      <c r="H2542" s="11">
        <f t="shared" si="39"/>
        <v>0.98474499800488102</v>
      </c>
    </row>
    <row r="2543" spans="1:8" ht="15" customHeight="1" x14ac:dyDescent="0.25">
      <c r="A2543" s="5">
        <v>2537</v>
      </c>
      <c r="B2543" s="10" t="s">
        <v>5040</v>
      </c>
      <c r="C2543" s="10" t="s">
        <v>5041</v>
      </c>
      <c r="D2543" s="7">
        <v>328.44</v>
      </c>
      <c r="E2543" s="5">
        <v>78</v>
      </c>
      <c r="F2543" s="5">
        <v>50</v>
      </c>
      <c r="G2543" s="12">
        <f>SUM($D$7:D2543)</f>
        <v>10504292.690000027</v>
      </c>
      <c r="H2543" s="11">
        <f t="shared" si="39"/>
        <v>0.98477578920327491</v>
      </c>
    </row>
    <row r="2544" spans="1:8" ht="15" customHeight="1" x14ac:dyDescent="0.25">
      <c r="A2544" s="5">
        <v>2538</v>
      </c>
      <c r="B2544" s="10" t="s">
        <v>4270</v>
      </c>
      <c r="C2544" s="10" t="s">
        <v>1157</v>
      </c>
      <c r="D2544" s="7">
        <v>328.24</v>
      </c>
      <c r="E2544" s="5">
        <v>44</v>
      </c>
      <c r="F2544" s="5">
        <v>12</v>
      </c>
      <c r="G2544" s="12">
        <f>SUM($D$7:D2544)</f>
        <v>10504620.930000028</v>
      </c>
      <c r="H2544" s="11">
        <f t="shared" si="39"/>
        <v>0.98480656165170033</v>
      </c>
    </row>
    <row r="2545" spans="1:8" ht="15" customHeight="1" x14ac:dyDescent="0.25">
      <c r="A2545" s="5">
        <v>2539</v>
      </c>
      <c r="B2545" s="10" t="s">
        <v>1385</v>
      </c>
      <c r="C2545" s="10" t="s">
        <v>5042</v>
      </c>
      <c r="D2545" s="7">
        <v>327.60000000000002</v>
      </c>
      <c r="E2545" s="5">
        <v>120</v>
      </c>
      <c r="F2545" s="5">
        <v>13</v>
      </c>
      <c r="G2545" s="12">
        <f>SUM($D$7:D2545)</f>
        <v>10504948.530000027</v>
      </c>
      <c r="H2545" s="11">
        <f t="shared" si="39"/>
        <v>0.98483727410022615</v>
      </c>
    </row>
    <row r="2546" spans="1:8" ht="15" customHeight="1" x14ac:dyDescent="0.25">
      <c r="A2546" s="5">
        <v>2540</v>
      </c>
      <c r="B2546" s="10" t="s">
        <v>5043</v>
      </c>
      <c r="C2546" s="10" t="s">
        <v>5044</v>
      </c>
      <c r="D2546" s="7">
        <v>326.56</v>
      </c>
      <c r="E2546" s="5">
        <v>3380</v>
      </c>
      <c r="F2546" s="5">
        <v>31</v>
      </c>
      <c r="G2546" s="12">
        <f>SUM($D$7:D2546)</f>
        <v>10505275.090000028</v>
      </c>
      <c r="H2546" s="11">
        <f t="shared" si="39"/>
        <v>0.98486788904891565</v>
      </c>
    </row>
    <row r="2547" spans="1:8" ht="15" customHeight="1" x14ac:dyDescent="0.25">
      <c r="A2547" s="5">
        <v>2541</v>
      </c>
      <c r="B2547" s="10" t="s">
        <v>5045</v>
      </c>
      <c r="C2547" s="10" t="s">
        <v>5046</v>
      </c>
      <c r="D2547" s="7">
        <v>326.35000000000002</v>
      </c>
      <c r="E2547" s="5">
        <v>62</v>
      </c>
      <c r="F2547" s="5">
        <v>19</v>
      </c>
      <c r="G2547" s="12">
        <f>SUM($D$7:D2547)</f>
        <v>10505601.440000027</v>
      </c>
      <c r="H2547" s="11">
        <f t="shared" si="39"/>
        <v>0.98489848431013793</v>
      </c>
    </row>
    <row r="2548" spans="1:8" ht="15" customHeight="1" x14ac:dyDescent="0.25">
      <c r="A2548" s="5">
        <v>2542</v>
      </c>
      <c r="B2548" s="10" t="s">
        <v>5047</v>
      </c>
      <c r="C2548" s="10" t="s">
        <v>5048</v>
      </c>
      <c r="D2548" s="7">
        <v>325.95999999999998</v>
      </c>
      <c r="E2548" s="5">
        <v>2055</v>
      </c>
      <c r="F2548" s="5">
        <v>104</v>
      </c>
      <c r="G2548" s="12">
        <f>SUM($D$7:D2548)</f>
        <v>10505927.400000028</v>
      </c>
      <c r="H2548" s="11">
        <f t="shared" si="39"/>
        <v>0.98492904300892159</v>
      </c>
    </row>
    <row r="2549" spans="1:8" ht="15" customHeight="1" x14ac:dyDescent="0.25">
      <c r="A2549" s="5">
        <v>2543</v>
      </c>
      <c r="B2549" s="10" t="s">
        <v>5049</v>
      </c>
      <c r="C2549" s="10" t="s">
        <v>5050</v>
      </c>
      <c r="D2549" s="7">
        <v>325.16000000000003</v>
      </c>
      <c r="E2549" s="5">
        <v>196</v>
      </c>
      <c r="F2549" s="5">
        <v>20</v>
      </c>
      <c r="G2549" s="12">
        <f>SUM($D$7:D2549)</f>
        <v>10506252.560000028</v>
      </c>
      <c r="H2549" s="11">
        <f t="shared" si="39"/>
        <v>0.98495952670783093</v>
      </c>
    </row>
    <row r="2550" spans="1:8" ht="15" customHeight="1" x14ac:dyDescent="0.25">
      <c r="A2550" s="5">
        <v>2544</v>
      </c>
      <c r="B2550" s="10" t="s">
        <v>5051</v>
      </c>
      <c r="C2550" s="10" t="s">
        <v>5052</v>
      </c>
      <c r="D2550" s="7">
        <v>324.39999999999998</v>
      </c>
      <c r="E2550" s="5">
        <v>285</v>
      </c>
      <c r="F2550" s="5">
        <v>13</v>
      </c>
      <c r="G2550" s="12">
        <f>SUM($D$7:D2550)</f>
        <v>10506576.960000029</v>
      </c>
      <c r="H2550" s="11">
        <f t="shared" si="39"/>
        <v>0.98498993915685973</v>
      </c>
    </row>
    <row r="2551" spans="1:8" ht="15" customHeight="1" x14ac:dyDescent="0.25">
      <c r="A2551" s="5">
        <v>2545</v>
      </c>
      <c r="B2551" s="10" t="s">
        <v>5053</v>
      </c>
      <c r="C2551" s="10" t="s">
        <v>5054</v>
      </c>
      <c r="D2551" s="7">
        <v>324.01</v>
      </c>
      <c r="E2551" s="5">
        <v>32</v>
      </c>
      <c r="F2551" s="5">
        <v>23</v>
      </c>
      <c r="G2551" s="12">
        <f>SUM($D$7:D2551)</f>
        <v>10506900.970000029</v>
      </c>
      <c r="H2551" s="11">
        <f t="shared" si="39"/>
        <v>0.98502031504344967</v>
      </c>
    </row>
    <row r="2552" spans="1:8" ht="15" customHeight="1" x14ac:dyDescent="0.25">
      <c r="A2552" s="5">
        <v>2546</v>
      </c>
      <c r="B2552" s="10" t="s">
        <v>4599</v>
      </c>
      <c r="C2552" s="10" t="s">
        <v>5055</v>
      </c>
      <c r="D2552" s="7">
        <v>323.64</v>
      </c>
      <c r="E2552" s="5">
        <v>270</v>
      </c>
      <c r="F2552" s="5">
        <v>4</v>
      </c>
      <c r="G2552" s="12">
        <f>SUM($D$7:D2552)</f>
        <v>10507224.610000029</v>
      </c>
      <c r="H2552" s="11">
        <f t="shared" si="39"/>
        <v>0.98505065624259791</v>
      </c>
    </row>
    <row r="2553" spans="1:8" ht="15" customHeight="1" x14ac:dyDescent="0.25">
      <c r="A2553" s="5">
        <v>2547</v>
      </c>
      <c r="B2553" s="10" t="s">
        <v>5056</v>
      </c>
      <c r="C2553" s="10" t="s">
        <v>5057</v>
      </c>
      <c r="D2553" s="7">
        <v>323.32</v>
      </c>
      <c r="E2553" s="5">
        <v>765</v>
      </c>
      <c r="F2553" s="5">
        <v>57</v>
      </c>
      <c r="G2553" s="12">
        <f>SUM($D$7:D2553)</f>
        <v>10507547.93000003</v>
      </c>
      <c r="H2553" s="11">
        <f t="shared" si="39"/>
        <v>0.98508096744179641</v>
      </c>
    </row>
    <row r="2554" spans="1:8" ht="15" customHeight="1" x14ac:dyDescent="0.25">
      <c r="A2554" s="5">
        <v>2548</v>
      </c>
      <c r="B2554" s="10" t="s">
        <v>5058</v>
      </c>
      <c r="C2554" s="10" t="s">
        <v>5059</v>
      </c>
      <c r="D2554" s="7">
        <v>323.14999999999998</v>
      </c>
      <c r="E2554" s="5">
        <v>122</v>
      </c>
      <c r="F2554" s="5">
        <v>29</v>
      </c>
      <c r="G2554" s="12">
        <f>SUM($D$7:D2554)</f>
        <v>10507871.08000003</v>
      </c>
      <c r="H2554" s="11">
        <f t="shared" si="39"/>
        <v>0.98511126270352156</v>
      </c>
    </row>
    <row r="2555" spans="1:8" ht="15" customHeight="1" x14ac:dyDescent="0.25">
      <c r="A2555" s="5">
        <v>2549</v>
      </c>
      <c r="B2555" s="10" t="s">
        <v>5060</v>
      </c>
      <c r="C2555" s="10" t="s">
        <v>5061</v>
      </c>
      <c r="D2555" s="7">
        <v>322.54000000000002</v>
      </c>
      <c r="E2555" s="5">
        <v>135</v>
      </c>
      <c r="F2555" s="5">
        <v>51</v>
      </c>
      <c r="G2555" s="12">
        <f>SUM($D$7:D2555)</f>
        <v>10508193.620000029</v>
      </c>
      <c r="H2555" s="11">
        <f t="shared" si="39"/>
        <v>0.98514150077784246</v>
      </c>
    </row>
    <row r="2556" spans="1:8" ht="15" customHeight="1" x14ac:dyDescent="0.25">
      <c r="A2556" s="5">
        <v>2550</v>
      </c>
      <c r="B2556" s="10" t="s">
        <v>5062</v>
      </c>
      <c r="C2556" s="10" t="s">
        <v>4513</v>
      </c>
      <c r="D2556" s="7">
        <v>322.22000000000003</v>
      </c>
      <c r="E2556" s="5">
        <v>43</v>
      </c>
      <c r="F2556" s="5">
        <v>27</v>
      </c>
      <c r="G2556" s="12">
        <f>SUM($D$7:D2556)</f>
        <v>10508515.84000003</v>
      </c>
      <c r="H2556" s="11">
        <f t="shared" si="39"/>
        <v>0.98517170885221372</v>
      </c>
    </row>
    <row r="2557" spans="1:8" ht="15" customHeight="1" x14ac:dyDescent="0.25">
      <c r="A2557" s="5">
        <v>2551</v>
      </c>
      <c r="B2557" s="10" t="s">
        <v>5063</v>
      </c>
      <c r="C2557" s="10" t="s">
        <v>5064</v>
      </c>
      <c r="D2557" s="7">
        <v>322.18</v>
      </c>
      <c r="E2557" s="5">
        <v>672</v>
      </c>
      <c r="F2557" s="5">
        <v>91</v>
      </c>
      <c r="G2557" s="12">
        <f>SUM($D$7:D2557)</f>
        <v>10508838.020000029</v>
      </c>
      <c r="H2557" s="11">
        <f t="shared" si="39"/>
        <v>0.98520191317659134</v>
      </c>
    </row>
    <row r="2558" spans="1:8" ht="15" customHeight="1" x14ac:dyDescent="0.25">
      <c r="A2558" s="5">
        <v>2552</v>
      </c>
      <c r="B2558" s="10" t="s">
        <v>5065</v>
      </c>
      <c r="C2558" s="10" t="s">
        <v>5066</v>
      </c>
      <c r="D2558" s="7">
        <v>322.18</v>
      </c>
      <c r="E2558" s="5">
        <v>1857</v>
      </c>
      <c r="F2558" s="5">
        <v>106</v>
      </c>
      <c r="G2558" s="12">
        <f>SUM($D$7:D2558)</f>
        <v>10509160.200000029</v>
      </c>
      <c r="H2558" s="11">
        <f t="shared" si="39"/>
        <v>0.98523211750096884</v>
      </c>
    </row>
    <row r="2559" spans="1:8" ht="15" customHeight="1" x14ac:dyDescent="0.25">
      <c r="A2559" s="5">
        <v>2553</v>
      </c>
      <c r="B2559" s="10" t="s">
        <v>5067</v>
      </c>
      <c r="C2559" s="10" t="s">
        <v>5068</v>
      </c>
      <c r="D2559" s="7">
        <v>322.08999999999997</v>
      </c>
      <c r="E2559" s="5">
        <v>1398</v>
      </c>
      <c r="F2559" s="5">
        <v>134</v>
      </c>
      <c r="G2559" s="12">
        <f>SUM($D$7:D2559)</f>
        <v>10509482.290000029</v>
      </c>
      <c r="H2559" s="11">
        <f t="shared" si="39"/>
        <v>0.98526231338786052</v>
      </c>
    </row>
    <row r="2560" spans="1:8" ht="15" customHeight="1" x14ac:dyDescent="0.25">
      <c r="A2560" s="5">
        <v>2554</v>
      </c>
      <c r="B2560" s="10" t="s">
        <v>993</v>
      </c>
      <c r="C2560" s="10" t="s">
        <v>5069</v>
      </c>
      <c r="D2560" s="7">
        <v>320.5</v>
      </c>
      <c r="E2560" s="5">
        <v>400</v>
      </c>
      <c r="F2560" s="5">
        <v>22</v>
      </c>
      <c r="G2560" s="12">
        <f>SUM($D$7:D2560)</f>
        <v>10509802.790000029</v>
      </c>
      <c r="H2560" s="11">
        <f t="shared" si="39"/>
        <v>0.98529236021250199</v>
      </c>
    </row>
    <row r="2561" spans="1:8" ht="15" customHeight="1" x14ac:dyDescent="0.25">
      <c r="A2561" s="5">
        <v>2555</v>
      </c>
      <c r="B2561" s="10" t="s">
        <v>5070</v>
      </c>
      <c r="C2561" s="10" t="s">
        <v>5071</v>
      </c>
      <c r="D2561" s="7">
        <v>320.49</v>
      </c>
      <c r="E2561" s="5">
        <v>87</v>
      </c>
      <c r="F2561" s="5">
        <v>30</v>
      </c>
      <c r="G2561" s="12">
        <f>SUM($D$7:D2561)</f>
        <v>10510123.280000029</v>
      </c>
      <c r="H2561" s="11">
        <f t="shared" si="39"/>
        <v>0.98532240609964516</v>
      </c>
    </row>
    <row r="2562" spans="1:8" ht="15" customHeight="1" x14ac:dyDescent="0.25">
      <c r="A2562" s="5">
        <v>2556</v>
      </c>
      <c r="B2562" s="10" t="s">
        <v>5072</v>
      </c>
      <c r="C2562" s="10" t="s">
        <v>5073</v>
      </c>
      <c r="D2562" s="7">
        <v>320.08999999999997</v>
      </c>
      <c r="E2562" s="5">
        <v>1438</v>
      </c>
      <c r="F2562" s="5">
        <v>136</v>
      </c>
      <c r="G2562" s="12">
        <f>SUM($D$7:D2562)</f>
        <v>10510443.370000029</v>
      </c>
      <c r="H2562" s="11">
        <f t="shared" si="39"/>
        <v>0.98535241448685107</v>
      </c>
    </row>
    <row r="2563" spans="1:8" ht="15" customHeight="1" x14ac:dyDescent="0.25">
      <c r="A2563" s="5">
        <v>2557</v>
      </c>
      <c r="B2563" s="10" t="s">
        <v>5074</v>
      </c>
      <c r="C2563" s="10" t="s">
        <v>5075</v>
      </c>
      <c r="D2563" s="7">
        <v>319.70999999999998</v>
      </c>
      <c r="E2563" s="5">
        <v>287</v>
      </c>
      <c r="F2563" s="5">
        <v>38</v>
      </c>
      <c r="G2563" s="12">
        <f>SUM($D$7:D2563)</f>
        <v>10510763.08000003</v>
      </c>
      <c r="H2563" s="11">
        <f t="shared" si="39"/>
        <v>0.98538238724911675</v>
      </c>
    </row>
    <row r="2564" spans="1:8" ht="15" customHeight="1" x14ac:dyDescent="0.25">
      <c r="A2564" s="5">
        <v>2558</v>
      </c>
      <c r="B2564" s="10" t="s">
        <v>5076</v>
      </c>
      <c r="C2564" s="10" t="s">
        <v>5077</v>
      </c>
      <c r="D2564" s="7">
        <v>319.66000000000003</v>
      </c>
      <c r="E2564" s="5">
        <v>100</v>
      </c>
      <c r="F2564" s="5">
        <v>34</v>
      </c>
      <c r="G2564" s="12">
        <f>SUM($D$7:D2564)</f>
        <v>10511082.74000003</v>
      </c>
      <c r="H2564" s="11">
        <f t="shared" si="39"/>
        <v>0.98541235532389038</v>
      </c>
    </row>
    <row r="2565" spans="1:8" ht="15" customHeight="1" x14ac:dyDescent="0.25">
      <c r="A2565" s="5">
        <v>2559</v>
      </c>
      <c r="B2565" s="10" t="s">
        <v>5078</v>
      </c>
      <c r="C2565" s="10" t="s">
        <v>5079</v>
      </c>
      <c r="D2565" s="7">
        <v>319.5</v>
      </c>
      <c r="E2565" s="5">
        <v>258</v>
      </c>
      <c r="F2565" s="5">
        <v>68</v>
      </c>
      <c r="G2565" s="12">
        <f>SUM($D$7:D2565)</f>
        <v>10511402.24000003</v>
      </c>
      <c r="H2565" s="11">
        <f t="shared" si="39"/>
        <v>0.98544230839868896</v>
      </c>
    </row>
    <row r="2566" spans="1:8" ht="15" customHeight="1" x14ac:dyDescent="0.25">
      <c r="A2566" s="5">
        <v>2560</v>
      </c>
      <c r="B2566" s="10" t="s">
        <v>5080</v>
      </c>
      <c r="C2566" s="10" t="s">
        <v>5081</v>
      </c>
      <c r="D2566" s="7">
        <v>319.35000000000002</v>
      </c>
      <c r="E2566" s="5">
        <v>64</v>
      </c>
      <c r="F2566" s="5">
        <v>37</v>
      </c>
      <c r="G2566" s="12">
        <f>SUM($D$7:D2566)</f>
        <v>10511721.59000003</v>
      </c>
      <c r="H2566" s="11">
        <f t="shared" si="39"/>
        <v>0.98547224741101114</v>
      </c>
    </row>
    <row r="2567" spans="1:8" ht="15" customHeight="1" x14ac:dyDescent="0.25">
      <c r="A2567" s="5">
        <v>2561</v>
      </c>
      <c r="B2567" s="10" t="s">
        <v>4813</v>
      </c>
      <c r="C2567" s="10" t="s">
        <v>5082</v>
      </c>
      <c r="D2567" s="7">
        <v>319.14</v>
      </c>
      <c r="E2567" s="5">
        <v>560</v>
      </c>
      <c r="F2567" s="5">
        <v>45</v>
      </c>
      <c r="G2567" s="12">
        <f>SUM($D$7:D2567)</f>
        <v>10512040.73000003</v>
      </c>
      <c r="H2567" s="11">
        <f t="shared" ref="H2567:H2630" si="40">G2567/SUM($D$7:$D$4167)</f>
        <v>0.98550216673586644</v>
      </c>
    </row>
    <row r="2568" spans="1:8" ht="15" customHeight="1" x14ac:dyDescent="0.25">
      <c r="A2568" s="5">
        <v>2562</v>
      </c>
      <c r="B2568" s="10" t="s">
        <v>5083</v>
      </c>
      <c r="C2568" s="10" t="s">
        <v>5084</v>
      </c>
      <c r="D2568" s="7">
        <v>318.89</v>
      </c>
      <c r="E2568" s="5">
        <v>64</v>
      </c>
      <c r="F2568" s="5">
        <v>34</v>
      </c>
      <c r="G2568" s="12">
        <f>SUM($D$7:D2568)</f>
        <v>10512359.620000031</v>
      </c>
      <c r="H2568" s="11">
        <f t="shared" si="40"/>
        <v>0.98553206262326098</v>
      </c>
    </row>
    <row r="2569" spans="1:8" ht="15" customHeight="1" x14ac:dyDescent="0.25">
      <c r="A2569" s="5">
        <v>2563</v>
      </c>
      <c r="B2569" s="10" t="s">
        <v>5085</v>
      </c>
      <c r="C2569" s="10" t="s">
        <v>5086</v>
      </c>
      <c r="D2569" s="7">
        <v>318.67</v>
      </c>
      <c r="E2569" s="5">
        <v>693</v>
      </c>
      <c r="F2569" s="5">
        <v>83</v>
      </c>
      <c r="G2569" s="12">
        <f>SUM($D$7:D2569)</f>
        <v>10512678.290000031</v>
      </c>
      <c r="H2569" s="11">
        <f t="shared" si="40"/>
        <v>0.98556193788569002</v>
      </c>
    </row>
    <row r="2570" spans="1:8" ht="15" customHeight="1" x14ac:dyDescent="0.25">
      <c r="A2570" s="5">
        <v>2564</v>
      </c>
      <c r="B2570" s="10" t="s">
        <v>5087</v>
      </c>
      <c r="C2570" s="10" t="s">
        <v>5088</v>
      </c>
      <c r="D2570" s="7">
        <v>318.31</v>
      </c>
      <c r="E2570" s="5">
        <v>220</v>
      </c>
      <c r="F2570" s="5">
        <v>33</v>
      </c>
      <c r="G2570" s="12">
        <f>SUM($D$7:D2570)</f>
        <v>10512996.600000031</v>
      </c>
      <c r="H2570" s="11">
        <f t="shared" si="40"/>
        <v>0.98559177939817566</v>
      </c>
    </row>
    <row r="2571" spans="1:8" ht="15" customHeight="1" x14ac:dyDescent="0.25">
      <c r="A2571" s="5">
        <v>2565</v>
      </c>
      <c r="B2571" s="10" t="s">
        <v>5089</v>
      </c>
      <c r="C2571" s="10" t="s">
        <v>5090</v>
      </c>
      <c r="D2571" s="7">
        <v>318.19</v>
      </c>
      <c r="E2571" s="5">
        <v>48</v>
      </c>
      <c r="F2571" s="5">
        <v>28</v>
      </c>
      <c r="G2571" s="12">
        <f>SUM($D$7:D2571)</f>
        <v>10513314.790000031</v>
      </c>
      <c r="H2571" s="11">
        <f t="shared" si="40"/>
        <v>0.98562160966068013</v>
      </c>
    </row>
    <row r="2572" spans="1:8" ht="15" customHeight="1" x14ac:dyDescent="0.25">
      <c r="A2572" s="5">
        <v>2566</v>
      </c>
      <c r="B2572" s="10" t="s">
        <v>5091</v>
      </c>
      <c r="C2572" s="10" t="s">
        <v>3009</v>
      </c>
      <c r="D2572" s="7">
        <v>317.72000000000003</v>
      </c>
      <c r="E2572" s="5">
        <v>38</v>
      </c>
      <c r="F2572" s="5">
        <v>26</v>
      </c>
      <c r="G2572" s="12">
        <f>SUM($D$7:D2572)</f>
        <v>10513632.510000031</v>
      </c>
      <c r="H2572" s="11">
        <f t="shared" si="40"/>
        <v>0.98565139586075856</v>
      </c>
    </row>
    <row r="2573" spans="1:8" ht="15" customHeight="1" x14ac:dyDescent="0.25">
      <c r="A2573" s="5">
        <v>2567</v>
      </c>
      <c r="B2573" s="10" t="s">
        <v>5092</v>
      </c>
      <c r="C2573" s="10" t="s">
        <v>5093</v>
      </c>
      <c r="D2573" s="7">
        <v>317.17</v>
      </c>
      <c r="E2573" s="5">
        <v>232</v>
      </c>
      <c r="F2573" s="5">
        <v>46</v>
      </c>
      <c r="G2573" s="12">
        <f>SUM($D$7:D2573)</f>
        <v>10513949.680000031</v>
      </c>
      <c r="H2573" s="11">
        <f t="shared" si="40"/>
        <v>0.98568113049842321</v>
      </c>
    </row>
    <row r="2574" spans="1:8" ht="15" customHeight="1" x14ac:dyDescent="0.25">
      <c r="A2574" s="5">
        <v>2568</v>
      </c>
      <c r="B2574" s="10" t="s">
        <v>5094</v>
      </c>
      <c r="C2574" s="10" t="s">
        <v>5095</v>
      </c>
      <c r="D2574" s="7">
        <v>316.95</v>
      </c>
      <c r="E2574" s="5">
        <v>27</v>
      </c>
      <c r="F2574" s="5">
        <v>5</v>
      </c>
      <c r="G2574" s="12">
        <f>SUM($D$7:D2574)</f>
        <v>10514266.630000031</v>
      </c>
      <c r="H2574" s="11">
        <f t="shared" si="40"/>
        <v>0.98571084451112245</v>
      </c>
    </row>
    <row r="2575" spans="1:8" ht="15" customHeight="1" x14ac:dyDescent="0.25">
      <c r="A2575" s="5">
        <v>2569</v>
      </c>
      <c r="B2575" s="10" t="s">
        <v>5096</v>
      </c>
      <c r="C2575" s="10" t="s">
        <v>5097</v>
      </c>
      <c r="D2575" s="7">
        <v>316.75</v>
      </c>
      <c r="E2575" s="5">
        <v>215</v>
      </c>
      <c r="F2575" s="5">
        <v>39</v>
      </c>
      <c r="G2575" s="12">
        <f>SUM($D$7:D2575)</f>
        <v>10514583.380000031</v>
      </c>
      <c r="H2575" s="11">
        <f t="shared" si="40"/>
        <v>0.98574053977385323</v>
      </c>
    </row>
    <row r="2576" spans="1:8" ht="15" customHeight="1" x14ac:dyDescent="0.25">
      <c r="A2576" s="5">
        <v>2570</v>
      </c>
      <c r="B2576" s="10" t="s">
        <v>5098</v>
      </c>
      <c r="C2576" s="10" t="s">
        <v>5099</v>
      </c>
      <c r="D2576" s="7">
        <v>316.45999999999998</v>
      </c>
      <c r="E2576" s="5">
        <v>315</v>
      </c>
      <c r="F2576" s="5">
        <v>60</v>
      </c>
      <c r="G2576" s="12">
        <f>SUM($D$7:D2576)</f>
        <v>10514899.840000032</v>
      </c>
      <c r="H2576" s="11">
        <f t="shared" si="40"/>
        <v>0.98577020784912961</v>
      </c>
    </row>
    <row r="2577" spans="1:8" ht="15" customHeight="1" x14ac:dyDescent="0.25">
      <c r="A2577" s="5">
        <v>2571</v>
      </c>
      <c r="B2577" s="10" t="s">
        <v>5100</v>
      </c>
      <c r="C2577" s="10" t="s">
        <v>5101</v>
      </c>
      <c r="D2577" s="7">
        <v>315.73</v>
      </c>
      <c r="E2577" s="5">
        <v>75</v>
      </c>
      <c r="F2577" s="5">
        <v>44</v>
      </c>
      <c r="G2577" s="12">
        <f>SUM($D$7:D2577)</f>
        <v>10515215.570000032</v>
      </c>
      <c r="H2577" s="11">
        <f t="shared" si="40"/>
        <v>0.98579980748702067</v>
      </c>
    </row>
    <row r="2578" spans="1:8" ht="15" customHeight="1" x14ac:dyDescent="0.25">
      <c r="A2578" s="5">
        <v>2572</v>
      </c>
      <c r="B2578" s="10" t="s">
        <v>5102</v>
      </c>
      <c r="C2578" s="10" t="s">
        <v>5103</v>
      </c>
      <c r="D2578" s="7">
        <v>315.27</v>
      </c>
      <c r="E2578" s="5">
        <v>43</v>
      </c>
      <c r="F2578" s="5">
        <v>27</v>
      </c>
      <c r="G2578" s="12">
        <f>SUM($D$7:D2578)</f>
        <v>10515530.840000032</v>
      </c>
      <c r="H2578" s="11">
        <f t="shared" si="40"/>
        <v>0.98582936399998389</v>
      </c>
    </row>
    <row r="2579" spans="1:8" ht="15" customHeight="1" x14ac:dyDescent="0.25">
      <c r="A2579" s="5">
        <v>2573</v>
      </c>
      <c r="B2579" s="10" t="s">
        <v>5104</v>
      </c>
      <c r="C2579" s="10" t="s">
        <v>5105</v>
      </c>
      <c r="D2579" s="7">
        <v>314.81</v>
      </c>
      <c r="E2579" s="5">
        <v>676</v>
      </c>
      <c r="F2579" s="5">
        <v>106</v>
      </c>
      <c r="G2579" s="12">
        <f>SUM($D$7:D2579)</f>
        <v>10515845.650000032</v>
      </c>
      <c r="H2579" s="11">
        <f t="shared" si="40"/>
        <v>0.98585887738801958</v>
      </c>
    </row>
    <row r="2580" spans="1:8" ht="15" customHeight="1" x14ac:dyDescent="0.25">
      <c r="A2580" s="5">
        <v>2574</v>
      </c>
      <c r="B2580" s="10" t="s">
        <v>5106</v>
      </c>
      <c r="C2580" s="10" t="s">
        <v>5107</v>
      </c>
      <c r="D2580" s="7">
        <v>314.55</v>
      </c>
      <c r="E2580" s="5">
        <v>170</v>
      </c>
      <c r="F2580" s="5">
        <v>56</v>
      </c>
      <c r="G2580" s="12">
        <f>SUM($D$7:D2580)</f>
        <v>10516160.200000033</v>
      </c>
      <c r="H2580" s="11">
        <f t="shared" si="40"/>
        <v>0.98588836640109601</v>
      </c>
    </row>
    <row r="2581" spans="1:8" ht="15" customHeight="1" x14ac:dyDescent="0.25">
      <c r="A2581" s="5">
        <v>2575</v>
      </c>
      <c r="B2581" s="10" t="s">
        <v>5108</v>
      </c>
      <c r="C2581" s="10" t="s">
        <v>5109</v>
      </c>
      <c r="D2581" s="7">
        <v>314.51</v>
      </c>
      <c r="E2581" s="5">
        <v>144</v>
      </c>
      <c r="F2581" s="5">
        <v>30</v>
      </c>
      <c r="G2581" s="12">
        <f>SUM($D$7:D2581)</f>
        <v>10516474.710000033</v>
      </c>
      <c r="H2581" s="11">
        <f t="shared" si="40"/>
        <v>0.98591785166417867</v>
      </c>
    </row>
    <row r="2582" spans="1:8" ht="15" customHeight="1" x14ac:dyDescent="0.25">
      <c r="A2582" s="5">
        <v>2576</v>
      </c>
      <c r="B2582" s="10" t="s">
        <v>5110</v>
      </c>
      <c r="C2582" s="10" t="s">
        <v>5111</v>
      </c>
      <c r="D2582" s="7">
        <v>314.5</v>
      </c>
      <c r="E2582" s="5">
        <v>74</v>
      </c>
      <c r="F2582" s="5">
        <v>21</v>
      </c>
      <c r="G2582" s="12">
        <f>SUM($D$7:D2582)</f>
        <v>10516789.210000033</v>
      </c>
      <c r="H2582" s="11">
        <f t="shared" si="40"/>
        <v>0.98594733598976292</v>
      </c>
    </row>
    <row r="2583" spans="1:8" ht="15" customHeight="1" x14ac:dyDescent="0.25">
      <c r="A2583" s="5">
        <v>2577</v>
      </c>
      <c r="B2583" s="10" t="s">
        <v>5112</v>
      </c>
      <c r="C2583" s="10" t="s">
        <v>5113</v>
      </c>
      <c r="D2583" s="7">
        <v>313.31</v>
      </c>
      <c r="E2583" s="5">
        <v>1264</v>
      </c>
      <c r="F2583" s="5">
        <v>101</v>
      </c>
      <c r="G2583" s="12">
        <f>SUM($D$7:D2583)</f>
        <v>10517102.520000033</v>
      </c>
      <c r="H2583" s="11">
        <f t="shared" si="40"/>
        <v>0.98597670875303423</v>
      </c>
    </row>
    <row r="2584" spans="1:8" ht="15" customHeight="1" x14ac:dyDescent="0.25">
      <c r="A2584" s="5">
        <v>2578</v>
      </c>
      <c r="B2584" s="10" t="s">
        <v>5114</v>
      </c>
      <c r="C2584" s="10" t="s">
        <v>466</v>
      </c>
      <c r="D2584" s="7">
        <v>313.06</v>
      </c>
      <c r="E2584" s="5">
        <v>25</v>
      </c>
      <c r="F2584" s="5">
        <v>23</v>
      </c>
      <c r="G2584" s="12">
        <f>SUM($D$7:D2584)</f>
        <v>10517415.580000034</v>
      </c>
      <c r="H2584" s="11">
        <f t="shared" si="40"/>
        <v>0.98600605807884489</v>
      </c>
    </row>
    <row r="2585" spans="1:8" ht="15" customHeight="1" x14ac:dyDescent="0.25">
      <c r="A2585" s="5">
        <v>2579</v>
      </c>
      <c r="B2585" s="10" t="s">
        <v>5115</v>
      </c>
      <c r="C2585" s="10" t="s">
        <v>5116</v>
      </c>
      <c r="D2585" s="7">
        <v>313.01</v>
      </c>
      <c r="E2585" s="5">
        <v>287</v>
      </c>
      <c r="F2585" s="5">
        <v>103</v>
      </c>
      <c r="G2585" s="12">
        <f>SUM($D$7:D2585)</f>
        <v>10517728.590000033</v>
      </c>
      <c r="H2585" s="11">
        <f t="shared" si="40"/>
        <v>0.98603540271716317</v>
      </c>
    </row>
    <row r="2586" spans="1:8" ht="15" customHeight="1" x14ac:dyDescent="0.25">
      <c r="A2586" s="5">
        <v>2580</v>
      </c>
      <c r="B2586" s="10" t="s">
        <v>1409</v>
      </c>
      <c r="C2586" s="10" t="s">
        <v>5117</v>
      </c>
      <c r="D2586" s="7">
        <v>312.8</v>
      </c>
      <c r="E2586" s="5">
        <v>80</v>
      </c>
      <c r="F2586" s="5">
        <v>5</v>
      </c>
      <c r="G2586" s="12">
        <f>SUM($D$7:D2586)</f>
        <v>10518041.390000034</v>
      </c>
      <c r="H2586" s="11">
        <f t="shared" si="40"/>
        <v>0.98606472766801467</v>
      </c>
    </row>
    <row r="2587" spans="1:8" ht="15" customHeight="1" x14ac:dyDescent="0.25">
      <c r="A2587" s="5">
        <v>2581</v>
      </c>
      <c r="B2587" s="10" t="s">
        <v>5118</v>
      </c>
      <c r="C2587" s="10" t="s">
        <v>5119</v>
      </c>
      <c r="D2587" s="7">
        <v>312.7</v>
      </c>
      <c r="E2587" s="5">
        <v>33</v>
      </c>
      <c r="F2587" s="5">
        <v>13</v>
      </c>
      <c r="G2587" s="12">
        <f>SUM($D$7:D2587)</f>
        <v>10518354.090000033</v>
      </c>
      <c r="H2587" s="11">
        <f t="shared" si="40"/>
        <v>0.98609404324388172</v>
      </c>
    </row>
    <row r="2588" spans="1:8" ht="15" customHeight="1" x14ac:dyDescent="0.25">
      <c r="A2588" s="5">
        <v>2582</v>
      </c>
      <c r="B2588" s="10" t="s">
        <v>1946</v>
      </c>
      <c r="C2588" s="10" t="s">
        <v>5120</v>
      </c>
      <c r="D2588" s="7">
        <v>311.35000000000002</v>
      </c>
      <c r="E2588" s="5">
        <v>234</v>
      </c>
      <c r="F2588" s="5">
        <v>26</v>
      </c>
      <c r="G2588" s="12">
        <f>SUM($D$7:D2588)</f>
        <v>10518665.440000033</v>
      </c>
      <c r="H2588" s="11">
        <f t="shared" si="40"/>
        <v>0.9861232322574609</v>
      </c>
    </row>
    <row r="2589" spans="1:8" ht="15" customHeight="1" x14ac:dyDescent="0.25">
      <c r="A2589" s="5">
        <v>2583</v>
      </c>
      <c r="B2589" s="10" t="s">
        <v>5121</v>
      </c>
      <c r="C2589" s="10" t="s">
        <v>5122</v>
      </c>
      <c r="D2589" s="7">
        <v>310.49</v>
      </c>
      <c r="E2589" s="5">
        <v>440</v>
      </c>
      <c r="F2589" s="5">
        <v>59</v>
      </c>
      <c r="G2589" s="12">
        <f>SUM($D$7:D2589)</f>
        <v>10518975.930000033</v>
      </c>
      <c r="H2589" s="11">
        <f t="shared" si="40"/>
        <v>0.98615234064617519</v>
      </c>
    </row>
    <row r="2590" spans="1:8" ht="15" customHeight="1" x14ac:dyDescent="0.25">
      <c r="A2590" s="5">
        <v>2584</v>
      </c>
      <c r="B2590" s="10" t="s">
        <v>5123</v>
      </c>
      <c r="C2590" s="10" t="s">
        <v>5124</v>
      </c>
      <c r="D2590" s="7">
        <v>310.19</v>
      </c>
      <c r="E2590" s="5">
        <v>337</v>
      </c>
      <c r="F2590" s="5">
        <v>100</v>
      </c>
      <c r="G2590" s="12">
        <f>SUM($D$7:D2590)</f>
        <v>10519286.120000033</v>
      </c>
      <c r="H2590" s="11">
        <f t="shared" si="40"/>
        <v>0.98618142090993666</v>
      </c>
    </row>
    <row r="2591" spans="1:8" ht="15" customHeight="1" x14ac:dyDescent="0.25">
      <c r="A2591" s="5">
        <v>2585</v>
      </c>
      <c r="B2591" s="10" t="s">
        <v>5125</v>
      </c>
      <c r="C2591" s="10" t="s">
        <v>5126</v>
      </c>
      <c r="D2591" s="7">
        <v>309.3</v>
      </c>
      <c r="E2591" s="5">
        <v>582</v>
      </c>
      <c r="F2591" s="5">
        <v>27</v>
      </c>
      <c r="G2591" s="12">
        <f>SUM($D$7:D2591)</f>
        <v>10519595.420000033</v>
      </c>
      <c r="H2591" s="11">
        <f t="shared" si="40"/>
        <v>0.986210417736338</v>
      </c>
    </row>
    <row r="2592" spans="1:8" ht="15" customHeight="1" x14ac:dyDescent="0.25">
      <c r="A2592" s="5">
        <v>2586</v>
      </c>
      <c r="B2592" s="10" t="s">
        <v>5127</v>
      </c>
      <c r="C2592" s="10" t="s">
        <v>5128</v>
      </c>
      <c r="D2592" s="7">
        <v>309.11</v>
      </c>
      <c r="E2592" s="5">
        <v>150</v>
      </c>
      <c r="F2592" s="5">
        <v>76</v>
      </c>
      <c r="G2592" s="12">
        <f>SUM($D$7:D2592)</f>
        <v>10519904.530000033</v>
      </c>
      <c r="H2592" s="11">
        <f t="shared" si="40"/>
        <v>0.98623939675026917</v>
      </c>
    </row>
    <row r="2593" spans="1:8" ht="15" customHeight="1" x14ac:dyDescent="0.25">
      <c r="A2593" s="5">
        <v>2587</v>
      </c>
      <c r="B2593" s="10" t="s">
        <v>5129</v>
      </c>
      <c r="C2593" s="10" t="s">
        <v>5130</v>
      </c>
      <c r="D2593" s="7">
        <v>307.44</v>
      </c>
      <c r="E2593" s="5">
        <v>345</v>
      </c>
      <c r="F2593" s="5">
        <v>58</v>
      </c>
      <c r="G2593" s="12">
        <f>SUM($D$7:D2593)</f>
        <v>10520211.970000032</v>
      </c>
      <c r="H2593" s="11">
        <f t="shared" si="40"/>
        <v>0.98626821920196273</v>
      </c>
    </row>
    <row r="2594" spans="1:8" ht="15" customHeight="1" x14ac:dyDescent="0.25">
      <c r="A2594" s="5">
        <v>2588</v>
      </c>
      <c r="B2594" s="10" t="s">
        <v>5131</v>
      </c>
      <c r="C2594" s="10" t="s">
        <v>5132</v>
      </c>
      <c r="D2594" s="7">
        <v>306.66000000000003</v>
      </c>
      <c r="E2594" s="5">
        <v>225</v>
      </c>
      <c r="F2594" s="5">
        <v>41</v>
      </c>
      <c r="G2594" s="12">
        <f>SUM($D$7:D2594)</f>
        <v>10520518.630000032</v>
      </c>
      <c r="H2594" s="11">
        <f t="shared" si="40"/>
        <v>0.98629696852877879</v>
      </c>
    </row>
    <row r="2595" spans="1:8" ht="15" customHeight="1" x14ac:dyDescent="0.25">
      <c r="A2595" s="5">
        <v>2589</v>
      </c>
      <c r="B2595" s="10" t="s">
        <v>1864</v>
      </c>
      <c r="C2595" s="10" t="s">
        <v>5133</v>
      </c>
      <c r="D2595" s="7">
        <v>304.5</v>
      </c>
      <c r="E2595" s="5">
        <v>78</v>
      </c>
      <c r="F2595" s="5">
        <v>4</v>
      </c>
      <c r="G2595" s="12">
        <f>SUM($D$7:D2595)</f>
        <v>10520823.130000032</v>
      </c>
      <c r="H2595" s="11">
        <f t="shared" si="40"/>
        <v>0.98632551535593438</v>
      </c>
    </row>
    <row r="2596" spans="1:8" ht="15" customHeight="1" x14ac:dyDescent="0.25">
      <c r="A2596" s="5">
        <v>2590</v>
      </c>
      <c r="B2596" s="10" t="s">
        <v>5134</v>
      </c>
      <c r="C2596" s="10" t="s">
        <v>5135</v>
      </c>
      <c r="D2596" s="7">
        <v>304.5</v>
      </c>
      <c r="E2596" s="5">
        <v>1238</v>
      </c>
      <c r="F2596" s="5">
        <v>64</v>
      </c>
      <c r="G2596" s="12">
        <f>SUM($D$7:D2596)</f>
        <v>10521127.630000032</v>
      </c>
      <c r="H2596" s="11">
        <f t="shared" si="40"/>
        <v>0.98635406218308985</v>
      </c>
    </row>
    <row r="2597" spans="1:8" ht="15" customHeight="1" x14ac:dyDescent="0.25">
      <c r="A2597" s="5">
        <v>2591</v>
      </c>
      <c r="B2597" s="10" t="s">
        <v>5136</v>
      </c>
      <c r="C2597" s="10" t="s">
        <v>5137</v>
      </c>
      <c r="D2597" s="7">
        <v>304.5</v>
      </c>
      <c r="E2597" s="5">
        <v>725</v>
      </c>
      <c r="F2597" s="5">
        <v>28</v>
      </c>
      <c r="G2597" s="12">
        <f>SUM($D$7:D2597)</f>
        <v>10521432.130000032</v>
      </c>
      <c r="H2597" s="11">
        <f t="shared" si="40"/>
        <v>0.98638260901024533</v>
      </c>
    </row>
    <row r="2598" spans="1:8" ht="15" customHeight="1" x14ac:dyDescent="0.25">
      <c r="A2598" s="5">
        <v>2592</v>
      </c>
      <c r="B2598" s="10" t="s">
        <v>1823</v>
      </c>
      <c r="C2598" s="10" t="s">
        <v>5138</v>
      </c>
      <c r="D2598" s="7">
        <v>304.2</v>
      </c>
      <c r="E2598" s="5">
        <v>162</v>
      </c>
      <c r="F2598" s="5">
        <v>4</v>
      </c>
      <c r="G2598" s="12">
        <f>SUM($D$7:D2598)</f>
        <v>10521736.330000032</v>
      </c>
      <c r="H2598" s="11">
        <f t="shared" si="40"/>
        <v>0.98641112771244799</v>
      </c>
    </row>
    <row r="2599" spans="1:8" ht="15" customHeight="1" x14ac:dyDescent="0.25">
      <c r="A2599" s="5">
        <v>2593</v>
      </c>
      <c r="B2599" s="10" t="s">
        <v>5139</v>
      </c>
      <c r="C2599" s="10" t="s">
        <v>5140</v>
      </c>
      <c r="D2599" s="7">
        <v>303.73</v>
      </c>
      <c r="E2599" s="5">
        <v>139</v>
      </c>
      <c r="F2599" s="5">
        <v>37</v>
      </c>
      <c r="G2599" s="12">
        <f>SUM($D$7:D2599)</f>
        <v>10522040.060000032</v>
      </c>
      <c r="H2599" s="11">
        <f t="shared" si="40"/>
        <v>0.9864396023522245</v>
      </c>
    </row>
    <row r="2600" spans="1:8" ht="15" customHeight="1" x14ac:dyDescent="0.25">
      <c r="A2600" s="5">
        <v>2594</v>
      </c>
      <c r="B2600" s="10" t="s">
        <v>5141</v>
      </c>
      <c r="C2600" s="10" t="s">
        <v>5142</v>
      </c>
      <c r="D2600" s="7">
        <v>301.88</v>
      </c>
      <c r="E2600" s="5">
        <v>36</v>
      </c>
      <c r="F2600" s="5">
        <v>18</v>
      </c>
      <c r="G2600" s="12">
        <f>SUM($D$7:D2600)</f>
        <v>10522341.940000033</v>
      </c>
      <c r="H2600" s="11">
        <f t="shared" si="40"/>
        <v>0.98646790355479175</v>
      </c>
    </row>
    <row r="2601" spans="1:8" ht="15" customHeight="1" x14ac:dyDescent="0.25">
      <c r="A2601" s="5">
        <v>2595</v>
      </c>
      <c r="B2601" s="10" t="s">
        <v>4739</v>
      </c>
      <c r="C2601" s="10" t="s">
        <v>5143</v>
      </c>
      <c r="D2601" s="7">
        <v>301.56</v>
      </c>
      <c r="E2601" s="5">
        <v>102</v>
      </c>
      <c r="F2601" s="5">
        <v>28</v>
      </c>
      <c r="G2601" s="12">
        <f>SUM($D$7:D2601)</f>
        <v>10522643.500000034</v>
      </c>
      <c r="H2601" s="11">
        <f t="shared" si="40"/>
        <v>0.98649617475740925</v>
      </c>
    </row>
    <row r="2602" spans="1:8" ht="15" customHeight="1" x14ac:dyDescent="0.25">
      <c r="A2602" s="5">
        <v>2596</v>
      </c>
      <c r="B2602" s="10" t="s">
        <v>5144</v>
      </c>
      <c r="C2602" s="10" t="s">
        <v>5145</v>
      </c>
      <c r="D2602" s="7">
        <v>301.26</v>
      </c>
      <c r="E2602" s="5">
        <v>252</v>
      </c>
      <c r="F2602" s="5">
        <v>20</v>
      </c>
      <c r="G2602" s="12">
        <f>SUM($D$7:D2602)</f>
        <v>10522944.760000033</v>
      </c>
      <c r="H2602" s="11">
        <f t="shared" si="40"/>
        <v>0.98652441783507383</v>
      </c>
    </row>
    <row r="2603" spans="1:8" ht="15" customHeight="1" x14ac:dyDescent="0.25">
      <c r="A2603" s="5">
        <v>2597</v>
      </c>
      <c r="B2603" s="10" t="s">
        <v>5146</v>
      </c>
      <c r="C2603" s="10" t="s">
        <v>5147</v>
      </c>
      <c r="D2603" s="7">
        <v>300.24</v>
      </c>
      <c r="E2603" s="5">
        <v>115</v>
      </c>
      <c r="F2603" s="5">
        <v>29</v>
      </c>
      <c r="G2603" s="12">
        <f>SUM($D$7:D2603)</f>
        <v>10523245.000000034</v>
      </c>
      <c r="H2603" s="11">
        <f t="shared" si="40"/>
        <v>0.9865525652878987</v>
      </c>
    </row>
    <row r="2604" spans="1:8" ht="15" customHeight="1" x14ac:dyDescent="0.25">
      <c r="A2604" s="5">
        <v>2598</v>
      </c>
      <c r="B2604" s="10" t="s">
        <v>5148</v>
      </c>
      <c r="C2604" s="10" t="s">
        <v>5149</v>
      </c>
      <c r="D2604" s="7">
        <v>299.72000000000003</v>
      </c>
      <c r="E2604" s="5">
        <v>228</v>
      </c>
      <c r="F2604" s="5">
        <v>57</v>
      </c>
      <c r="G2604" s="12">
        <f>SUM($D$7:D2604)</f>
        <v>10523544.720000034</v>
      </c>
      <c r="H2604" s="11">
        <f t="shared" si="40"/>
        <v>0.98658066399080535</v>
      </c>
    </row>
    <row r="2605" spans="1:8" ht="15" customHeight="1" x14ac:dyDescent="0.25">
      <c r="A2605" s="5">
        <v>2599</v>
      </c>
      <c r="B2605" s="10" t="s">
        <v>5150</v>
      </c>
      <c r="C2605" s="10" t="s">
        <v>5151</v>
      </c>
      <c r="D2605" s="7">
        <v>299.5</v>
      </c>
      <c r="E2605" s="5">
        <v>10</v>
      </c>
      <c r="F2605" s="5">
        <v>10</v>
      </c>
      <c r="G2605" s="12">
        <f>SUM($D$7:D2605)</f>
        <v>10523844.220000034</v>
      </c>
      <c r="H2605" s="11">
        <f t="shared" si="40"/>
        <v>0.98660874206874649</v>
      </c>
    </row>
    <row r="2606" spans="1:8" ht="15" customHeight="1" x14ac:dyDescent="0.25">
      <c r="A2606" s="5">
        <v>2600</v>
      </c>
      <c r="B2606" s="10" t="s">
        <v>5152</v>
      </c>
      <c r="C2606" s="10" t="s">
        <v>5153</v>
      </c>
      <c r="D2606" s="7">
        <v>299.36</v>
      </c>
      <c r="E2606" s="5">
        <v>164</v>
      </c>
      <c r="F2606" s="5">
        <v>5</v>
      </c>
      <c r="G2606" s="12">
        <f>SUM($D$7:D2606)</f>
        <v>10524143.580000034</v>
      </c>
      <c r="H2606" s="11">
        <f t="shared" si="40"/>
        <v>0.98663680702170964</v>
      </c>
    </row>
    <row r="2607" spans="1:8" ht="15" customHeight="1" x14ac:dyDescent="0.25">
      <c r="A2607" s="5">
        <v>2601</v>
      </c>
      <c r="B2607" s="10" t="s">
        <v>5154</v>
      </c>
      <c r="C2607" s="10" t="s">
        <v>5155</v>
      </c>
      <c r="D2607" s="7">
        <v>298.27</v>
      </c>
      <c r="E2607" s="5">
        <v>107</v>
      </c>
      <c r="F2607" s="5">
        <v>24</v>
      </c>
      <c r="G2607" s="12">
        <f>SUM($D$7:D2607)</f>
        <v>10524441.850000033</v>
      </c>
      <c r="H2607" s="11">
        <f t="shared" si="40"/>
        <v>0.98666476978734396</v>
      </c>
    </row>
    <row r="2608" spans="1:8" ht="15" customHeight="1" x14ac:dyDescent="0.25">
      <c r="A2608" s="5">
        <v>2602</v>
      </c>
      <c r="B2608" s="10" t="s">
        <v>5156</v>
      </c>
      <c r="C2608" s="10" t="s">
        <v>5157</v>
      </c>
      <c r="D2608" s="7">
        <v>297.94</v>
      </c>
      <c r="E2608" s="5">
        <v>33</v>
      </c>
      <c r="F2608" s="5">
        <v>21</v>
      </c>
      <c r="G2608" s="12">
        <f>SUM($D$7:D2608)</f>
        <v>10524739.790000033</v>
      </c>
      <c r="H2608" s="11">
        <f t="shared" si="40"/>
        <v>0.98669270161553013</v>
      </c>
    </row>
    <row r="2609" spans="1:8" ht="15" customHeight="1" x14ac:dyDescent="0.25">
      <c r="A2609" s="5">
        <v>2603</v>
      </c>
      <c r="B2609" s="10" t="s">
        <v>5158</v>
      </c>
      <c r="C2609" s="10" t="s">
        <v>5159</v>
      </c>
      <c r="D2609" s="7">
        <v>297.82</v>
      </c>
      <c r="E2609" s="5">
        <v>529</v>
      </c>
      <c r="F2609" s="5">
        <v>166</v>
      </c>
      <c r="G2609" s="12">
        <f>SUM($D$7:D2609)</f>
        <v>10525037.610000033</v>
      </c>
      <c r="H2609" s="11">
        <f t="shared" si="40"/>
        <v>0.98672062219373535</v>
      </c>
    </row>
    <row r="2610" spans="1:8" ht="15" customHeight="1" x14ac:dyDescent="0.25">
      <c r="A2610" s="5">
        <v>2604</v>
      </c>
      <c r="B2610" s="10" t="s">
        <v>5160</v>
      </c>
      <c r="C2610" s="10" t="s">
        <v>5161</v>
      </c>
      <c r="D2610" s="7">
        <v>297.13</v>
      </c>
      <c r="E2610" s="5">
        <v>35</v>
      </c>
      <c r="F2610" s="5">
        <v>16</v>
      </c>
      <c r="G2610" s="12">
        <f>SUM($D$7:D2610)</f>
        <v>10525334.740000034</v>
      </c>
      <c r="H2610" s="11">
        <f t="shared" si="40"/>
        <v>0.98674847808454891</v>
      </c>
    </row>
    <row r="2611" spans="1:8" ht="15" customHeight="1" x14ac:dyDescent="0.25">
      <c r="A2611" s="5">
        <v>2605</v>
      </c>
      <c r="B2611" s="10" t="s">
        <v>5162</v>
      </c>
      <c r="C2611" s="10" t="s">
        <v>5163</v>
      </c>
      <c r="D2611" s="7">
        <v>296.45</v>
      </c>
      <c r="E2611" s="5">
        <v>568</v>
      </c>
      <c r="F2611" s="5">
        <v>68</v>
      </c>
      <c r="G2611" s="12">
        <f>SUM($D$7:D2611)</f>
        <v>10525631.190000033</v>
      </c>
      <c r="H2611" s="11">
        <f t="shared" si="40"/>
        <v>0.98677627022546921</v>
      </c>
    </row>
    <row r="2612" spans="1:8" ht="15" customHeight="1" x14ac:dyDescent="0.25">
      <c r="A2612" s="5">
        <v>2606</v>
      </c>
      <c r="B2612" s="10" t="s">
        <v>5164</v>
      </c>
      <c r="C2612" s="10" t="s">
        <v>5165</v>
      </c>
      <c r="D2612" s="7">
        <v>296.25</v>
      </c>
      <c r="E2612" s="5">
        <v>1075</v>
      </c>
      <c r="F2612" s="5">
        <v>33</v>
      </c>
      <c r="G2612" s="12">
        <f>SUM($D$7:D2612)</f>
        <v>10525927.440000033</v>
      </c>
      <c r="H2612" s="11">
        <f t="shared" si="40"/>
        <v>0.98680404361642104</v>
      </c>
    </row>
    <row r="2613" spans="1:8" ht="15" customHeight="1" x14ac:dyDescent="0.25">
      <c r="A2613" s="5">
        <v>2607</v>
      </c>
      <c r="B2613" s="10" t="s">
        <v>1058</v>
      </c>
      <c r="C2613" s="10" t="s">
        <v>5166</v>
      </c>
      <c r="D2613" s="7">
        <v>294.7</v>
      </c>
      <c r="E2613" s="5">
        <v>66</v>
      </c>
      <c r="F2613" s="5">
        <v>8</v>
      </c>
      <c r="G2613" s="12">
        <f>SUM($D$7:D2613)</f>
        <v>10526222.140000032</v>
      </c>
      <c r="H2613" s="11">
        <f t="shared" si="40"/>
        <v>0.98683167169511632</v>
      </c>
    </row>
    <row r="2614" spans="1:8" ht="15" customHeight="1" x14ac:dyDescent="0.25">
      <c r="A2614" s="5">
        <v>2608</v>
      </c>
      <c r="B2614" s="10" t="s">
        <v>5167</v>
      </c>
      <c r="C2614" s="10" t="s">
        <v>5168</v>
      </c>
      <c r="D2614" s="7">
        <v>293.8</v>
      </c>
      <c r="E2614" s="5">
        <v>615</v>
      </c>
      <c r="F2614" s="5">
        <v>79</v>
      </c>
      <c r="G2614" s="12">
        <f>SUM($D$7:D2614)</f>
        <v>10526515.940000033</v>
      </c>
      <c r="H2614" s="11">
        <f t="shared" si="40"/>
        <v>0.98685921539895316</v>
      </c>
    </row>
    <row r="2615" spans="1:8" ht="15" customHeight="1" x14ac:dyDescent="0.25">
      <c r="A2615" s="5">
        <v>2609</v>
      </c>
      <c r="B2615" s="10" t="s">
        <v>5169</v>
      </c>
      <c r="C2615" s="10" t="s">
        <v>5170</v>
      </c>
      <c r="D2615" s="7">
        <v>292.29000000000002</v>
      </c>
      <c r="E2615" s="5">
        <v>197</v>
      </c>
      <c r="F2615" s="5">
        <v>99</v>
      </c>
      <c r="G2615" s="12">
        <f>SUM($D$7:D2615)</f>
        <v>10526808.230000032</v>
      </c>
      <c r="H2615" s="11">
        <f t="shared" si="40"/>
        <v>0.98688661754052709</v>
      </c>
    </row>
    <row r="2616" spans="1:8" ht="15" customHeight="1" x14ac:dyDescent="0.25">
      <c r="A2616" s="5">
        <v>2610</v>
      </c>
      <c r="B2616" s="10" t="s">
        <v>5171</v>
      </c>
      <c r="C2616" s="10" t="s">
        <v>5172</v>
      </c>
      <c r="D2616" s="7">
        <v>292.07</v>
      </c>
      <c r="E2616" s="5">
        <v>319</v>
      </c>
      <c r="F2616" s="5">
        <v>70</v>
      </c>
      <c r="G2616" s="12">
        <f>SUM($D$7:D2616)</f>
        <v>10527100.300000032</v>
      </c>
      <c r="H2616" s="11">
        <f t="shared" si="40"/>
        <v>0.98691399905713562</v>
      </c>
    </row>
    <row r="2617" spans="1:8" ht="15" customHeight="1" x14ac:dyDescent="0.25">
      <c r="A2617" s="5">
        <v>2611</v>
      </c>
      <c r="B2617" s="10" t="s">
        <v>5173</v>
      </c>
      <c r="C2617" s="10" t="s">
        <v>5174</v>
      </c>
      <c r="D2617" s="7">
        <v>292.02999999999997</v>
      </c>
      <c r="E2617" s="5">
        <v>421</v>
      </c>
      <c r="F2617" s="5">
        <v>62</v>
      </c>
      <c r="G2617" s="12">
        <f>SUM($D$7:D2617)</f>
        <v>10527392.330000032</v>
      </c>
      <c r="H2617" s="11">
        <f t="shared" si="40"/>
        <v>0.98694137682375049</v>
      </c>
    </row>
    <row r="2618" spans="1:8" ht="15" customHeight="1" x14ac:dyDescent="0.25">
      <c r="A2618" s="5">
        <v>2612</v>
      </c>
      <c r="B2618" s="10" t="s">
        <v>4318</v>
      </c>
      <c r="C2618" s="10" t="s">
        <v>5175</v>
      </c>
      <c r="D2618" s="7">
        <v>291.85000000000002</v>
      </c>
      <c r="E2618" s="5">
        <v>55</v>
      </c>
      <c r="F2618" s="5">
        <v>22</v>
      </c>
      <c r="G2618" s="12">
        <f>SUM($D$7:D2618)</f>
        <v>10527684.180000031</v>
      </c>
      <c r="H2618" s="11">
        <f t="shared" si="40"/>
        <v>0.98696873771539351</v>
      </c>
    </row>
    <row r="2619" spans="1:8" ht="15" customHeight="1" x14ac:dyDescent="0.25">
      <c r="A2619" s="5">
        <v>2613</v>
      </c>
      <c r="B2619" s="10" t="s">
        <v>5176</v>
      </c>
      <c r="C2619" s="10" t="s">
        <v>5177</v>
      </c>
      <c r="D2619" s="7">
        <v>291.58</v>
      </c>
      <c r="E2619" s="5">
        <v>211</v>
      </c>
      <c r="F2619" s="5">
        <v>37</v>
      </c>
      <c r="G2619" s="12">
        <f>SUM($D$7:D2619)</f>
        <v>10527975.760000031</v>
      </c>
      <c r="H2619" s="11">
        <f t="shared" si="40"/>
        <v>0.98699607329457917</v>
      </c>
    </row>
    <row r="2620" spans="1:8" ht="15" customHeight="1" x14ac:dyDescent="0.25">
      <c r="A2620" s="5">
        <v>2614</v>
      </c>
      <c r="B2620" s="10" t="s">
        <v>5178</v>
      </c>
      <c r="C2620" s="10" t="s">
        <v>5179</v>
      </c>
      <c r="D2620" s="7">
        <v>290.8</v>
      </c>
      <c r="E2620" s="5">
        <v>144</v>
      </c>
      <c r="F2620" s="5">
        <v>38</v>
      </c>
      <c r="G2620" s="12">
        <f>SUM($D$7:D2620)</f>
        <v>10528266.560000032</v>
      </c>
      <c r="H2620" s="11">
        <f t="shared" si="40"/>
        <v>0.98702333574888734</v>
      </c>
    </row>
    <row r="2621" spans="1:8" ht="15" customHeight="1" x14ac:dyDescent="0.25">
      <c r="A2621" s="5">
        <v>2615</v>
      </c>
      <c r="B2621" s="10" t="s">
        <v>5180</v>
      </c>
      <c r="C2621" s="10" t="s">
        <v>5181</v>
      </c>
      <c r="D2621" s="7">
        <v>290.2</v>
      </c>
      <c r="E2621" s="5">
        <v>733</v>
      </c>
      <c r="F2621" s="5">
        <v>51</v>
      </c>
      <c r="G2621" s="12">
        <f>SUM($D$7:D2621)</f>
        <v>10528556.760000031</v>
      </c>
      <c r="H2621" s="11">
        <f t="shared" si="40"/>
        <v>0.98705054195328967</v>
      </c>
    </row>
    <row r="2622" spans="1:8" ht="15" customHeight="1" x14ac:dyDescent="0.25">
      <c r="A2622" s="5">
        <v>2616</v>
      </c>
      <c r="B2622" s="10" t="s">
        <v>5182</v>
      </c>
      <c r="C2622" s="10" t="s">
        <v>5183</v>
      </c>
      <c r="D2622" s="7">
        <v>290.10000000000002</v>
      </c>
      <c r="E2622" s="5">
        <v>36</v>
      </c>
      <c r="F2622" s="5">
        <v>18</v>
      </c>
      <c r="G2622" s="12">
        <f>SUM($D$7:D2622)</f>
        <v>10528846.860000031</v>
      </c>
      <c r="H2622" s="11">
        <f t="shared" si="40"/>
        <v>0.98707773878270777</v>
      </c>
    </row>
    <row r="2623" spans="1:8" ht="15" customHeight="1" x14ac:dyDescent="0.25">
      <c r="A2623" s="5">
        <v>2617</v>
      </c>
      <c r="B2623" s="10" t="s">
        <v>104</v>
      </c>
      <c r="C2623" s="10" t="s">
        <v>5184</v>
      </c>
      <c r="D2623" s="7">
        <v>290</v>
      </c>
      <c r="E2623" s="5">
        <v>200</v>
      </c>
      <c r="F2623" s="5">
        <v>1</v>
      </c>
      <c r="G2623" s="12">
        <f>SUM($D$7:D2623)</f>
        <v>10529136.860000031</v>
      </c>
      <c r="H2623" s="11">
        <f t="shared" si="40"/>
        <v>0.98710492623714152</v>
      </c>
    </row>
    <row r="2624" spans="1:8" ht="15" customHeight="1" x14ac:dyDescent="0.25">
      <c r="A2624" s="5">
        <v>2618</v>
      </c>
      <c r="B2624" s="10" t="s">
        <v>5185</v>
      </c>
      <c r="C2624" s="10" t="s">
        <v>5186</v>
      </c>
      <c r="D2624" s="7">
        <v>289.98</v>
      </c>
      <c r="E2624" s="5">
        <v>662</v>
      </c>
      <c r="F2624" s="5">
        <v>24</v>
      </c>
      <c r="G2624" s="12">
        <f>SUM($D$7:D2624)</f>
        <v>10529426.840000032</v>
      </c>
      <c r="H2624" s="11">
        <f t="shared" si="40"/>
        <v>0.98713211181657856</v>
      </c>
    </row>
    <row r="2625" spans="1:8" ht="15" customHeight="1" x14ac:dyDescent="0.25">
      <c r="A2625" s="5">
        <v>2619</v>
      </c>
      <c r="B2625" s="10" t="s">
        <v>5187</v>
      </c>
      <c r="C2625" s="10" t="s">
        <v>5188</v>
      </c>
      <c r="D2625" s="7">
        <v>289.69</v>
      </c>
      <c r="E2625" s="5">
        <v>108</v>
      </c>
      <c r="F2625" s="5">
        <v>37</v>
      </c>
      <c r="G2625" s="12">
        <f>SUM($D$7:D2625)</f>
        <v>10529716.530000031</v>
      </c>
      <c r="H2625" s="11">
        <f t="shared" si="40"/>
        <v>0.98715927020856109</v>
      </c>
    </row>
    <row r="2626" spans="1:8" ht="15" customHeight="1" x14ac:dyDescent="0.25">
      <c r="A2626" s="5">
        <v>2620</v>
      </c>
      <c r="B2626" s="10" t="s">
        <v>5189</v>
      </c>
      <c r="C2626" s="10" t="s">
        <v>5190</v>
      </c>
      <c r="D2626" s="7">
        <v>289.64999999999998</v>
      </c>
      <c r="E2626" s="5">
        <v>193</v>
      </c>
      <c r="F2626" s="5">
        <v>12</v>
      </c>
      <c r="G2626" s="12">
        <f>SUM($D$7:D2626)</f>
        <v>10530006.180000031</v>
      </c>
      <c r="H2626" s="11">
        <f t="shared" si="40"/>
        <v>0.98718642485054986</v>
      </c>
    </row>
    <row r="2627" spans="1:8" ht="15" customHeight="1" x14ac:dyDescent="0.25">
      <c r="A2627" s="5">
        <v>2621</v>
      </c>
      <c r="B2627" s="10" t="s">
        <v>5191</v>
      </c>
      <c r="C2627" s="10" t="s">
        <v>5192</v>
      </c>
      <c r="D2627" s="7">
        <v>288.92</v>
      </c>
      <c r="E2627" s="5">
        <v>726</v>
      </c>
      <c r="F2627" s="5">
        <v>23</v>
      </c>
      <c r="G2627" s="12">
        <f>SUM($D$7:D2627)</f>
        <v>10530295.100000031</v>
      </c>
      <c r="H2627" s="11">
        <f t="shared" si="40"/>
        <v>0.98721351105515343</v>
      </c>
    </row>
    <row r="2628" spans="1:8" ht="15" customHeight="1" x14ac:dyDescent="0.25">
      <c r="A2628" s="5">
        <v>2622</v>
      </c>
      <c r="B2628" s="10" t="s">
        <v>5193</v>
      </c>
      <c r="C2628" s="10" t="s">
        <v>5194</v>
      </c>
      <c r="D2628" s="7">
        <v>288.43</v>
      </c>
      <c r="E2628" s="5">
        <v>67</v>
      </c>
      <c r="F2628" s="5">
        <v>38</v>
      </c>
      <c r="G2628" s="12">
        <f>SUM($D$7:D2628)</f>
        <v>10530583.530000031</v>
      </c>
      <c r="H2628" s="11">
        <f t="shared" si="40"/>
        <v>0.9872405513223339</v>
      </c>
    </row>
    <row r="2629" spans="1:8" ht="15" customHeight="1" x14ac:dyDescent="0.25">
      <c r="A2629" s="5">
        <v>2623</v>
      </c>
      <c r="B2629" s="10" t="s">
        <v>5195</v>
      </c>
      <c r="C2629" s="10" t="s">
        <v>5196</v>
      </c>
      <c r="D2629" s="7">
        <v>288.36</v>
      </c>
      <c r="E2629" s="5">
        <v>707</v>
      </c>
      <c r="F2629" s="5">
        <v>57</v>
      </c>
      <c r="G2629" s="12">
        <f>SUM($D$7:D2629)</f>
        <v>10530871.89000003</v>
      </c>
      <c r="H2629" s="11">
        <f t="shared" si="40"/>
        <v>0.98726758502702539</v>
      </c>
    </row>
    <row r="2630" spans="1:8" ht="15" customHeight="1" x14ac:dyDescent="0.25">
      <c r="A2630" s="5">
        <v>2624</v>
      </c>
      <c r="B2630" s="10" t="s">
        <v>5197</v>
      </c>
      <c r="C2630" s="10" t="s">
        <v>5198</v>
      </c>
      <c r="D2630" s="7">
        <v>287.5</v>
      </c>
      <c r="E2630" s="5">
        <v>50</v>
      </c>
      <c r="F2630" s="5">
        <v>21</v>
      </c>
      <c r="G2630" s="12">
        <f>SUM($D$7:D2630)</f>
        <v>10531159.39000003</v>
      </c>
      <c r="H2630" s="11">
        <f t="shared" si="40"/>
        <v>0.98729453810685197</v>
      </c>
    </row>
    <row r="2631" spans="1:8" ht="15" customHeight="1" x14ac:dyDescent="0.25">
      <c r="A2631" s="5">
        <v>2625</v>
      </c>
      <c r="B2631" s="10" t="s">
        <v>5199</v>
      </c>
      <c r="C2631" s="10" t="s">
        <v>5200</v>
      </c>
      <c r="D2631" s="7">
        <v>286.91000000000003</v>
      </c>
      <c r="E2631" s="5">
        <v>77</v>
      </c>
      <c r="F2631" s="5">
        <v>33</v>
      </c>
      <c r="G2631" s="12">
        <f>SUM($D$7:D2631)</f>
        <v>10531446.300000031</v>
      </c>
      <c r="H2631" s="11">
        <f t="shared" ref="H2631:H2694" si="41">G2631/SUM($D$7:$D$4167)</f>
        <v>0.98732143587427135</v>
      </c>
    </row>
    <row r="2632" spans="1:8" ht="15" customHeight="1" x14ac:dyDescent="0.25">
      <c r="A2632" s="5">
        <v>2626</v>
      </c>
      <c r="B2632" s="10" t="s">
        <v>5201</v>
      </c>
      <c r="C2632" s="10" t="s">
        <v>5202</v>
      </c>
      <c r="D2632" s="7">
        <v>286.39</v>
      </c>
      <c r="E2632" s="5">
        <v>148</v>
      </c>
      <c r="F2632" s="5">
        <v>76</v>
      </c>
      <c r="G2632" s="12">
        <f>SUM($D$7:D2632)</f>
        <v>10531732.690000031</v>
      </c>
      <c r="H2632" s="11">
        <f t="shared" si="41"/>
        <v>0.98734828489177251</v>
      </c>
    </row>
    <row r="2633" spans="1:8" ht="15" customHeight="1" x14ac:dyDescent="0.25">
      <c r="A2633" s="5">
        <v>2627</v>
      </c>
      <c r="B2633" s="10" t="s">
        <v>1950</v>
      </c>
      <c r="C2633" s="10" t="s">
        <v>1013</v>
      </c>
      <c r="D2633" s="7">
        <v>285.45999999999998</v>
      </c>
      <c r="E2633" s="5">
        <v>34</v>
      </c>
      <c r="F2633" s="5">
        <v>8</v>
      </c>
      <c r="G2633" s="12">
        <f>SUM($D$7:D2633)</f>
        <v>10532018.150000032</v>
      </c>
      <c r="H2633" s="11">
        <f t="shared" si="41"/>
        <v>0.98737504672191967</v>
      </c>
    </row>
    <row r="2634" spans="1:8" ht="15" customHeight="1" x14ac:dyDescent="0.25">
      <c r="A2634" s="5">
        <v>2628</v>
      </c>
      <c r="B2634" s="10" t="s">
        <v>5203</v>
      </c>
      <c r="C2634" s="10" t="s">
        <v>5204</v>
      </c>
      <c r="D2634" s="7">
        <v>284.49</v>
      </c>
      <c r="E2634" s="5">
        <v>703</v>
      </c>
      <c r="F2634" s="5">
        <v>81</v>
      </c>
      <c r="G2634" s="12">
        <f>SUM($D$7:D2634)</f>
        <v>10532302.640000032</v>
      </c>
      <c r="H2634" s="11">
        <f t="shared" si="41"/>
        <v>0.98740171761471929</v>
      </c>
    </row>
    <row r="2635" spans="1:8" ht="15" customHeight="1" x14ac:dyDescent="0.25">
      <c r="A2635" s="5">
        <v>2629</v>
      </c>
      <c r="B2635" s="10" t="s">
        <v>5205</v>
      </c>
      <c r="C2635" s="10" t="s">
        <v>5206</v>
      </c>
      <c r="D2635" s="7">
        <v>283.93</v>
      </c>
      <c r="E2635" s="5">
        <v>192</v>
      </c>
      <c r="F2635" s="5">
        <v>42</v>
      </c>
      <c r="G2635" s="12">
        <f>SUM($D$7:D2635)</f>
        <v>10532586.570000032</v>
      </c>
      <c r="H2635" s="11">
        <f t="shared" si="41"/>
        <v>0.98742833600760682</v>
      </c>
    </row>
    <row r="2636" spans="1:8" ht="15" customHeight="1" x14ac:dyDescent="0.25">
      <c r="A2636" s="5">
        <v>2630</v>
      </c>
      <c r="B2636" s="10" t="s">
        <v>5207</v>
      </c>
      <c r="C2636" s="10" t="s">
        <v>5208</v>
      </c>
      <c r="D2636" s="7">
        <v>283.51</v>
      </c>
      <c r="E2636" s="5">
        <v>412</v>
      </c>
      <c r="F2636" s="5">
        <v>43</v>
      </c>
      <c r="G2636" s="12">
        <f>SUM($D$7:D2636)</f>
        <v>10532870.080000032</v>
      </c>
      <c r="H2636" s="11">
        <f t="shared" si="41"/>
        <v>0.98745491502556038</v>
      </c>
    </row>
    <row r="2637" spans="1:8" ht="15" customHeight="1" x14ac:dyDescent="0.25">
      <c r="A2637" s="5">
        <v>2631</v>
      </c>
      <c r="B2637" s="10" t="s">
        <v>5209</v>
      </c>
      <c r="C2637" s="10" t="s">
        <v>5210</v>
      </c>
      <c r="D2637" s="7">
        <v>283.31</v>
      </c>
      <c r="E2637" s="5">
        <v>3821</v>
      </c>
      <c r="F2637" s="5">
        <v>64</v>
      </c>
      <c r="G2637" s="12">
        <f>SUM($D$7:D2637)</f>
        <v>10533153.390000032</v>
      </c>
      <c r="H2637" s="11">
        <f t="shared" si="41"/>
        <v>0.98748147529354546</v>
      </c>
    </row>
    <row r="2638" spans="1:8" ht="15" customHeight="1" x14ac:dyDescent="0.25">
      <c r="A2638" s="5">
        <v>2632</v>
      </c>
      <c r="B2638" s="10" t="s">
        <v>5211</v>
      </c>
      <c r="C2638" s="10" t="s">
        <v>5212</v>
      </c>
      <c r="D2638" s="7">
        <v>282.79000000000002</v>
      </c>
      <c r="E2638" s="5">
        <v>99</v>
      </c>
      <c r="F2638" s="5">
        <v>27</v>
      </c>
      <c r="G2638" s="12">
        <f>SUM($D$7:D2638)</f>
        <v>10533436.180000031</v>
      </c>
      <c r="H2638" s="11">
        <f t="shared" si="41"/>
        <v>0.98750798681161212</v>
      </c>
    </row>
    <row r="2639" spans="1:8" ht="15" customHeight="1" x14ac:dyDescent="0.25">
      <c r="A2639" s="5">
        <v>2633</v>
      </c>
      <c r="B2639" s="10" t="s">
        <v>5213</v>
      </c>
      <c r="C2639" s="10" t="s">
        <v>5214</v>
      </c>
      <c r="D2639" s="7">
        <v>282.49</v>
      </c>
      <c r="E2639" s="5">
        <v>169</v>
      </c>
      <c r="F2639" s="5">
        <v>80</v>
      </c>
      <c r="G2639" s="12">
        <f>SUM($D$7:D2639)</f>
        <v>10533718.670000032</v>
      </c>
      <c r="H2639" s="11">
        <f t="shared" si="41"/>
        <v>0.98753447020472596</v>
      </c>
    </row>
    <row r="2640" spans="1:8" ht="15" customHeight="1" x14ac:dyDescent="0.25">
      <c r="A2640" s="5">
        <v>2634</v>
      </c>
      <c r="B2640" s="10" t="s">
        <v>5215</v>
      </c>
      <c r="C2640" s="10" t="s">
        <v>5216</v>
      </c>
      <c r="D2640" s="7">
        <v>282.38</v>
      </c>
      <c r="E2640" s="5">
        <v>645</v>
      </c>
      <c r="F2640" s="5">
        <v>40</v>
      </c>
      <c r="G2640" s="12">
        <f>SUM($D$7:D2640)</f>
        <v>10534001.050000032</v>
      </c>
      <c r="H2640" s="11">
        <f t="shared" si="41"/>
        <v>0.98756094328535715</v>
      </c>
    </row>
    <row r="2641" spans="1:8" ht="15" customHeight="1" x14ac:dyDescent="0.25">
      <c r="A2641" s="5">
        <v>2635</v>
      </c>
      <c r="B2641" s="10" t="s">
        <v>5217</v>
      </c>
      <c r="C2641" s="10" t="s">
        <v>4669</v>
      </c>
      <c r="D2641" s="7">
        <v>282.14999999999998</v>
      </c>
      <c r="E2641" s="5">
        <v>26</v>
      </c>
      <c r="F2641" s="5">
        <v>21</v>
      </c>
      <c r="G2641" s="12">
        <f>SUM($D$7:D2641)</f>
        <v>10534283.200000033</v>
      </c>
      <c r="H2641" s="11">
        <f t="shared" si="41"/>
        <v>0.98758739480352442</v>
      </c>
    </row>
    <row r="2642" spans="1:8" ht="15" customHeight="1" x14ac:dyDescent="0.25">
      <c r="A2642" s="5">
        <v>2636</v>
      </c>
      <c r="B2642" s="10" t="s">
        <v>5218</v>
      </c>
      <c r="C2642" s="10" t="s">
        <v>5219</v>
      </c>
      <c r="D2642" s="7">
        <v>281.17</v>
      </c>
      <c r="E2642" s="5">
        <v>228</v>
      </c>
      <c r="F2642" s="5">
        <v>29</v>
      </c>
      <c r="G2642" s="12">
        <f>SUM($D$7:D2642)</f>
        <v>10534564.370000033</v>
      </c>
      <c r="H2642" s="11">
        <f t="shared" si="41"/>
        <v>0.98761375444684563</v>
      </c>
    </row>
    <row r="2643" spans="1:8" ht="15" customHeight="1" x14ac:dyDescent="0.25">
      <c r="A2643" s="5">
        <v>2637</v>
      </c>
      <c r="B2643" s="10" t="s">
        <v>5220</v>
      </c>
      <c r="C2643" s="10" t="s">
        <v>5221</v>
      </c>
      <c r="D2643" s="7">
        <v>280.42</v>
      </c>
      <c r="E2643" s="5">
        <v>373</v>
      </c>
      <c r="F2643" s="5">
        <v>42</v>
      </c>
      <c r="G2643" s="12">
        <f>SUM($D$7:D2643)</f>
        <v>10534844.790000033</v>
      </c>
      <c r="H2643" s="11">
        <f t="shared" si="41"/>
        <v>0.98764004377778469</v>
      </c>
    </row>
    <row r="2644" spans="1:8" ht="15" customHeight="1" x14ac:dyDescent="0.25">
      <c r="A2644" s="5">
        <v>2638</v>
      </c>
      <c r="B2644" s="10" t="s">
        <v>5222</v>
      </c>
      <c r="C2644" s="10" t="s">
        <v>5223</v>
      </c>
      <c r="D2644" s="7">
        <v>280.2</v>
      </c>
      <c r="E2644" s="5">
        <v>348</v>
      </c>
      <c r="F2644" s="5">
        <v>22</v>
      </c>
      <c r="G2644" s="12">
        <f>SUM($D$7:D2644)</f>
        <v>10535124.990000032</v>
      </c>
      <c r="H2644" s="11">
        <f t="shared" si="41"/>
        <v>0.98766631248375825</v>
      </c>
    </row>
    <row r="2645" spans="1:8" ht="15" customHeight="1" x14ac:dyDescent="0.25">
      <c r="A2645" s="5">
        <v>2639</v>
      </c>
      <c r="B2645" s="10" t="s">
        <v>5224</v>
      </c>
      <c r="C2645" s="10" t="s">
        <v>5225</v>
      </c>
      <c r="D2645" s="7">
        <v>278.17</v>
      </c>
      <c r="E2645" s="5">
        <v>319</v>
      </c>
      <c r="F2645" s="5">
        <v>42</v>
      </c>
      <c r="G2645" s="12">
        <f>SUM($D$7:D2645)</f>
        <v>10535403.160000032</v>
      </c>
      <c r="H2645" s="11">
        <f t="shared" si="41"/>
        <v>0.9876923908775509</v>
      </c>
    </row>
    <row r="2646" spans="1:8" ht="15" customHeight="1" x14ac:dyDescent="0.25">
      <c r="A2646" s="5">
        <v>2640</v>
      </c>
      <c r="B2646" s="10" t="s">
        <v>5226</v>
      </c>
      <c r="C2646" s="10" t="s">
        <v>5227</v>
      </c>
      <c r="D2646" s="7">
        <v>277.24</v>
      </c>
      <c r="E2646" s="5">
        <v>301</v>
      </c>
      <c r="F2646" s="5">
        <v>50</v>
      </c>
      <c r="G2646" s="12">
        <f>SUM($D$7:D2646)</f>
        <v>10535680.400000032</v>
      </c>
      <c r="H2646" s="11">
        <f t="shared" si="41"/>
        <v>0.98771838208398965</v>
      </c>
    </row>
    <row r="2647" spans="1:8" ht="15" customHeight="1" x14ac:dyDescent="0.25">
      <c r="A2647" s="5">
        <v>2641</v>
      </c>
      <c r="B2647" s="10" t="s">
        <v>5228</v>
      </c>
      <c r="C2647" s="10" t="s">
        <v>5229</v>
      </c>
      <c r="D2647" s="7">
        <v>277.2</v>
      </c>
      <c r="E2647" s="5">
        <v>660</v>
      </c>
      <c r="F2647" s="5">
        <v>25</v>
      </c>
      <c r="G2647" s="12">
        <f>SUM($D$7:D2647)</f>
        <v>10535957.600000031</v>
      </c>
      <c r="H2647" s="11">
        <f t="shared" si="41"/>
        <v>0.98774436954043465</v>
      </c>
    </row>
    <row r="2648" spans="1:8" ht="15" customHeight="1" x14ac:dyDescent="0.25">
      <c r="A2648" s="5">
        <v>2642</v>
      </c>
      <c r="B2648" s="10" t="s">
        <v>5230</v>
      </c>
      <c r="C2648" s="10" t="s">
        <v>5231</v>
      </c>
      <c r="D2648" s="7">
        <v>276.72000000000003</v>
      </c>
      <c r="E2648" s="5">
        <v>116</v>
      </c>
      <c r="F2648" s="5">
        <v>24</v>
      </c>
      <c r="G2648" s="12">
        <f>SUM($D$7:D2648)</f>
        <v>10536234.320000032</v>
      </c>
      <c r="H2648" s="11">
        <f t="shared" si="41"/>
        <v>0.98777031199695509</v>
      </c>
    </row>
    <row r="2649" spans="1:8" ht="15" customHeight="1" x14ac:dyDescent="0.25">
      <c r="A2649" s="5">
        <v>2643</v>
      </c>
      <c r="B2649" s="10" t="s">
        <v>5232</v>
      </c>
      <c r="C2649" s="10" t="s">
        <v>5233</v>
      </c>
      <c r="D2649" s="7">
        <v>276.52999999999997</v>
      </c>
      <c r="E2649" s="5">
        <v>709</v>
      </c>
      <c r="F2649" s="5">
        <v>34</v>
      </c>
      <c r="G2649" s="12">
        <f>SUM($D$7:D2649)</f>
        <v>10536510.850000031</v>
      </c>
      <c r="H2649" s="11">
        <f t="shared" si="41"/>
        <v>0.98779623664100535</v>
      </c>
    </row>
    <row r="2650" spans="1:8" ht="15" customHeight="1" x14ac:dyDescent="0.25">
      <c r="A2650" s="5">
        <v>2644</v>
      </c>
      <c r="B2650" s="10" t="s">
        <v>5234</v>
      </c>
      <c r="C2650" s="10" t="s">
        <v>2222</v>
      </c>
      <c r="D2650" s="7">
        <v>276.42</v>
      </c>
      <c r="E2650" s="5">
        <v>113</v>
      </c>
      <c r="F2650" s="5">
        <v>51</v>
      </c>
      <c r="G2650" s="12">
        <f>SUM($D$7:D2650)</f>
        <v>10536787.270000031</v>
      </c>
      <c r="H2650" s="11">
        <f t="shared" si="41"/>
        <v>0.98782215097257287</v>
      </c>
    </row>
    <row r="2651" spans="1:8" ht="15" customHeight="1" x14ac:dyDescent="0.25">
      <c r="A2651" s="5">
        <v>2645</v>
      </c>
      <c r="B2651" s="10" t="s">
        <v>5235</v>
      </c>
      <c r="C2651" s="10" t="s">
        <v>5236</v>
      </c>
      <c r="D2651" s="7">
        <v>275.62</v>
      </c>
      <c r="E2651" s="5">
        <v>83</v>
      </c>
      <c r="F2651" s="5">
        <v>23</v>
      </c>
      <c r="G2651" s="12">
        <f>SUM($D$7:D2651)</f>
        <v>10537062.89000003</v>
      </c>
      <c r="H2651" s="11">
        <f t="shared" si="41"/>
        <v>0.98784799030426607</v>
      </c>
    </row>
    <row r="2652" spans="1:8" ht="15" customHeight="1" x14ac:dyDescent="0.25">
      <c r="A2652" s="5">
        <v>2646</v>
      </c>
      <c r="B2652" s="10" t="s">
        <v>5237</v>
      </c>
      <c r="C2652" s="10" t="s">
        <v>5238</v>
      </c>
      <c r="D2652" s="7">
        <v>274.37</v>
      </c>
      <c r="E2652" s="5">
        <v>95</v>
      </c>
      <c r="F2652" s="5">
        <v>20</v>
      </c>
      <c r="G2652" s="12">
        <f>SUM($D$7:D2652)</f>
        <v>10537337.26000003</v>
      </c>
      <c r="H2652" s="11">
        <f t="shared" si="41"/>
        <v>0.98787371244865574</v>
      </c>
    </row>
    <row r="2653" spans="1:8" ht="15" customHeight="1" x14ac:dyDescent="0.25">
      <c r="A2653" s="5">
        <v>2647</v>
      </c>
      <c r="B2653" s="10" t="s">
        <v>5239</v>
      </c>
      <c r="C2653" s="10" t="s">
        <v>5240</v>
      </c>
      <c r="D2653" s="7">
        <v>273.81</v>
      </c>
      <c r="E2653" s="5">
        <v>81</v>
      </c>
      <c r="F2653" s="5">
        <v>35</v>
      </c>
      <c r="G2653" s="12">
        <f>SUM($D$7:D2653)</f>
        <v>10537611.07000003</v>
      </c>
      <c r="H2653" s="11">
        <f t="shared" si="41"/>
        <v>0.98789938209313344</v>
      </c>
    </row>
    <row r="2654" spans="1:8" ht="15" customHeight="1" x14ac:dyDescent="0.25">
      <c r="A2654" s="5">
        <v>2648</v>
      </c>
      <c r="B2654" s="10" t="s">
        <v>5241</v>
      </c>
      <c r="C2654" s="10" t="s">
        <v>5242</v>
      </c>
      <c r="D2654" s="7">
        <v>273.45999999999998</v>
      </c>
      <c r="E2654" s="5">
        <v>123</v>
      </c>
      <c r="F2654" s="5">
        <v>37</v>
      </c>
      <c r="G2654" s="12">
        <f>SUM($D$7:D2654)</f>
        <v>10537884.530000031</v>
      </c>
      <c r="H2654" s="11">
        <f t="shared" si="41"/>
        <v>0.98792501892516615</v>
      </c>
    </row>
    <row r="2655" spans="1:8" ht="15" customHeight="1" x14ac:dyDescent="0.25">
      <c r="A2655" s="5">
        <v>2649</v>
      </c>
      <c r="B2655" s="10" t="s">
        <v>5243</v>
      </c>
      <c r="C2655" s="10" t="s">
        <v>5244</v>
      </c>
      <c r="D2655" s="7">
        <v>273</v>
      </c>
      <c r="E2655" s="5">
        <v>650</v>
      </c>
      <c r="F2655" s="5">
        <v>27</v>
      </c>
      <c r="G2655" s="12">
        <f>SUM($D$7:D2655)</f>
        <v>10538157.530000031</v>
      </c>
      <c r="H2655" s="11">
        <f t="shared" si="41"/>
        <v>0.98795061263227113</v>
      </c>
    </row>
    <row r="2656" spans="1:8" ht="15" customHeight="1" x14ac:dyDescent="0.25">
      <c r="A2656" s="5">
        <v>2650</v>
      </c>
      <c r="B2656" s="10" t="s">
        <v>5245</v>
      </c>
      <c r="C2656" s="10" t="s">
        <v>5246</v>
      </c>
      <c r="D2656" s="7">
        <v>272.99</v>
      </c>
      <c r="E2656" s="5">
        <v>129</v>
      </c>
      <c r="F2656" s="5">
        <v>35</v>
      </c>
      <c r="G2656" s="12">
        <f>SUM($D$7:D2656)</f>
        <v>10538430.520000031</v>
      </c>
      <c r="H2656" s="11">
        <f t="shared" si="41"/>
        <v>0.98797620540187769</v>
      </c>
    </row>
    <row r="2657" spans="1:8" ht="15" customHeight="1" x14ac:dyDescent="0.25">
      <c r="A2657" s="5">
        <v>2651</v>
      </c>
      <c r="B2657" s="10" t="s">
        <v>5247</v>
      </c>
      <c r="C2657" s="10" t="s">
        <v>5248</v>
      </c>
      <c r="D2657" s="7">
        <v>272.91000000000003</v>
      </c>
      <c r="E2657" s="5">
        <v>79</v>
      </c>
      <c r="F2657" s="5">
        <v>25</v>
      </c>
      <c r="G2657" s="12">
        <f>SUM($D$7:D2657)</f>
        <v>10538703.430000031</v>
      </c>
      <c r="H2657" s="11">
        <f t="shared" si="41"/>
        <v>0.98800179067149685</v>
      </c>
    </row>
    <row r="2658" spans="1:8" ht="15" customHeight="1" x14ac:dyDescent="0.25">
      <c r="A2658" s="5">
        <v>2652</v>
      </c>
      <c r="B2658" s="10" t="s">
        <v>168</v>
      </c>
      <c r="C2658" s="10" t="s">
        <v>5249</v>
      </c>
      <c r="D2658" s="7">
        <v>272.57</v>
      </c>
      <c r="E2658" s="5">
        <v>144</v>
      </c>
      <c r="F2658" s="5">
        <v>7</v>
      </c>
      <c r="G2658" s="12">
        <f>SUM($D$7:D2658)</f>
        <v>10538976.000000032</v>
      </c>
      <c r="H2658" s="11">
        <f t="shared" si="41"/>
        <v>0.98802734406616932</v>
      </c>
    </row>
    <row r="2659" spans="1:8" ht="15" customHeight="1" x14ac:dyDescent="0.25">
      <c r="A2659" s="5">
        <v>2653</v>
      </c>
      <c r="B2659" s="10" t="s">
        <v>5250</v>
      </c>
      <c r="C2659" s="10" t="s">
        <v>5251</v>
      </c>
      <c r="D2659" s="7">
        <v>272.2</v>
      </c>
      <c r="E2659" s="5">
        <v>173</v>
      </c>
      <c r="F2659" s="5">
        <v>33</v>
      </c>
      <c r="G2659" s="12">
        <f>SUM($D$7:D2659)</f>
        <v>10539248.200000031</v>
      </c>
      <c r="H2659" s="11">
        <f t="shared" si="41"/>
        <v>0.98805286277339988</v>
      </c>
    </row>
    <row r="2660" spans="1:8" ht="15" customHeight="1" x14ac:dyDescent="0.25">
      <c r="A2660" s="5">
        <v>2654</v>
      </c>
      <c r="B2660" s="10" t="s">
        <v>5252</v>
      </c>
      <c r="C2660" s="10" t="s">
        <v>5253</v>
      </c>
      <c r="D2660" s="7">
        <v>272.02</v>
      </c>
      <c r="E2660" s="5">
        <v>307</v>
      </c>
      <c r="F2660" s="5">
        <v>62</v>
      </c>
      <c r="G2660" s="12">
        <f>SUM($D$7:D2660)</f>
        <v>10539520.22000003</v>
      </c>
      <c r="H2660" s="11">
        <f t="shared" si="41"/>
        <v>0.98807836460565879</v>
      </c>
    </row>
    <row r="2661" spans="1:8" ht="15" customHeight="1" x14ac:dyDescent="0.25">
      <c r="A2661" s="5">
        <v>2655</v>
      </c>
      <c r="B2661" s="10" t="s">
        <v>5254</v>
      </c>
      <c r="C2661" s="10" t="s">
        <v>5255</v>
      </c>
      <c r="D2661" s="7">
        <v>271.68</v>
      </c>
      <c r="E2661" s="5">
        <v>159</v>
      </c>
      <c r="F2661" s="5">
        <v>29</v>
      </c>
      <c r="G2661" s="12">
        <f>SUM($D$7:D2661)</f>
        <v>10539791.90000003</v>
      </c>
      <c r="H2661" s="11">
        <f t="shared" si="41"/>
        <v>0.98810383456297113</v>
      </c>
    </row>
    <row r="2662" spans="1:8" ht="15" customHeight="1" x14ac:dyDescent="0.25">
      <c r="A2662" s="5">
        <v>2656</v>
      </c>
      <c r="B2662" s="10" t="s">
        <v>5256</v>
      </c>
      <c r="C2662" s="10" t="s">
        <v>5257</v>
      </c>
      <c r="D2662" s="7">
        <v>271.22000000000003</v>
      </c>
      <c r="E2662" s="5">
        <v>158</v>
      </c>
      <c r="F2662" s="5">
        <v>26</v>
      </c>
      <c r="G2662" s="12">
        <f>SUM($D$7:D2662)</f>
        <v>10540063.120000031</v>
      </c>
      <c r="H2662" s="11">
        <f t="shared" si="41"/>
        <v>0.98812926139535584</v>
      </c>
    </row>
    <row r="2663" spans="1:8" ht="15" customHeight="1" x14ac:dyDescent="0.25">
      <c r="A2663" s="5">
        <v>2657</v>
      </c>
      <c r="B2663" s="10" t="s">
        <v>5258</v>
      </c>
      <c r="C2663" s="10" t="s">
        <v>5259</v>
      </c>
      <c r="D2663" s="7">
        <v>271.04000000000002</v>
      </c>
      <c r="E2663" s="5">
        <v>164</v>
      </c>
      <c r="F2663" s="5">
        <v>58</v>
      </c>
      <c r="G2663" s="12">
        <f>SUM($D$7:D2663)</f>
        <v>10540334.16000003</v>
      </c>
      <c r="H2663" s="11">
        <f t="shared" si="41"/>
        <v>0.98815467135276869</v>
      </c>
    </row>
    <row r="2664" spans="1:8" ht="15" customHeight="1" x14ac:dyDescent="0.25">
      <c r="A2664" s="5">
        <v>2658</v>
      </c>
      <c r="B2664" s="10" t="s">
        <v>5260</v>
      </c>
      <c r="C2664" s="10" t="s">
        <v>5261</v>
      </c>
      <c r="D2664" s="7">
        <v>270.95999999999998</v>
      </c>
      <c r="E2664" s="5">
        <v>312</v>
      </c>
      <c r="F2664" s="5">
        <v>37</v>
      </c>
      <c r="G2664" s="12">
        <f>SUM($D$7:D2664)</f>
        <v>10540605.120000031</v>
      </c>
      <c r="H2664" s="11">
        <f t="shared" si="41"/>
        <v>0.98818007381019424</v>
      </c>
    </row>
    <row r="2665" spans="1:8" ht="15" customHeight="1" x14ac:dyDescent="0.25">
      <c r="A2665" s="5">
        <v>2659</v>
      </c>
      <c r="B2665" s="10" t="s">
        <v>5262</v>
      </c>
      <c r="C2665" s="10" t="s">
        <v>5263</v>
      </c>
      <c r="D2665" s="7">
        <v>270.72000000000003</v>
      </c>
      <c r="E2665" s="5">
        <v>182</v>
      </c>
      <c r="F2665" s="5">
        <v>11</v>
      </c>
      <c r="G2665" s="12">
        <f>SUM($D$7:D2665)</f>
        <v>10540875.840000032</v>
      </c>
      <c r="H2665" s="11">
        <f t="shared" si="41"/>
        <v>0.98820545376765745</v>
      </c>
    </row>
    <row r="2666" spans="1:8" ht="15" customHeight="1" x14ac:dyDescent="0.25">
      <c r="A2666" s="5">
        <v>2660</v>
      </c>
      <c r="B2666" s="10" t="s">
        <v>5264</v>
      </c>
      <c r="C2666" s="10" t="s">
        <v>5265</v>
      </c>
      <c r="D2666" s="7">
        <v>270.08</v>
      </c>
      <c r="E2666" s="5">
        <v>13</v>
      </c>
      <c r="F2666" s="5">
        <v>12</v>
      </c>
      <c r="G2666" s="12">
        <f>SUM($D$7:D2666)</f>
        <v>10541145.920000032</v>
      </c>
      <c r="H2666" s="11">
        <f t="shared" si="41"/>
        <v>0.98823077372522117</v>
      </c>
    </row>
    <row r="2667" spans="1:8" ht="15" customHeight="1" x14ac:dyDescent="0.25">
      <c r="A2667" s="5">
        <v>2661</v>
      </c>
      <c r="B2667" s="10" t="s">
        <v>5266</v>
      </c>
      <c r="C2667" s="10" t="s">
        <v>5267</v>
      </c>
      <c r="D2667" s="7">
        <v>270.02</v>
      </c>
      <c r="E2667" s="5">
        <v>92</v>
      </c>
      <c r="F2667" s="5">
        <v>5</v>
      </c>
      <c r="G2667" s="12">
        <f>SUM($D$7:D2667)</f>
        <v>10541415.940000031</v>
      </c>
      <c r="H2667" s="11">
        <f t="shared" si="41"/>
        <v>0.9882560880577943</v>
      </c>
    </row>
    <row r="2668" spans="1:8" ht="15" customHeight="1" x14ac:dyDescent="0.25">
      <c r="A2668" s="5">
        <v>2662</v>
      </c>
      <c r="B2668" s="10" t="s">
        <v>5268</v>
      </c>
      <c r="C2668" s="10" t="s">
        <v>5269</v>
      </c>
      <c r="D2668" s="7">
        <v>269.68</v>
      </c>
      <c r="E2668" s="5">
        <v>103</v>
      </c>
      <c r="F2668" s="5">
        <v>40</v>
      </c>
      <c r="G2668" s="12">
        <f>SUM($D$7:D2668)</f>
        <v>10541685.620000031</v>
      </c>
      <c r="H2668" s="11">
        <f t="shared" si="41"/>
        <v>0.98828137051542098</v>
      </c>
    </row>
    <row r="2669" spans="1:8" ht="15" customHeight="1" x14ac:dyDescent="0.25">
      <c r="A2669" s="5">
        <v>2663</v>
      </c>
      <c r="B2669" s="10" t="s">
        <v>5270</v>
      </c>
      <c r="C2669" s="10" t="s">
        <v>5271</v>
      </c>
      <c r="D2669" s="7">
        <v>269.61</v>
      </c>
      <c r="E2669" s="5">
        <v>412</v>
      </c>
      <c r="F2669" s="5">
        <v>5</v>
      </c>
      <c r="G2669" s="12">
        <f>SUM($D$7:D2669)</f>
        <v>10541955.23000003</v>
      </c>
      <c r="H2669" s="11">
        <f t="shared" si="41"/>
        <v>0.98830664641055843</v>
      </c>
    </row>
    <row r="2670" spans="1:8" ht="15" customHeight="1" x14ac:dyDescent="0.25">
      <c r="A2670" s="5">
        <v>2664</v>
      </c>
      <c r="B2670" s="10" t="s">
        <v>5272</v>
      </c>
      <c r="C2670" s="10" t="s">
        <v>5273</v>
      </c>
      <c r="D2670" s="7">
        <v>269.17</v>
      </c>
      <c r="E2670" s="5">
        <v>528</v>
      </c>
      <c r="F2670" s="5">
        <v>78</v>
      </c>
      <c r="G2670" s="12">
        <f>SUM($D$7:D2670)</f>
        <v>10542224.40000003</v>
      </c>
      <c r="H2670" s="11">
        <f t="shared" si="41"/>
        <v>0.98833188105576519</v>
      </c>
    </row>
    <row r="2671" spans="1:8" ht="15" customHeight="1" x14ac:dyDescent="0.25">
      <c r="A2671" s="5">
        <v>2665</v>
      </c>
      <c r="B2671" s="10" t="s">
        <v>5274</v>
      </c>
      <c r="C2671" s="10" t="s">
        <v>5275</v>
      </c>
      <c r="D2671" s="7">
        <v>268.75</v>
      </c>
      <c r="E2671" s="5">
        <v>215</v>
      </c>
      <c r="F2671" s="5">
        <v>32</v>
      </c>
      <c r="G2671" s="12">
        <f>SUM($D$7:D2671)</f>
        <v>10542493.15000003</v>
      </c>
      <c r="H2671" s="11">
        <f t="shared" si="41"/>
        <v>0.98835707632603798</v>
      </c>
    </row>
    <row r="2672" spans="1:8" ht="15" customHeight="1" x14ac:dyDescent="0.25">
      <c r="A2672" s="5">
        <v>2666</v>
      </c>
      <c r="B2672" s="10" t="s">
        <v>5276</v>
      </c>
      <c r="C2672" s="10" t="s">
        <v>5277</v>
      </c>
      <c r="D2672" s="7">
        <v>268.52999999999997</v>
      </c>
      <c r="E2672" s="5">
        <v>531</v>
      </c>
      <c r="F2672" s="5">
        <v>40</v>
      </c>
      <c r="G2672" s="12">
        <f>SUM($D$7:D2672)</f>
        <v>10542761.68000003</v>
      </c>
      <c r="H2672" s="11">
        <f t="shared" si="41"/>
        <v>0.98838225097134513</v>
      </c>
    </row>
    <row r="2673" spans="1:8" ht="15" customHeight="1" x14ac:dyDescent="0.25">
      <c r="A2673" s="5">
        <v>2667</v>
      </c>
      <c r="B2673" s="10" t="s">
        <v>1429</v>
      </c>
      <c r="C2673" s="10" t="s">
        <v>5278</v>
      </c>
      <c r="D2673" s="7">
        <v>268.2</v>
      </c>
      <c r="E2673" s="5">
        <v>180</v>
      </c>
      <c r="F2673" s="5">
        <v>5</v>
      </c>
      <c r="G2673" s="12">
        <f>SUM($D$7:D2673)</f>
        <v>10543029.880000029</v>
      </c>
      <c r="H2673" s="11">
        <f t="shared" si="41"/>
        <v>0.98840739467920424</v>
      </c>
    </row>
    <row r="2674" spans="1:8" ht="15" customHeight="1" x14ac:dyDescent="0.25">
      <c r="A2674" s="5">
        <v>2668</v>
      </c>
      <c r="B2674" s="10" t="s">
        <v>5279</v>
      </c>
      <c r="C2674" s="10" t="s">
        <v>5280</v>
      </c>
      <c r="D2674" s="7">
        <v>268.10000000000002</v>
      </c>
      <c r="E2674" s="5">
        <v>19</v>
      </c>
      <c r="F2674" s="5">
        <v>13</v>
      </c>
      <c r="G2674" s="12">
        <f>SUM($D$7:D2674)</f>
        <v>10543297.980000028</v>
      </c>
      <c r="H2674" s="11">
        <f t="shared" si="41"/>
        <v>0.98843252901207901</v>
      </c>
    </row>
    <row r="2675" spans="1:8" ht="15" customHeight="1" x14ac:dyDescent="0.25">
      <c r="A2675" s="5">
        <v>2669</v>
      </c>
      <c r="B2675" s="10" t="s">
        <v>5281</v>
      </c>
      <c r="C2675" s="10" t="s">
        <v>5282</v>
      </c>
      <c r="D2675" s="7">
        <v>267.82</v>
      </c>
      <c r="E2675" s="5">
        <v>535</v>
      </c>
      <c r="F2675" s="5">
        <v>13</v>
      </c>
      <c r="G2675" s="12">
        <f>SUM($D$7:D2675)</f>
        <v>10543565.800000029</v>
      </c>
      <c r="H2675" s="11">
        <f t="shared" si="41"/>
        <v>0.9884576370949979</v>
      </c>
    </row>
    <row r="2676" spans="1:8" ht="15" customHeight="1" x14ac:dyDescent="0.25">
      <c r="A2676" s="5">
        <v>2670</v>
      </c>
      <c r="B2676" s="10" t="s">
        <v>5283</v>
      </c>
      <c r="C2676" s="10" t="s">
        <v>5284</v>
      </c>
      <c r="D2676" s="7">
        <v>267.75</v>
      </c>
      <c r="E2676" s="5">
        <v>105</v>
      </c>
      <c r="F2676" s="5">
        <v>25</v>
      </c>
      <c r="G2676" s="12">
        <f>SUM($D$7:D2676)</f>
        <v>10543833.550000029</v>
      </c>
      <c r="H2676" s="11">
        <f t="shared" si="41"/>
        <v>0.98848273861542779</v>
      </c>
    </row>
    <row r="2677" spans="1:8" ht="15" customHeight="1" x14ac:dyDescent="0.25">
      <c r="A2677" s="5">
        <v>2671</v>
      </c>
      <c r="B2677" s="10" t="s">
        <v>5285</v>
      </c>
      <c r="C2677" s="10" t="s">
        <v>5286</v>
      </c>
      <c r="D2677" s="7">
        <v>267.5</v>
      </c>
      <c r="E2677" s="5">
        <v>214</v>
      </c>
      <c r="F2677" s="5">
        <v>21</v>
      </c>
      <c r="G2677" s="12">
        <f>SUM($D$7:D2677)</f>
        <v>10544101.050000029</v>
      </c>
      <c r="H2677" s="11">
        <f t="shared" si="41"/>
        <v>0.98850781669839693</v>
      </c>
    </row>
    <row r="2678" spans="1:8" ht="15" customHeight="1" x14ac:dyDescent="0.25">
      <c r="A2678" s="5">
        <v>2672</v>
      </c>
      <c r="B2678" s="10" t="s">
        <v>5287</v>
      </c>
      <c r="C2678" s="10" t="s">
        <v>5288</v>
      </c>
      <c r="D2678" s="7">
        <v>267.45</v>
      </c>
      <c r="E2678" s="5">
        <v>1101</v>
      </c>
      <c r="F2678" s="5">
        <v>24</v>
      </c>
      <c r="G2678" s="12">
        <f>SUM($D$7:D2678)</f>
        <v>10544368.500000028</v>
      </c>
      <c r="H2678" s="11">
        <f t="shared" si="41"/>
        <v>0.9885328900938738</v>
      </c>
    </row>
    <row r="2679" spans="1:8" ht="15" customHeight="1" x14ac:dyDescent="0.25">
      <c r="A2679" s="5">
        <v>2673</v>
      </c>
      <c r="B2679" s="10" t="s">
        <v>5289</v>
      </c>
      <c r="C2679" s="10" t="s">
        <v>5290</v>
      </c>
      <c r="D2679" s="7">
        <v>267.20999999999998</v>
      </c>
      <c r="E2679" s="5">
        <v>131</v>
      </c>
      <c r="F2679" s="5">
        <v>19</v>
      </c>
      <c r="G2679" s="12">
        <f>SUM($D$7:D2679)</f>
        <v>10544635.710000029</v>
      </c>
      <c r="H2679" s="11">
        <f t="shared" si="41"/>
        <v>0.98855794098938865</v>
      </c>
    </row>
    <row r="2680" spans="1:8" ht="15" customHeight="1" x14ac:dyDescent="0.25">
      <c r="A2680" s="5">
        <v>2674</v>
      </c>
      <c r="B2680" s="10" t="s">
        <v>5291</v>
      </c>
      <c r="C2680" s="10" t="s">
        <v>2795</v>
      </c>
      <c r="D2680" s="7">
        <v>266.77999999999997</v>
      </c>
      <c r="E2680" s="5">
        <v>16</v>
      </c>
      <c r="F2680" s="5">
        <v>14</v>
      </c>
      <c r="G2680" s="12">
        <f>SUM($D$7:D2680)</f>
        <v>10544902.490000028</v>
      </c>
      <c r="H2680" s="11">
        <f t="shared" si="41"/>
        <v>0.98858295157247078</v>
      </c>
    </row>
    <row r="2681" spans="1:8" ht="15" customHeight="1" x14ac:dyDescent="0.25">
      <c r="A2681" s="5">
        <v>2675</v>
      </c>
      <c r="B2681" s="10" t="s">
        <v>5292</v>
      </c>
      <c r="C2681" s="10" t="s">
        <v>5293</v>
      </c>
      <c r="D2681" s="7">
        <v>266.14999999999998</v>
      </c>
      <c r="E2681" s="5">
        <v>85</v>
      </c>
      <c r="F2681" s="5">
        <v>29</v>
      </c>
      <c r="G2681" s="12">
        <f>SUM($D$7:D2681)</f>
        <v>10545168.640000029</v>
      </c>
      <c r="H2681" s="11">
        <f t="shared" si="41"/>
        <v>0.98860790309315205</v>
      </c>
    </row>
    <row r="2682" spans="1:8" ht="15" customHeight="1" x14ac:dyDescent="0.25">
      <c r="A2682" s="5">
        <v>2676</v>
      </c>
      <c r="B2682" s="10" t="s">
        <v>5294</v>
      </c>
      <c r="C2682" s="10" t="s">
        <v>5295</v>
      </c>
      <c r="D2682" s="7">
        <v>266.02999999999997</v>
      </c>
      <c r="E2682" s="5">
        <v>97</v>
      </c>
      <c r="F2682" s="5">
        <v>41</v>
      </c>
      <c r="G2682" s="12">
        <f>SUM($D$7:D2682)</f>
        <v>10545434.670000028</v>
      </c>
      <c r="H2682" s="11">
        <f t="shared" si="41"/>
        <v>0.98863284336385215</v>
      </c>
    </row>
    <row r="2683" spans="1:8" ht="15" customHeight="1" x14ac:dyDescent="0.25">
      <c r="A2683" s="5">
        <v>2677</v>
      </c>
      <c r="B2683" s="10" t="s">
        <v>1898</v>
      </c>
      <c r="C2683" s="10" t="s">
        <v>5296</v>
      </c>
      <c r="D2683" s="7">
        <v>265.88</v>
      </c>
      <c r="E2683" s="5">
        <v>92</v>
      </c>
      <c r="F2683" s="5">
        <v>10</v>
      </c>
      <c r="G2683" s="12">
        <f>SUM($D$7:D2683)</f>
        <v>10545700.550000029</v>
      </c>
      <c r="H2683" s="11">
        <f t="shared" si="41"/>
        <v>0.98865776957207585</v>
      </c>
    </row>
    <row r="2684" spans="1:8" ht="15" customHeight="1" x14ac:dyDescent="0.25">
      <c r="A2684" s="5">
        <v>2678</v>
      </c>
      <c r="B2684" s="10" t="s">
        <v>5297</v>
      </c>
      <c r="C2684" s="10" t="s">
        <v>5298</v>
      </c>
      <c r="D2684" s="7">
        <v>265.77</v>
      </c>
      <c r="E2684" s="5">
        <v>305</v>
      </c>
      <c r="F2684" s="5">
        <v>67</v>
      </c>
      <c r="G2684" s="12">
        <f>SUM($D$7:D2684)</f>
        <v>10545966.320000028</v>
      </c>
      <c r="H2684" s="11">
        <f t="shared" si="41"/>
        <v>0.98868268546781679</v>
      </c>
    </row>
    <row r="2685" spans="1:8" ht="15" customHeight="1" x14ac:dyDescent="0.25">
      <c r="A2685" s="5">
        <v>2679</v>
      </c>
      <c r="B2685" s="10" t="s">
        <v>5299</v>
      </c>
      <c r="C2685" s="10" t="s">
        <v>5300</v>
      </c>
      <c r="D2685" s="7">
        <v>264.94</v>
      </c>
      <c r="E2685" s="5">
        <v>38</v>
      </c>
      <c r="F2685" s="5">
        <v>15</v>
      </c>
      <c r="G2685" s="12">
        <f>SUM($D$7:D2685)</f>
        <v>10546231.260000028</v>
      </c>
      <c r="H2685" s="11">
        <f t="shared" si="41"/>
        <v>0.98870752355118818</v>
      </c>
    </row>
    <row r="2686" spans="1:8" ht="15" customHeight="1" x14ac:dyDescent="0.25">
      <c r="A2686" s="5">
        <v>2680</v>
      </c>
      <c r="B2686" s="10" t="s">
        <v>5301</v>
      </c>
      <c r="C2686" s="10" t="s">
        <v>5302</v>
      </c>
      <c r="D2686" s="7">
        <v>264.82</v>
      </c>
      <c r="E2686" s="5">
        <v>132</v>
      </c>
      <c r="F2686" s="5">
        <v>35</v>
      </c>
      <c r="G2686" s="12">
        <f>SUM($D$7:D2686)</f>
        <v>10546496.080000028</v>
      </c>
      <c r="H2686" s="11">
        <f t="shared" si="41"/>
        <v>0.98873235038457841</v>
      </c>
    </row>
    <row r="2687" spans="1:8" ht="15" customHeight="1" x14ac:dyDescent="0.25">
      <c r="A2687" s="5">
        <v>2681</v>
      </c>
      <c r="B2687" s="10" t="s">
        <v>5303</v>
      </c>
      <c r="C2687" s="10" t="s">
        <v>5304</v>
      </c>
      <c r="D2687" s="7">
        <v>264.72000000000003</v>
      </c>
      <c r="E2687" s="5">
        <v>205</v>
      </c>
      <c r="F2687" s="5">
        <v>22</v>
      </c>
      <c r="G2687" s="12">
        <f>SUM($D$7:D2687)</f>
        <v>10546760.800000029</v>
      </c>
      <c r="H2687" s="11">
        <f t="shared" si="41"/>
        <v>0.9887571678429844</v>
      </c>
    </row>
    <row r="2688" spans="1:8" ht="15" customHeight="1" x14ac:dyDescent="0.25">
      <c r="A2688" s="5">
        <v>2682</v>
      </c>
      <c r="B2688" s="10" t="s">
        <v>5305</v>
      </c>
      <c r="C2688" s="10" t="s">
        <v>5306</v>
      </c>
      <c r="D2688" s="7">
        <v>264.7</v>
      </c>
      <c r="E2688" s="5">
        <v>38</v>
      </c>
      <c r="F2688" s="5">
        <v>12</v>
      </c>
      <c r="G2688" s="12">
        <f>SUM($D$7:D2688)</f>
        <v>10547025.500000028</v>
      </c>
      <c r="H2688" s="11">
        <f t="shared" si="41"/>
        <v>0.98878198342639345</v>
      </c>
    </row>
    <row r="2689" spans="1:8" ht="15" customHeight="1" x14ac:dyDescent="0.25">
      <c r="A2689" s="5">
        <v>2683</v>
      </c>
      <c r="B2689" s="10" t="s">
        <v>5307</v>
      </c>
      <c r="C2689" s="10" t="s">
        <v>5308</v>
      </c>
      <c r="D2689" s="7">
        <v>264.47000000000003</v>
      </c>
      <c r="E2689" s="5">
        <v>92</v>
      </c>
      <c r="F2689" s="5">
        <v>26</v>
      </c>
      <c r="G2689" s="12">
        <f>SUM($D$7:D2689)</f>
        <v>10547289.970000029</v>
      </c>
      <c r="H2689" s="11">
        <f t="shared" si="41"/>
        <v>0.98880677744733869</v>
      </c>
    </row>
    <row r="2690" spans="1:8" ht="15" customHeight="1" x14ac:dyDescent="0.25">
      <c r="A2690" s="5">
        <v>2684</v>
      </c>
      <c r="B2690" s="10" t="s">
        <v>5309</v>
      </c>
      <c r="C2690" s="10" t="s">
        <v>5310</v>
      </c>
      <c r="D2690" s="7">
        <v>264.06</v>
      </c>
      <c r="E2690" s="5">
        <v>93</v>
      </c>
      <c r="F2690" s="5">
        <v>39</v>
      </c>
      <c r="G2690" s="12">
        <f>SUM($D$7:D2690)</f>
        <v>10547554.030000029</v>
      </c>
      <c r="H2690" s="11">
        <f t="shared" si="41"/>
        <v>0.98883153303084836</v>
      </c>
    </row>
    <row r="2691" spans="1:8" ht="15" customHeight="1" x14ac:dyDescent="0.25">
      <c r="A2691" s="5">
        <v>2685</v>
      </c>
      <c r="B2691" s="10" t="s">
        <v>5311</v>
      </c>
      <c r="C2691" s="10" t="s">
        <v>4057</v>
      </c>
      <c r="D2691" s="7">
        <v>263.12</v>
      </c>
      <c r="E2691" s="5">
        <v>52</v>
      </c>
      <c r="F2691" s="5">
        <v>12</v>
      </c>
      <c r="G2691" s="12">
        <f>SUM($D$7:D2691)</f>
        <v>10547817.150000028</v>
      </c>
      <c r="H2691" s="11">
        <f t="shared" si="41"/>
        <v>0.98885620048950562</v>
      </c>
    </row>
    <row r="2692" spans="1:8" ht="15" customHeight="1" x14ac:dyDescent="0.25">
      <c r="A2692" s="5">
        <v>2686</v>
      </c>
      <c r="B2692" s="10" t="s">
        <v>5312</v>
      </c>
      <c r="C2692" s="10" t="s">
        <v>5313</v>
      </c>
      <c r="D2692" s="7">
        <v>261.89</v>
      </c>
      <c r="E2692" s="5">
        <v>94</v>
      </c>
      <c r="F2692" s="5">
        <v>39</v>
      </c>
      <c r="G2692" s="12">
        <f>SUM($D$7:D2692)</f>
        <v>10548079.040000029</v>
      </c>
      <c r="H2692" s="11">
        <f t="shared" si="41"/>
        <v>0.98888075263585629</v>
      </c>
    </row>
    <row r="2693" spans="1:8" ht="15" customHeight="1" x14ac:dyDescent="0.25">
      <c r="A2693" s="5">
        <v>2687</v>
      </c>
      <c r="B2693" s="10" t="s">
        <v>1360</v>
      </c>
      <c r="C2693" s="10" t="s">
        <v>5314</v>
      </c>
      <c r="D2693" s="7">
        <v>261.83999999999997</v>
      </c>
      <c r="E2693" s="5">
        <v>120</v>
      </c>
      <c r="F2693" s="5">
        <v>14</v>
      </c>
      <c r="G2693" s="12">
        <f>SUM($D$7:D2693)</f>
        <v>10548340.880000029</v>
      </c>
      <c r="H2693" s="11">
        <f t="shared" si="41"/>
        <v>0.98890530009471478</v>
      </c>
    </row>
    <row r="2694" spans="1:8" ht="15" customHeight="1" x14ac:dyDescent="0.25">
      <c r="A2694" s="5">
        <v>2688</v>
      </c>
      <c r="B2694" s="10" t="s">
        <v>5315</v>
      </c>
      <c r="C2694" s="10" t="s">
        <v>5316</v>
      </c>
      <c r="D2694" s="7">
        <v>261.68</v>
      </c>
      <c r="E2694" s="5">
        <v>186</v>
      </c>
      <c r="F2694" s="5">
        <v>6</v>
      </c>
      <c r="G2694" s="12">
        <f>SUM($D$7:D2694)</f>
        <v>10548602.560000028</v>
      </c>
      <c r="H2694" s="11">
        <f t="shared" si="41"/>
        <v>0.98892983255359834</v>
      </c>
    </row>
    <row r="2695" spans="1:8" ht="15" customHeight="1" x14ac:dyDescent="0.25">
      <c r="A2695" s="5">
        <v>2689</v>
      </c>
      <c r="B2695" s="10" t="s">
        <v>5317</v>
      </c>
      <c r="C2695" s="10" t="s">
        <v>5318</v>
      </c>
      <c r="D2695" s="7">
        <v>261.3</v>
      </c>
      <c r="E2695" s="5">
        <v>653</v>
      </c>
      <c r="F2695" s="5">
        <v>45</v>
      </c>
      <c r="G2695" s="12">
        <f>SUM($D$7:D2695)</f>
        <v>10548863.860000029</v>
      </c>
      <c r="H2695" s="11">
        <f t="shared" ref="H2695:H2758" si="42">G2695/SUM($D$7:$D$4167)</f>
        <v>0.98895432938754169</v>
      </c>
    </row>
    <row r="2696" spans="1:8" ht="15" customHeight="1" x14ac:dyDescent="0.25">
      <c r="A2696" s="5">
        <v>2690</v>
      </c>
      <c r="B2696" s="10" t="s">
        <v>5319</v>
      </c>
      <c r="C2696" s="10" t="s">
        <v>5320</v>
      </c>
      <c r="D2696" s="7">
        <v>261.24</v>
      </c>
      <c r="E2696" s="5">
        <v>1244</v>
      </c>
      <c r="F2696" s="5">
        <v>35</v>
      </c>
      <c r="G2696" s="12">
        <f>SUM($D$7:D2696)</f>
        <v>10549125.100000029</v>
      </c>
      <c r="H2696" s="11">
        <f t="shared" si="42"/>
        <v>0.98897882059649445</v>
      </c>
    </row>
    <row r="2697" spans="1:8" ht="15" customHeight="1" x14ac:dyDescent="0.25">
      <c r="A2697" s="5">
        <v>2691</v>
      </c>
      <c r="B2697" s="10" t="s">
        <v>5321</v>
      </c>
      <c r="C2697" s="10" t="s">
        <v>5322</v>
      </c>
      <c r="D2697" s="7">
        <v>259.95999999999998</v>
      </c>
      <c r="E2697" s="5">
        <v>644</v>
      </c>
      <c r="F2697" s="5">
        <v>10</v>
      </c>
      <c r="G2697" s="12">
        <f>SUM($D$7:D2697)</f>
        <v>10549385.06000003</v>
      </c>
      <c r="H2697" s="11">
        <f t="shared" si="42"/>
        <v>0.98900319180564844</v>
      </c>
    </row>
    <row r="2698" spans="1:8" ht="15" customHeight="1" x14ac:dyDescent="0.25">
      <c r="A2698" s="5">
        <v>2692</v>
      </c>
      <c r="B2698" s="10" t="s">
        <v>5323</v>
      </c>
      <c r="C2698" s="10" t="s">
        <v>5324</v>
      </c>
      <c r="D2698" s="7">
        <v>259.67</v>
      </c>
      <c r="E2698" s="5">
        <v>81</v>
      </c>
      <c r="F2698" s="5">
        <v>28</v>
      </c>
      <c r="G2698" s="12">
        <f>SUM($D$7:D2698)</f>
        <v>10549644.73000003</v>
      </c>
      <c r="H2698" s="11">
        <f t="shared" si="42"/>
        <v>0.98902753582734781</v>
      </c>
    </row>
    <row r="2699" spans="1:8" ht="15" customHeight="1" x14ac:dyDescent="0.25">
      <c r="A2699" s="5">
        <v>2693</v>
      </c>
      <c r="B2699" s="10" t="s">
        <v>5325</v>
      </c>
      <c r="C2699" s="10" t="s">
        <v>5326</v>
      </c>
      <c r="D2699" s="7">
        <v>257.75</v>
      </c>
      <c r="E2699" s="5">
        <v>199</v>
      </c>
      <c r="F2699" s="5">
        <v>18</v>
      </c>
      <c r="G2699" s="12">
        <f>SUM($D$7:D2699)</f>
        <v>10549902.48000003</v>
      </c>
      <c r="H2699" s="11">
        <f t="shared" si="42"/>
        <v>0.98905169984934893</v>
      </c>
    </row>
    <row r="2700" spans="1:8" ht="15" customHeight="1" x14ac:dyDescent="0.25">
      <c r="A2700" s="5">
        <v>2694</v>
      </c>
      <c r="B2700" s="10" t="s">
        <v>5327</v>
      </c>
      <c r="C2700" s="10" t="s">
        <v>5328</v>
      </c>
      <c r="D2700" s="7">
        <v>257.61</v>
      </c>
      <c r="E2700" s="5">
        <v>59</v>
      </c>
      <c r="F2700" s="5">
        <v>34</v>
      </c>
      <c r="G2700" s="12">
        <f>SUM($D$7:D2700)</f>
        <v>10550160.09000003</v>
      </c>
      <c r="H2700" s="11">
        <f t="shared" si="42"/>
        <v>0.98907585074637194</v>
      </c>
    </row>
    <row r="2701" spans="1:8" ht="15" customHeight="1" x14ac:dyDescent="0.25">
      <c r="A2701" s="5">
        <v>2695</v>
      </c>
      <c r="B2701" s="10" t="s">
        <v>5329</v>
      </c>
      <c r="C2701" s="10" t="s">
        <v>5330</v>
      </c>
      <c r="D2701" s="7">
        <v>257.22000000000003</v>
      </c>
      <c r="E2701" s="5">
        <v>220</v>
      </c>
      <c r="F2701" s="5">
        <v>50</v>
      </c>
      <c r="G2701" s="12">
        <f>SUM($D$7:D2701)</f>
        <v>10550417.31000003</v>
      </c>
      <c r="H2701" s="11">
        <f t="shared" si="42"/>
        <v>0.98909996508095643</v>
      </c>
    </row>
    <row r="2702" spans="1:8" ht="15" customHeight="1" x14ac:dyDescent="0.25">
      <c r="A2702" s="5">
        <v>2696</v>
      </c>
      <c r="B2702" s="10" t="s">
        <v>5331</v>
      </c>
      <c r="C2702" s="10" t="s">
        <v>5332</v>
      </c>
      <c r="D2702" s="7">
        <v>257.04000000000002</v>
      </c>
      <c r="E2702" s="5">
        <v>1032</v>
      </c>
      <c r="F2702" s="5">
        <v>25</v>
      </c>
      <c r="G2702" s="12">
        <f>SUM($D$7:D2702)</f>
        <v>10550674.350000029</v>
      </c>
      <c r="H2702" s="11">
        <f t="shared" si="42"/>
        <v>0.98912406254056895</v>
      </c>
    </row>
    <row r="2703" spans="1:8" ht="15" customHeight="1" x14ac:dyDescent="0.25">
      <c r="A2703" s="5">
        <v>2697</v>
      </c>
      <c r="B2703" s="10" t="s">
        <v>5333</v>
      </c>
      <c r="C2703" s="10" t="s">
        <v>5334</v>
      </c>
      <c r="D2703" s="7">
        <v>256.54000000000002</v>
      </c>
      <c r="E2703" s="5">
        <v>182</v>
      </c>
      <c r="F2703" s="5">
        <v>36</v>
      </c>
      <c r="G2703" s="12">
        <f>SUM($D$7:D2703)</f>
        <v>10550930.890000029</v>
      </c>
      <c r="H2703" s="11">
        <f t="shared" si="42"/>
        <v>0.98914811312526008</v>
      </c>
    </row>
    <row r="2704" spans="1:8" ht="15" customHeight="1" x14ac:dyDescent="0.25">
      <c r="A2704" s="5">
        <v>2698</v>
      </c>
      <c r="B2704" s="10" t="s">
        <v>5335</v>
      </c>
      <c r="C2704" s="10" t="s">
        <v>5336</v>
      </c>
      <c r="D2704" s="7">
        <v>256.44</v>
      </c>
      <c r="E2704" s="5">
        <v>96</v>
      </c>
      <c r="F2704" s="5">
        <v>41</v>
      </c>
      <c r="G2704" s="12">
        <f>SUM($D$7:D2704)</f>
        <v>10551187.330000028</v>
      </c>
      <c r="H2704" s="11">
        <f t="shared" si="42"/>
        <v>0.98917215433496697</v>
      </c>
    </row>
    <row r="2705" spans="1:8" ht="15" customHeight="1" x14ac:dyDescent="0.25">
      <c r="A2705" s="5">
        <v>2699</v>
      </c>
      <c r="B2705" s="10" t="s">
        <v>5337</v>
      </c>
      <c r="C2705" s="10" t="s">
        <v>5338</v>
      </c>
      <c r="D2705" s="7">
        <v>255</v>
      </c>
      <c r="E2705" s="5">
        <v>144</v>
      </c>
      <c r="F2705" s="5">
        <v>12</v>
      </c>
      <c r="G2705" s="12">
        <f>SUM($D$7:D2705)</f>
        <v>10551442.330000028</v>
      </c>
      <c r="H2705" s="11">
        <f t="shared" si="42"/>
        <v>0.98919606054490017</v>
      </c>
    </row>
    <row r="2706" spans="1:8" ht="15" customHeight="1" x14ac:dyDescent="0.25">
      <c r="A2706" s="5">
        <v>2700</v>
      </c>
      <c r="B2706" s="10" t="s">
        <v>5339</v>
      </c>
      <c r="C2706" s="10" t="s">
        <v>5340</v>
      </c>
      <c r="D2706" s="7">
        <v>254.98</v>
      </c>
      <c r="E2706" s="5">
        <v>29</v>
      </c>
      <c r="F2706" s="5">
        <v>19</v>
      </c>
      <c r="G2706" s="12">
        <f>SUM($D$7:D2706)</f>
        <v>10551697.310000028</v>
      </c>
      <c r="H2706" s="11">
        <f t="shared" si="42"/>
        <v>0.98921996487983654</v>
      </c>
    </row>
    <row r="2707" spans="1:8" ht="15" customHeight="1" x14ac:dyDescent="0.25">
      <c r="A2707" s="5">
        <v>2701</v>
      </c>
      <c r="B2707" s="10" t="s">
        <v>5341</v>
      </c>
      <c r="C2707" s="10" t="s">
        <v>5342</v>
      </c>
      <c r="D2707" s="7">
        <v>254.33</v>
      </c>
      <c r="E2707" s="5">
        <v>184</v>
      </c>
      <c r="F2707" s="5">
        <v>50</v>
      </c>
      <c r="G2707" s="12">
        <f>SUM($D$7:D2707)</f>
        <v>10551951.640000029</v>
      </c>
      <c r="H2707" s="11">
        <f t="shared" si="42"/>
        <v>0.98924380827737501</v>
      </c>
    </row>
    <row r="2708" spans="1:8" ht="15" customHeight="1" x14ac:dyDescent="0.25">
      <c r="A2708" s="5">
        <v>2702</v>
      </c>
      <c r="B2708" s="10" t="s">
        <v>5343</v>
      </c>
      <c r="C2708" s="10" t="s">
        <v>5344</v>
      </c>
      <c r="D2708" s="7">
        <v>253.53</v>
      </c>
      <c r="E2708" s="5">
        <v>79</v>
      </c>
      <c r="F2708" s="5">
        <v>22</v>
      </c>
      <c r="G2708" s="12">
        <f>SUM($D$7:D2708)</f>
        <v>10552205.170000028</v>
      </c>
      <c r="H2708" s="11">
        <f t="shared" si="42"/>
        <v>0.98926757667503906</v>
      </c>
    </row>
    <row r="2709" spans="1:8" ht="15" customHeight="1" x14ac:dyDescent="0.25">
      <c r="A2709" s="5">
        <v>2703</v>
      </c>
      <c r="B2709" s="10" t="s">
        <v>5345</v>
      </c>
      <c r="C2709" s="10" t="s">
        <v>521</v>
      </c>
      <c r="D2709" s="7">
        <v>252.95</v>
      </c>
      <c r="E2709" s="5">
        <v>15</v>
      </c>
      <c r="F2709" s="5">
        <v>7</v>
      </c>
      <c r="G2709" s="12">
        <f>SUM($D$7:D2709)</f>
        <v>10552458.120000027</v>
      </c>
      <c r="H2709" s="11">
        <f t="shared" si="42"/>
        <v>0.98929129069779431</v>
      </c>
    </row>
    <row r="2710" spans="1:8" ht="15" customHeight="1" x14ac:dyDescent="0.25">
      <c r="A2710" s="5">
        <v>2704</v>
      </c>
      <c r="B2710" s="10" t="s">
        <v>5346</v>
      </c>
      <c r="C2710" s="10" t="s">
        <v>5347</v>
      </c>
      <c r="D2710" s="7">
        <v>252.9</v>
      </c>
      <c r="E2710" s="5">
        <v>86</v>
      </c>
      <c r="F2710" s="5">
        <v>23</v>
      </c>
      <c r="G2710" s="12">
        <f>SUM($D$7:D2710)</f>
        <v>10552711.020000027</v>
      </c>
      <c r="H2710" s="11">
        <f t="shared" si="42"/>
        <v>0.9893150000330575</v>
      </c>
    </row>
    <row r="2711" spans="1:8" ht="15" customHeight="1" x14ac:dyDescent="0.25">
      <c r="A2711" s="5">
        <v>2705</v>
      </c>
      <c r="B2711" s="10" t="s">
        <v>5348</v>
      </c>
      <c r="C2711" s="10" t="s">
        <v>5349</v>
      </c>
      <c r="D2711" s="7">
        <v>252.47</v>
      </c>
      <c r="E2711" s="5">
        <v>706</v>
      </c>
      <c r="F2711" s="5">
        <v>70</v>
      </c>
      <c r="G2711" s="12">
        <f>SUM($D$7:D2711)</f>
        <v>10552963.490000028</v>
      </c>
      <c r="H2711" s="11">
        <f t="shared" si="42"/>
        <v>0.9893386690558883</v>
      </c>
    </row>
    <row r="2712" spans="1:8" ht="15" customHeight="1" x14ac:dyDescent="0.25">
      <c r="A2712" s="5">
        <v>2706</v>
      </c>
      <c r="B2712" s="10" t="s">
        <v>5350</v>
      </c>
      <c r="C2712" s="10" t="s">
        <v>5351</v>
      </c>
      <c r="D2712" s="7">
        <v>252.33</v>
      </c>
      <c r="E2712" s="5">
        <v>485</v>
      </c>
      <c r="F2712" s="5">
        <v>67</v>
      </c>
      <c r="G2712" s="12">
        <f>SUM($D$7:D2712)</f>
        <v>10553215.820000028</v>
      </c>
      <c r="H2712" s="11">
        <f t="shared" si="42"/>
        <v>0.98936232495374099</v>
      </c>
    </row>
    <row r="2713" spans="1:8" ht="15" customHeight="1" x14ac:dyDescent="0.25">
      <c r="A2713" s="5">
        <v>2707</v>
      </c>
      <c r="B2713" s="10" t="s">
        <v>5352</v>
      </c>
      <c r="C2713" s="10" t="s">
        <v>5353</v>
      </c>
      <c r="D2713" s="7">
        <v>252.18</v>
      </c>
      <c r="E2713" s="5">
        <v>33</v>
      </c>
      <c r="F2713" s="5">
        <v>19</v>
      </c>
      <c r="G2713" s="12">
        <f>SUM($D$7:D2713)</f>
        <v>10553468.000000028</v>
      </c>
      <c r="H2713" s="11">
        <f t="shared" si="42"/>
        <v>0.98938596678911728</v>
      </c>
    </row>
    <row r="2714" spans="1:8" ht="15" customHeight="1" x14ac:dyDescent="0.25">
      <c r="A2714" s="5">
        <v>2708</v>
      </c>
      <c r="B2714" s="10" t="s">
        <v>5354</v>
      </c>
      <c r="C2714" s="10" t="s">
        <v>5355</v>
      </c>
      <c r="D2714" s="7">
        <v>251.45</v>
      </c>
      <c r="E2714" s="5">
        <v>99</v>
      </c>
      <c r="F2714" s="5">
        <v>21</v>
      </c>
      <c r="G2714" s="12">
        <f>SUM($D$7:D2714)</f>
        <v>10553719.450000027</v>
      </c>
      <c r="H2714" s="11">
        <f t="shared" si="42"/>
        <v>0.98940954018710825</v>
      </c>
    </row>
    <row r="2715" spans="1:8" ht="15" customHeight="1" x14ac:dyDescent="0.25">
      <c r="A2715" s="5">
        <v>2709</v>
      </c>
      <c r="B2715" s="10" t="s">
        <v>5356</v>
      </c>
      <c r="C2715" s="10" t="s">
        <v>5357</v>
      </c>
      <c r="D2715" s="7">
        <v>250.22</v>
      </c>
      <c r="E2715" s="5">
        <v>78</v>
      </c>
      <c r="F2715" s="5">
        <v>15</v>
      </c>
      <c r="G2715" s="12">
        <f>SUM($D$7:D2715)</f>
        <v>10553969.670000028</v>
      </c>
      <c r="H2715" s="11">
        <f t="shared" si="42"/>
        <v>0.98943299827279252</v>
      </c>
    </row>
    <row r="2716" spans="1:8" ht="15" customHeight="1" x14ac:dyDescent="0.25">
      <c r="A2716" s="5">
        <v>2710</v>
      </c>
      <c r="B2716" s="10" t="s">
        <v>5358</v>
      </c>
      <c r="C2716" s="10" t="s">
        <v>5359</v>
      </c>
      <c r="D2716" s="7">
        <v>249.49</v>
      </c>
      <c r="E2716" s="5">
        <v>403</v>
      </c>
      <c r="F2716" s="5">
        <v>84</v>
      </c>
      <c r="G2716" s="12">
        <f>SUM($D$7:D2716)</f>
        <v>10554219.160000028</v>
      </c>
      <c r="H2716" s="11">
        <f t="shared" si="42"/>
        <v>0.98945638792109147</v>
      </c>
    </row>
    <row r="2717" spans="1:8" ht="15" customHeight="1" x14ac:dyDescent="0.25">
      <c r="A2717" s="5">
        <v>2711</v>
      </c>
      <c r="B2717" s="10" t="s">
        <v>1541</v>
      </c>
      <c r="C2717" s="10" t="s">
        <v>5360</v>
      </c>
      <c r="D2717" s="7">
        <v>248.48</v>
      </c>
      <c r="E2717" s="5">
        <v>76</v>
      </c>
      <c r="F2717" s="5">
        <v>24</v>
      </c>
      <c r="G2717" s="12">
        <f>SUM($D$7:D2717)</f>
        <v>10554467.640000029</v>
      </c>
      <c r="H2717" s="11">
        <f t="shared" si="42"/>
        <v>0.98947968288204913</v>
      </c>
    </row>
    <row r="2718" spans="1:8" ht="15" customHeight="1" x14ac:dyDescent="0.25">
      <c r="A2718" s="5">
        <v>2712</v>
      </c>
      <c r="B2718" s="10" t="s">
        <v>5361</v>
      </c>
      <c r="C2718" s="10" t="s">
        <v>5362</v>
      </c>
      <c r="D2718" s="7">
        <v>248.09</v>
      </c>
      <c r="E2718" s="5">
        <v>159</v>
      </c>
      <c r="F2718" s="5">
        <v>62</v>
      </c>
      <c r="G2718" s="12">
        <f>SUM($D$7:D2718)</f>
        <v>10554715.730000028</v>
      </c>
      <c r="H2718" s="11">
        <f t="shared" si="42"/>
        <v>0.98950294128056804</v>
      </c>
    </row>
    <row r="2719" spans="1:8" ht="15" customHeight="1" x14ac:dyDescent="0.25">
      <c r="A2719" s="5">
        <v>2713</v>
      </c>
      <c r="B2719" s="10" t="s">
        <v>5363</v>
      </c>
      <c r="C2719" s="10" t="s">
        <v>5364</v>
      </c>
      <c r="D2719" s="7">
        <v>247.8</v>
      </c>
      <c r="E2719" s="5">
        <v>118</v>
      </c>
      <c r="F2719" s="5">
        <v>25</v>
      </c>
      <c r="G2719" s="12">
        <f>SUM($D$7:D2719)</f>
        <v>10554963.530000029</v>
      </c>
      <c r="H2719" s="11">
        <f t="shared" si="42"/>
        <v>0.98952617249163266</v>
      </c>
    </row>
    <row r="2720" spans="1:8" ht="15" customHeight="1" x14ac:dyDescent="0.25">
      <c r="A2720" s="5">
        <v>2714</v>
      </c>
      <c r="B2720" s="10" t="s">
        <v>5365</v>
      </c>
      <c r="C2720" s="10" t="s">
        <v>5366</v>
      </c>
      <c r="D2720" s="7">
        <v>247.63</v>
      </c>
      <c r="E2720" s="5">
        <v>202</v>
      </c>
      <c r="F2720" s="5">
        <v>40</v>
      </c>
      <c r="G2720" s="12">
        <f>SUM($D$7:D2720)</f>
        <v>10555211.16000003</v>
      </c>
      <c r="H2720" s="11">
        <f t="shared" si="42"/>
        <v>0.98954938776522394</v>
      </c>
    </row>
    <row r="2721" spans="1:8" ht="15" customHeight="1" x14ac:dyDescent="0.25">
      <c r="A2721" s="5">
        <v>2715</v>
      </c>
      <c r="B2721" s="10" t="s">
        <v>5367</v>
      </c>
      <c r="C2721" s="10" t="s">
        <v>5368</v>
      </c>
      <c r="D2721" s="7">
        <v>247.42</v>
      </c>
      <c r="E2721" s="5">
        <v>237</v>
      </c>
      <c r="F2721" s="5">
        <v>58</v>
      </c>
      <c r="G2721" s="12">
        <f>SUM($D$7:D2721)</f>
        <v>10555458.58000003</v>
      </c>
      <c r="H2721" s="11">
        <f t="shared" si="42"/>
        <v>0.98957258335134812</v>
      </c>
    </row>
    <row r="2722" spans="1:8" ht="15" customHeight="1" x14ac:dyDescent="0.25">
      <c r="A2722" s="5">
        <v>2716</v>
      </c>
      <c r="B2722" s="10" t="s">
        <v>1235</v>
      </c>
      <c r="C2722" s="10" t="s">
        <v>5369</v>
      </c>
      <c r="D2722" s="7">
        <v>247.32</v>
      </c>
      <c r="E2722" s="5">
        <v>216</v>
      </c>
      <c r="F2722" s="5">
        <v>12</v>
      </c>
      <c r="G2722" s="12">
        <f>SUM($D$7:D2722)</f>
        <v>10555705.90000003</v>
      </c>
      <c r="H2722" s="11">
        <f t="shared" si="42"/>
        <v>0.98959576956248807</v>
      </c>
    </row>
    <row r="2723" spans="1:8" ht="15" customHeight="1" x14ac:dyDescent="0.25">
      <c r="A2723" s="5">
        <v>2717</v>
      </c>
      <c r="B2723" s="10" t="s">
        <v>5370</v>
      </c>
      <c r="C2723" s="10" t="s">
        <v>5371</v>
      </c>
      <c r="D2723" s="7">
        <v>247.04</v>
      </c>
      <c r="E2723" s="5">
        <v>142</v>
      </c>
      <c r="F2723" s="5">
        <v>13</v>
      </c>
      <c r="G2723" s="12">
        <f>SUM($D$7:D2723)</f>
        <v>10555952.940000029</v>
      </c>
      <c r="H2723" s="11">
        <f t="shared" si="42"/>
        <v>0.98961892952367192</v>
      </c>
    </row>
    <row r="2724" spans="1:8" ht="15" customHeight="1" x14ac:dyDescent="0.25">
      <c r="A2724" s="5">
        <v>2718</v>
      </c>
      <c r="B2724" s="10" t="s">
        <v>5372</v>
      </c>
      <c r="C2724" s="10" t="s">
        <v>5373</v>
      </c>
      <c r="D2724" s="7">
        <v>246.14</v>
      </c>
      <c r="E2724" s="5">
        <v>96</v>
      </c>
      <c r="F2724" s="5">
        <v>44</v>
      </c>
      <c r="G2724" s="12">
        <f>SUM($D$7:D2724)</f>
        <v>10556199.08000003</v>
      </c>
      <c r="H2724" s="11">
        <f t="shared" si="42"/>
        <v>0.98964200510999722</v>
      </c>
    </row>
    <row r="2725" spans="1:8" ht="15" customHeight="1" x14ac:dyDescent="0.25">
      <c r="A2725" s="5">
        <v>2719</v>
      </c>
      <c r="B2725" s="10" t="s">
        <v>5374</v>
      </c>
      <c r="C2725" s="10" t="s">
        <v>5375</v>
      </c>
      <c r="D2725" s="7">
        <v>245.63</v>
      </c>
      <c r="E2725" s="5">
        <v>27</v>
      </c>
      <c r="F2725" s="5">
        <v>25</v>
      </c>
      <c r="G2725" s="12">
        <f>SUM($D$7:D2725)</f>
        <v>10556444.710000031</v>
      </c>
      <c r="H2725" s="11">
        <f t="shared" si="42"/>
        <v>0.98966503288390273</v>
      </c>
    </row>
    <row r="2726" spans="1:8" ht="15" customHeight="1" x14ac:dyDescent="0.25">
      <c r="A2726" s="5">
        <v>2720</v>
      </c>
      <c r="B2726" s="10" t="s">
        <v>5376</v>
      </c>
      <c r="C2726" s="10" t="s">
        <v>5377</v>
      </c>
      <c r="D2726" s="7">
        <v>245.58</v>
      </c>
      <c r="E2726" s="5">
        <v>158</v>
      </c>
      <c r="F2726" s="5">
        <v>29</v>
      </c>
      <c r="G2726" s="12">
        <f>SUM($D$7:D2726)</f>
        <v>10556690.290000031</v>
      </c>
      <c r="H2726" s="11">
        <f t="shared" si="42"/>
        <v>0.98968805597031606</v>
      </c>
    </row>
    <row r="2727" spans="1:8" ht="15" customHeight="1" x14ac:dyDescent="0.25">
      <c r="A2727" s="5">
        <v>2721</v>
      </c>
      <c r="B2727" s="10" t="s">
        <v>5378</v>
      </c>
      <c r="C2727" s="10" t="s">
        <v>5379</v>
      </c>
      <c r="D2727" s="7">
        <v>245.36</v>
      </c>
      <c r="E2727" s="5">
        <v>257</v>
      </c>
      <c r="F2727" s="5">
        <v>61</v>
      </c>
      <c r="G2727" s="12">
        <f>SUM($D$7:D2727)</f>
        <v>10556935.65000003</v>
      </c>
      <c r="H2727" s="11">
        <f t="shared" si="42"/>
        <v>0.98971105843176388</v>
      </c>
    </row>
    <row r="2728" spans="1:8" ht="15" customHeight="1" x14ac:dyDescent="0.25">
      <c r="A2728" s="5">
        <v>2722</v>
      </c>
      <c r="B2728" s="10" t="s">
        <v>5380</v>
      </c>
      <c r="C2728" s="10" t="s">
        <v>5381</v>
      </c>
      <c r="D2728" s="7">
        <v>245.2</v>
      </c>
      <c r="E2728" s="5">
        <v>168</v>
      </c>
      <c r="F2728" s="5">
        <v>7</v>
      </c>
      <c r="G2728" s="12">
        <f>SUM($D$7:D2728)</f>
        <v>10557180.850000029</v>
      </c>
      <c r="H2728" s="11">
        <f t="shared" si="42"/>
        <v>0.98973404589323688</v>
      </c>
    </row>
    <row r="2729" spans="1:8" ht="15" customHeight="1" x14ac:dyDescent="0.25">
      <c r="A2729" s="5">
        <v>2723</v>
      </c>
      <c r="B2729" s="10" t="s">
        <v>5382</v>
      </c>
      <c r="C2729" s="10" t="s">
        <v>5383</v>
      </c>
      <c r="D2729" s="7">
        <v>244.72</v>
      </c>
      <c r="E2729" s="5">
        <v>64</v>
      </c>
      <c r="F2729" s="5">
        <v>27</v>
      </c>
      <c r="G2729" s="12">
        <f>SUM($D$7:D2729)</f>
        <v>10557425.57000003</v>
      </c>
      <c r="H2729" s="11">
        <f t="shared" si="42"/>
        <v>0.98975698835478532</v>
      </c>
    </row>
    <row r="2730" spans="1:8" ht="15" customHeight="1" x14ac:dyDescent="0.25">
      <c r="A2730" s="5">
        <v>2724</v>
      </c>
      <c r="B2730" s="10" t="s">
        <v>5384</v>
      </c>
      <c r="C2730" s="10" t="s">
        <v>5385</v>
      </c>
      <c r="D2730" s="7">
        <v>244.17</v>
      </c>
      <c r="E2730" s="5">
        <v>566</v>
      </c>
      <c r="F2730" s="5">
        <v>15</v>
      </c>
      <c r="G2730" s="12">
        <f>SUM($D$7:D2730)</f>
        <v>10557669.74000003</v>
      </c>
      <c r="H2730" s="11">
        <f t="shared" si="42"/>
        <v>0.98977987925392019</v>
      </c>
    </row>
    <row r="2731" spans="1:8" ht="15" customHeight="1" x14ac:dyDescent="0.25">
      <c r="A2731" s="5">
        <v>2725</v>
      </c>
      <c r="B2731" s="10" t="s">
        <v>5386</v>
      </c>
      <c r="C2731" s="10" t="s">
        <v>5387</v>
      </c>
      <c r="D2731" s="7">
        <v>243.53</v>
      </c>
      <c r="E2731" s="5">
        <v>194</v>
      </c>
      <c r="F2731" s="5">
        <v>71</v>
      </c>
      <c r="G2731" s="12">
        <f>SUM($D$7:D2731)</f>
        <v>10557913.270000029</v>
      </c>
      <c r="H2731" s="11">
        <f t="shared" si="42"/>
        <v>0.98980271015315557</v>
      </c>
    </row>
    <row r="2732" spans="1:8" ht="15" customHeight="1" x14ac:dyDescent="0.25">
      <c r="A2732" s="5">
        <v>2726</v>
      </c>
      <c r="B2732" s="10" t="s">
        <v>5388</v>
      </c>
      <c r="C2732" s="10" t="s">
        <v>5389</v>
      </c>
      <c r="D2732" s="7">
        <v>243.49</v>
      </c>
      <c r="E2732" s="5">
        <v>150</v>
      </c>
      <c r="F2732" s="5">
        <v>48</v>
      </c>
      <c r="G2732" s="12">
        <f>SUM($D$7:D2732)</f>
        <v>10558156.76000003</v>
      </c>
      <c r="H2732" s="11">
        <f t="shared" si="42"/>
        <v>0.98982553730239731</v>
      </c>
    </row>
    <row r="2733" spans="1:8" ht="15" customHeight="1" x14ac:dyDescent="0.25">
      <c r="A2733" s="5">
        <v>2727</v>
      </c>
      <c r="B2733" s="10" t="s">
        <v>5390</v>
      </c>
      <c r="C2733" s="10" t="s">
        <v>5391</v>
      </c>
      <c r="D2733" s="7">
        <v>242.32</v>
      </c>
      <c r="E2733" s="5">
        <v>641</v>
      </c>
      <c r="F2733" s="5">
        <v>90</v>
      </c>
      <c r="G2733" s="12">
        <f>SUM($D$7:D2733)</f>
        <v>10558399.08000003</v>
      </c>
      <c r="H2733" s="11">
        <f t="shared" si="42"/>
        <v>0.98984825476432281</v>
      </c>
    </row>
    <row r="2734" spans="1:8" ht="15" customHeight="1" x14ac:dyDescent="0.25">
      <c r="A2734" s="5">
        <v>2728</v>
      </c>
      <c r="B2734" s="10" t="s">
        <v>5392</v>
      </c>
      <c r="C2734" s="10" t="s">
        <v>5393</v>
      </c>
      <c r="D2734" s="7">
        <v>242.24</v>
      </c>
      <c r="E2734" s="5">
        <v>94</v>
      </c>
      <c r="F2734" s="5">
        <v>39</v>
      </c>
      <c r="G2734" s="12">
        <f>SUM($D$7:D2734)</f>
        <v>10558641.32000003</v>
      </c>
      <c r="H2734" s="11">
        <f t="shared" si="42"/>
        <v>0.9898709647262609</v>
      </c>
    </row>
    <row r="2735" spans="1:8" ht="15" customHeight="1" x14ac:dyDescent="0.25">
      <c r="A2735" s="5">
        <v>2729</v>
      </c>
      <c r="B2735" s="10" t="s">
        <v>5394</v>
      </c>
      <c r="C2735" s="10" t="s">
        <v>5395</v>
      </c>
      <c r="D2735" s="7">
        <v>242.18</v>
      </c>
      <c r="E2735" s="5">
        <v>286</v>
      </c>
      <c r="F2735" s="5">
        <v>31</v>
      </c>
      <c r="G2735" s="12">
        <f>SUM($D$7:D2735)</f>
        <v>10558883.50000003</v>
      </c>
      <c r="H2735" s="11">
        <f t="shared" si="42"/>
        <v>0.98989366906320841</v>
      </c>
    </row>
    <row r="2736" spans="1:8" ht="15" customHeight="1" x14ac:dyDescent="0.25">
      <c r="A2736" s="5">
        <v>2730</v>
      </c>
      <c r="B2736" s="10" t="s">
        <v>5396</v>
      </c>
      <c r="C2736" s="10" t="s">
        <v>5397</v>
      </c>
      <c r="D2736" s="7">
        <v>241.24</v>
      </c>
      <c r="E2736" s="5">
        <v>76</v>
      </c>
      <c r="F2736" s="5">
        <v>22</v>
      </c>
      <c r="G2736" s="12">
        <f>SUM($D$7:D2736)</f>
        <v>10559124.74000003</v>
      </c>
      <c r="H2736" s="11">
        <f t="shared" si="42"/>
        <v>0.98991628527530373</v>
      </c>
    </row>
    <row r="2737" spans="1:8" ht="15" customHeight="1" x14ac:dyDescent="0.25">
      <c r="A2737" s="5">
        <v>2731</v>
      </c>
      <c r="B2737" s="10" t="s">
        <v>5398</v>
      </c>
      <c r="C2737" s="10" t="s">
        <v>5399</v>
      </c>
      <c r="D2737" s="7">
        <v>241.21</v>
      </c>
      <c r="E2737" s="5">
        <v>473</v>
      </c>
      <c r="F2737" s="5">
        <v>12</v>
      </c>
      <c r="G2737" s="12">
        <f>SUM($D$7:D2737)</f>
        <v>10559365.950000031</v>
      </c>
      <c r="H2737" s="11">
        <f t="shared" si="42"/>
        <v>0.9899388986749037</v>
      </c>
    </row>
    <row r="2738" spans="1:8" ht="15" customHeight="1" x14ac:dyDescent="0.25">
      <c r="A2738" s="5">
        <v>2732</v>
      </c>
      <c r="B2738" s="10" t="s">
        <v>5400</v>
      </c>
      <c r="C2738" s="10" t="s">
        <v>5401</v>
      </c>
      <c r="D2738" s="7">
        <v>239.97</v>
      </c>
      <c r="E2738" s="5">
        <v>30</v>
      </c>
      <c r="F2738" s="5">
        <v>16</v>
      </c>
      <c r="G2738" s="12">
        <f>SUM($D$7:D2738)</f>
        <v>10559605.920000032</v>
      </c>
      <c r="H2738" s="11">
        <f t="shared" si="42"/>
        <v>0.98996139582469855</v>
      </c>
    </row>
    <row r="2739" spans="1:8" ht="15" customHeight="1" x14ac:dyDescent="0.25">
      <c r="A2739" s="5">
        <v>2733</v>
      </c>
      <c r="B2739" s="10" t="s">
        <v>5402</v>
      </c>
      <c r="C2739" s="10" t="s">
        <v>5403</v>
      </c>
      <c r="D2739" s="7">
        <v>239.24</v>
      </c>
      <c r="E2739" s="5">
        <v>187</v>
      </c>
      <c r="F2739" s="5">
        <v>58</v>
      </c>
      <c r="G2739" s="12">
        <f>SUM($D$7:D2739)</f>
        <v>10559845.160000032</v>
      </c>
      <c r="H2739" s="11">
        <f t="shared" si="42"/>
        <v>0.98998382453710809</v>
      </c>
    </row>
    <row r="2740" spans="1:8" ht="15" customHeight="1" x14ac:dyDescent="0.25">
      <c r="A2740" s="5">
        <v>2734</v>
      </c>
      <c r="B2740" s="10" t="s">
        <v>4281</v>
      </c>
      <c r="C2740" s="10" t="s">
        <v>5404</v>
      </c>
      <c r="D2740" s="7">
        <v>238.56</v>
      </c>
      <c r="E2740" s="5">
        <v>120</v>
      </c>
      <c r="F2740" s="5">
        <v>6</v>
      </c>
      <c r="G2740" s="12">
        <f>SUM($D$7:D2740)</f>
        <v>10560083.720000032</v>
      </c>
      <c r="H2740" s="11">
        <f t="shared" si="42"/>
        <v>0.99000618949962449</v>
      </c>
    </row>
    <row r="2741" spans="1:8" ht="15" customHeight="1" x14ac:dyDescent="0.25">
      <c r="A2741" s="5">
        <v>2735</v>
      </c>
      <c r="B2741" s="10" t="s">
        <v>2088</v>
      </c>
      <c r="C2741" s="10" t="s">
        <v>5405</v>
      </c>
      <c r="D2741" s="7">
        <v>238.5</v>
      </c>
      <c r="E2741" s="5">
        <v>162</v>
      </c>
      <c r="F2741" s="5">
        <v>3</v>
      </c>
      <c r="G2741" s="12">
        <f>SUM($D$7:D2741)</f>
        <v>10560322.220000032</v>
      </c>
      <c r="H2741" s="11">
        <f t="shared" si="42"/>
        <v>0.99002854883715019</v>
      </c>
    </row>
    <row r="2742" spans="1:8" ht="15" customHeight="1" x14ac:dyDescent="0.25">
      <c r="A2742" s="5">
        <v>2736</v>
      </c>
      <c r="B2742" s="10" t="s">
        <v>5406</v>
      </c>
      <c r="C2742" s="10" t="s">
        <v>5407</v>
      </c>
      <c r="D2742" s="7">
        <v>238.35</v>
      </c>
      <c r="E2742" s="5">
        <v>137</v>
      </c>
      <c r="F2742" s="5">
        <v>18</v>
      </c>
      <c r="G2742" s="12">
        <f>SUM($D$7:D2742)</f>
        <v>10560560.570000032</v>
      </c>
      <c r="H2742" s="11">
        <f t="shared" si="42"/>
        <v>0.99005089411219949</v>
      </c>
    </row>
    <row r="2743" spans="1:8" ht="15" customHeight="1" x14ac:dyDescent="0.25">
      <c r="A2743" s="5">
        <v>2737</v>
      </c>
      <c r="B2743" s="10" t="s">
        <v>5408</v>
      </c>
      <c r="C2743" s="10" t="s">
        <v>5409</v>
      </c>
      <c r="D2743" s="7">
        <v>237.98</v>
      </c>
      <c r="E2743" s="5">
        <v>82</v>
      </c>
      <c r="F2743" s="5">
        <v>14</v>
      </c>
      <c r="G2743" s="12">
        <f>SUM($D$7:D2743)</f>
        <v>10560798.550000032</v>
      </c>
      <c r="H2743" s="11">
        <f t="shared" si="42"/>
        <v>0.99007320469980697</v>
      </c>
    </row>
    <row r="2744" spans="1:8" ht="15" customHeight="1" x14ac:dyDescent="0.25">
      <c r="A2744" s="5">
        <v>2738</v>
      </c>
      <c r="B2744" s="10" t="s">
        <v>5410</v>
      </c>
      <c r="C2744" s="10" t="s">
        <v>5411</v>
      </c>
      <c r="D2744" s="7">
        <v>236.87</v>
      </c>
      <c r="E2744" s="5">
        <v>117</v>
      </c>
      <c r="F2744" s="5">
        <v>25</v>
      </c>
      <c r="G2744" s="12">
        <f>SUM($D$7:D2744)</f>
        <v>10561035.420000032</v>
      </c>
      <c r="H2744" s="11">
        <f t="shared" si="42"/>
        <v>0.99009541122508871</v>
      </c>
    </row>
    <row r="2745" spans="1:8" ht="15" customHeight="1" x14ac:dyDescent="0.25">
      <c r="A2745" s="5">
        <v>2739</v>
      </c>
      <c r="B2745" s="10" t="s">
        <v>5412</v>
      </c>
      <c r="C2745" s="10" t="s">
        <v>5413</v>
      </c>
      <c r="D2745" s="7">
        <v>236.17</v>
      </c>
      <c r="E2745" s="5">
        <v>39</v>
      </c>
      <c r="F2745" s="5">
        <v>16</v>
      </c>
      <c r="G2745" s="12">
        <f>SUM($D$7:D2745)</f>
        <v>10561271.590000032</v>
      </c>
      <c r="H2745" s="11">
        <f t="shared" si="42"/>
        <v>0.99011755212548058</v>
      </c>
    </row>
    <row r="2746" spans="1:8" ht="15" customHeight="1" x14ac:dyDescent="0.25">
      <c r="A2746" s="5">
        <v>2740</v>
      </c>
      <c r="B2746" s="10" t="s">
        <v>5414</v>
      </c>
      <c r="C2746" s="10" t="s">
        <v>5190</v>
      </c>
      <c r="D2746" s="7">
        <v>235.35</v>
      </c>
      <c r="E2746" s="5">
        <v>105</v>
      </c>
      <c r="F2746" s="5">
        <v>13</v>
      </c>
      <c r="G2746" s="12">
        <f>SUM($D$7:D2746)</f>
        <v>10561506.940000031</v>
      </c>
      <c r="H2746" s="11">
        <f t="shared" si="42"/>
        <v>0.99013961615100121</v>
      </c>
    </row>
    <row r="2747" spans="1:8" ht="15" customHeight="1" x14ac:dyDescent="0.25">
      <c r="A2747" s="5">
        <v>2741</v>
      </c>
      <c r="B2747" s="10" t="s">
        <v>5415</v>
      </c>
      <c r="C2747" s="10" t="s">
        <v>5416</v>
      </c>
      <c r="D2747" s="7">
        <v>235.19</v>
      </c>
      <c r="E2747" s="5">
        <v>135</v>
      </c>
      <c r="F2747" s="5">
        <v>63</v>
      </c>
      <c r="G2747" s="12">
        <f>SUM($D$7:D2747)</f>
        <v>10561742.130000031</v>
      </c>
      <c r="H2747" s="11">
        <f t="shared" si="42"/>
        <v>0.99016166517654702</v>
      </c>
    </row>
    <row r="2748" spans="1:8" ht="15" customHeight="1" x14ac:dyDescent="0.25">
      <c r="A2748" s="5">
        <v>2742</v>
      </c>
      <c r="B2748" s="10" t="s">
        <v>5417</v>
      </c>
      <c r="C2748" s="10" t="s">
        <v>5418</v>
      </c>
      <c r="D2748" s="7">
        <v>234.5</v>
      </c>
      <c r="E2748" s="5">
        <v>86</v>
      </c>
      <c r="F2748" s="5">
        <v>9</v>
      </c>
      <c r="G2748" s="12">
        <f>SUM($D$7:D2748)</f>
        <v>10561976.630000031</v>
      </c>
      <c r="H2748" s="11">
        <f t="shared" si="42"/>
        <v>0.99018364951470128</v>
      </c>
    </row>
    <row r="2749" spans="1:8" ht="15" customHeight="1" x14ac:dyDescent="0.25">
      <c r="A2749" s="5">
        <v>2743</v>
      </c>
      <c r="B2749" s="10" t="s">
        <v>5419</v>
      </c>
      <c r="C2749" s="10" t="s">
        <v>5420</v>
      </c>
      <c r="D2749" s="7">
        <v>234</v>
      </c>
      <c r="E2749" s="5">
        <v>3333</v>
      </c>
      <c r="F2749" s="5">
        <v>45</v>
      </c>
      <c r="G2749" s="12">
        <f>SUM($D$7:D2749)</f>
        <v>10562210.630000031</v>
      </c>
      <c r="H2749" s="11">
        <f t="shared" si="42"/>
        <v>0.99020558697793415</v>
      </c>
    </row>
    <row r="2750" spans="1:8" ht="15" customHeight="1" x14ac:dyDescent="0.25">
      <c r="A2750" s="5">
        <v>2744</v>
      </c>
      <c r="B2750" s="10" t="s">
        <v>5421</v>
      </c>
      <c r="C2750" s="10" t="s">
        <v>5422</v>
      </c>
      <c r="D2750" s="7">
        <v>233.67</v>
      </c>
      <c r="E2750" s="5">
        <v>185</v>
      </c>
      <c r="F2750" s="5">
        <v>16</v>
      </c>
      <c r="G2750" s="12">
        <f>SUM($D$7:D2750)</f>
        <v>10562444.300000031</v>
      </c>
      <c r="H2750" s="11">
        <f t="shared" si="42"/>
        <v>0.99022749350371875</v>
      </c>
    </row>
    <row r="2751" spans="1:8" ht="15" customHeight="1" x14ac:dyDescent="0.25">
      <c r="A2751" s="5">
        <v>2745</v>
      </c>
      <c r="B2751" s="10" t="s">
        <v>5423</v>
      </c>
      <c r="C2751" s="10" t="s">
        <v>5424</v>
      </c>
      <c r="D2751" s="7">
        <v>233.52</v>
      </c>
      <c r="E2751" s="5">
        <v>174</v>
      </c>
      <c r="F2751" s="5">
        <v>56</v>
      </c>
      <c r="G2751" s="12">
        <f>SUM($D$7:D2751)</f>
        <v>10562677.82000003</v>
      </c>
      <c r="H2751" s="11">
        <f t="shared" si="42"/>
        <v>0.99024938596702694</v>
      </c>
    </row>
    <row r="2752" spans="1:8" ht="15" customHeight="1" x14ac:dyDescent="0.25">
      <c r="A2752" s="5">
        <v>2746</v>
      </c>
      <c r="B2752" s="10" t="s">
        <v>3192</v>
      </c>
      <c r="C2752" s="10" t="s">
        <v>5425</v>
      </c>
      <c r="D2752" s="7">
        <v>233.52</v>
      </c>
      <c r="E2752" s="5">
        <v>270</v>
      </c>
      <c r="F2752" s="5">
        <v>21</v>
      </c>
      <c r="G2752" s="12">
        <f>SUM($D$7:D2752)</f>
        <v>10562911.34000003</v>
      </c>
      <c r="H2752" s="11">
        <f t="shared" si="42"/>
        <v>0.99027127843033513</v>
      </c>
    </row>
    <row r="2753" spans="1:8" ht="15" customHeight="1" x14ac:dyDescent="0.25">
      <c r="A2753" s="5">
        <v>2747</v>
      </c>
      <c r="B2753" s="10" t="s">
        <v>5426</v>
      </c>
      <c r="C2753" s="10" t="s">
        <v>5427</v>
      </c>
      <c r="D2753" s="7">
        <v>232.56</v>
      </c>
      <c r="E2753" s="5">
        <v>612</v>
      </c>
      <c r="F2753" s="5">
        <v>15</v>
      </c>
      <c r="G2753" s="12">
        <f>SUM($D$7:D2753)</f>
        <v>10563143.90000003</v>
      </c>
      <c r="H2753" s="11">
        <f t="shared" si="42"/>
        <v>0.99029308089379431</v>
      </c>
    </row>
    <row r="2754" spans="1:8" ht="15" customHeight="1" x14ac:dyDescent="0.25">
      <c r="A2754" s="5">
        <v>2748</v>
      </c>
      <c r="B2754" s="10" t="s">
        <v>5428</v>
      </c>
      <c r="C2754" s="10" t="s">
        <v>5429</v>
      </c>
      <c r="D2754" s="7">
        <v>232.33</v>
      </c>
      <c r="E2754" s="5">
        <v>98</v>
      </c>
      <c r="F2754" s="5">
        <v>10</v>
      </c>
      <c r="G2754" s="12">
        <f>SUM($D$7:D2754)</f>
        <v>10563376.23000003</v>
      </c>
      <c r="H2754" s="11">
        <f t="shared" si="42"/>
        <v>0.99031486179478945</v>
      </c>
    </row>
    <row r="2755" spans="1:8" ht="15" customHeight="1" x14ac:dyDescent="0.25">
      <c r="A2755" s="5">
        <v>2749</v>
      </c>
      <c r="B2755" s="10" t="s">
        <v>5430</v>
      </c>
      <c r="C2755" s="10" t="s">
        <v>117</v>
      </c>
      <c r="D2755" s="7">
        <v>232.06</v>
      </c>
      <c r="E2755" s="5">
        <v>46</v>
      </c>
      <c r="F2755" s="5">
        <v>10</v>
      </c>
      <c r="G2755" s="12">
        <f>SUM($D$7:D2755)</f>
        <v>10563608.290000031</v>
      </c>
      <c r="H2755" s="11">
        <f t="shared" si="42"/>
        <v>0.99033661738332712</v>
      </c>
    </row>
    <row r="2756" spans="1:8" ht="15" customHeight="1" x14ac:dyDescent="0.25">
      <c r="A2756" s="5">
        <v>2750</v>
      </c>
      <c r="B2756" s="10" t="s">
        <v>5431</v>
      </c>
      <c r="C2756" s="10" t="s">
        <v>5432</v>
      </c>
      <c r="D2756" s="7">
        <v>231.9</v>
      </c>
      <c r="E2756" s="5">
        <v>158</v>
      </c>
      <c r="F2756" s="5">
        <v>4</v>
      </c>
      <c r="G2756" s="12">
        <f>SUM($D$7:D2756)</f>
        <v>10563840.190000031</v>
      </c>
      <c r="H2756" s="11">
        <f t="shared" si="42"/>
        <v>0.99035835797188998</v>
      </c>
    </row>
    <row r="2757" spans="1:8" ht="15" customHeight="1" x14ac:dyDescent="0.25">
      <c r="A2757" s="5">
        <v>2751</v>
      </c>
      <c r="B2757" s="10" t="s">
        <v>5433</v>
      </c>
      <c r="C2757" s="10" t="s">
        <v>5434</v>
      </c>
      <c r="D2757" s="7">
        <v>231.56</v>
      </c>
      <c r="E2757" s="5">
        <v>30</v>
      </c>
      <c r="F2757" s="5">
        <v>20</v>
      </c>
      <c r="G2757" s="12">
        <f>SUM($D$7:D2757)</f>
        <v>10564071.750000032</v>
      </c>
      <c r="H2757" s="11">
        <f t="shared" si="42"/>
        <v>0.99038006668550616</v>
      </c>
    </row>
    <row r="2758" spans="1:8" ht="15" customHeight="1" x14ac:dyDescent="0.25">
      <c r="A2758" s="5">
        <v>2752</v>
      </c>
      <c r="B2758" s="10" t="s">
        <v>5435</v>
      </c>
      <c r="C2758" s="10" t="s">
        <v>5436</v>
      </c>
      <c r="D2758" s="7">
        <v>231.37</v>
      </c>
      <c r="E2758" s="5">
        <v>144</v>
      </c>
      <c r="F2758" s="5">
        <v>43</v>
      </c>
      <c r="G2758" s="12">
        <f>SUM($D$7:D2758)</f>
        <v>10564303.120000031</v>
      </c>
      <c r="H2758" s="11">
        <f t="shared" si="42"/>
        <v>0.99040175758665216</v>
      </c>
    </row>
    <row r="2759" spans="1:8" ht="15" customHeight="1" x14ac:dyDescent="0.25">
      <c r="A2759" s="5">
        <v>2753</v>
      </c>
      <c r="B2759" s="10" t="s">
        <v>5437</v>
      </c>
      <c r="C2759" s="10" t="s">
        <v>5438</v>
      </c>
      <c r="D2759" s="7">
        <v>230.81</v>
      </c>
      <c r="E2759" s="5">
        <v>54</v>
      </c>
      <c r="F2759" s="5">
        <v>30</v>
      </c>
      <c r="G2759" s="12">
        <f>SUM($D$7:D2759)</f>
        <v>10564533.930000031</v>
      </c>
      <c r="H2759" s="11">
        <f t="shared" ref="H2759:H2822" si="43">G2759/SUM($D$7:$D$4167)</f>
        <v>0.99042339598788631</v>
      </c>
    </row>
    <row r="2760" spans="1:8" ht="15" customHeight="1" x14ac:dyDescent="0.25">
      <c r="A2760" s="5">
        <v>2754</v>
      </c>
      <c r="B2760" s="10" t="s">
        <v>5439</v>
      </c>
      <c r="C2760" s="10" t="s">
        <v>5440</v>
      </c>
      <c r="D2760" s="7">
        <v>230.68</v>
      </c>
      <c r="E2760" s="5">
        <v>168</v>
      </c>
      <c r="F2760" s="5">
        <v>23</v>
      </c>
      <c r="G2760" s="12">
        <f>SUM($D$7:D2760)</f>
        <v>10564764.610000031</v>
      </c>
      <c r="H2760" s="11">
        <f t="shared" si="43"/>
        <v>0.99044502220164066</v>
      </c>
    </row>
    <row r="2761" spans="1:8" ht="15" customHeight="1" x14ac:dyDescent="0.25">
      <c r="A2761" s="5">
        <v>2755</v>
      </c>
      <c r="B2761" s="10" t="s">
        <v>5441</v>
      </c>
      <c r="C2761" s="10" t="s">
        <v>5442</v>
      </c>
      <c r="D2761" s="7">
        <v>230.55</v>
      </c>
      <c r="E2761" s="5">
        <v>159</v>
      </c>
      <c r="F2761" s="5">
        <v>30</v>
      </c>
      <c r="G2761" s="12">
        <f>SUM($D$7:D2761)</f>
        <v>10564995.160000032</v>
      </c>
      <c r="H2761" s="11">
        <f t="shared" si="43"/>
        <v>0.99046663622791564</v>
      </c>
    </row>
    <row r="2762" spans="1:8" ht="15" customHeight="1" x14ac:dyDescent="0.25">
      <c r="A2762" s="5">
        <v>2756</v>
      </c>
      <c r="B2762" s="10" t="s">
        <v>5443</v>
      </c>
      <c r="C2762" s="10" t="s">
        <v>5444</v>
      </c>
      <c r="D2762" s="7">
        <v>230.25</v>
      </c>
      <c r="E2762" s="5">
        <v>157</v>
      </c>
      <c r="F2762" s="5">
        <v>3</v>
      </c>
      <c r="G2762" s="12">
        <f>SUM($D$7:D2762)</f>
        <v>10565225.410000032</v>
      </c>
      <c r="H2762" s="11">
        <f t="shared" si="43"/>
        <v>0.99048822212923771</v>
      </c>
    </row>
    <row r="2763" spans="1:8" ht="15" customHeight="1" x14ac:dyDescent="0.25">
      <c r="A2763" s="5">
        <v>2757</v>
      </c>
      <c r="B2763" s="10" t="s">
        <v>5445</v>
      </c>
      <c r="C2763" s="10" t="s">
        <v>5446</v>
      </c>
      <c r="D2763" s="7">
        <v>229.68</v>
      </c>
      <c r="E2763" s="5">
        <v>46</v>
      </c>
      <c r="F2763" s="5">
        <v>31</v>
      </c>
      <c r="G2763" s="12">
        <f>SUM($D$7:D2763)</f>
        <v>10565455.090000032</v>
      </c>
      <c r="H2763" s="11">
        <f t="shared" si="43"/>
        <v>0.99050975459314927</v>
      </c>
    </row>
    <row r="2764" spans="1:8" ht="15" customHeight="1" x14ac:dyDescent="0.25">
      <c r="A2764" s="5">
        <v>2758</v>
      </c>
      <c r="B2764" s="10" t="s">
        <v>5447</v>
      </c>
      <c r="C2764" s="10" t="s">
        <v>5448</v>
      </c>
      <c r="D2764" s="7">
        <v>229.47</v>
      </c>
      <c r="E2764" s="5">
        <v>137</v>
      </c>
      <c r="F2764" s="5">
        <v>35</v>
      </c>
      <c r="G2764" s="12">
        <f>SUM($D$7:D2764)</f>
        <v>10565684.560000032</v>
      </c>
      <c r="H2764" s="11">
        <f t="shared" si="43"/>
        <v>0.99053126736959396</v>
      </c>
    </row>
    <row r="2765" spans="1:8" ht="15" customHeight="1" x14ac:dyDescent="0.25">
      <c r="A2765" s="5">
        <v>2759</v>
      </c>
      <c r="B2765" s="10" t="s">
        <v>5449</v>
      </c>
      <c r="C2765" s="10" t="s">
        <v>5450</v>
      </c>
      <c r="D2765" s="7">
        <v>229.22</v>
      </c>
      <c r="E2765" s="5">
        <v>88</v>
      </c>
      <c r="F2765" s="5">
        <v>31</v>
      </c>
      <c r="G2765" s="12">
        <f>SUM($D$7:D2765)</f>
        <v>10565913.780000033</v>
      </c>
      <c r="H2765" s="11">
        <f t="shared" si="43"/>
        <v>0.9905527567085779</v>
      </c>
    </row>
    <row r="2766" spans="1:8" ht="15" customHeight="1" x14ac:dyDescent="0.25">
      <c r="A2766" s="5">
        <v>2760</v>
      </c>
      <c r="B2766" s="10" t="s">
        <v>5451</v>
      </c>
      <c r="C2766" s="10" t="s">
        <v>5452</v>
      </c>
      <c r="D2766" s="7">
        <v>228.75</v>
      </c>
      <c r="E2766" s="5">
        <v>183</v>
      </c>
      <c r="F2766" s="5">
        <v>26</v>
      </c>
      <c r="G2766" s="12">
        <f>SUM($D$7:D2766)</f>
        <v>10566142.530000033</v>
      </c>
      <c r="H2766" s="11">
        <f t="shared" si="43"/>
        <v>0.99057420198513557</v>
      </c>
    </row>
    <row r="2767" spans="1:8" ht="15" customHeight="1" x14ac:dyDescent="0.25">
      <c r="A2767" s="5">
        <v>2761</v>
      </c>
      <c r="B2767" s="10" t="s">
        <v>5453</v>
      </c>
      <c r="C2767" s="10" t="s">
        <v>5454</v>
      </c>
      <c r="D2767" s="7">
        <v>227.89</v>
      </c>
      <c r="E2767" s="5">
        <v>25</v>
      </c>
      <c r="F2767" s="5">
        <v>16</v>
      </c>
      <c r="G2767" s="12">
        <f>SUM($D$7:D2767)</f>
        <v>10566370.420000033</v>
      </c>
      <c r="H2767" s="11">
        <f t="shared" si="43"/>
        <v>0.99059556663682846</v>
      </c>
    </row>
    <row r="2768" spans="1:8" ht="15" customHeight="1" x14ac:dyDescent="0.25">
      <c r="A2768" s="5">
        <v>2762</v>
      </c>
      <c r="B2768" s="10" t="s">
        <v>5455</v>
      </c>
      <c r="C2768" s="10" t="s">
        <v>5456</v>
      </c>
      <c r="D2768" s="7">
        <v>227.6</v>
      </c>
      <c r="E2768" s="5">
        <v>79</v>
      </c>
      <c r="F2768" s="5">
        <v>34</v>
      </c>
      <c r="G2768" s="12">
        <f>SUM($D$7:D2768)</f>
        <v>10566598.020000033</v>
      </c>
      <c r="H2768" s="11">
        <f t="shared" si="43"/>
        <v>0.99061690410106684</v>
      </c>
    </row>
    <row r="2769" spans="1:8" ht="15" customHeight="1" x14ac:dyDescent="0.25">
      <c r="A2769" s="5">
        <v>2763</v>
      </c>
      <c r="B2769" s="10" t="s">
        <v>5457</v>
      </c>
      <c r="C2769" s="10" t="s">
        <v>5458</v>
      </c>
      <c r="D2769" s="7">
        <v>226.2</v>
      </c>
      <c r="E2769" s="5">
        <v>542</v>
      </c>
      <c r="F2769" s="5">
        <v>53</v>
      </c>
      <c r="G2769" s="12">
        <f>SUM($D$7:D2769)</f>
        <v>10566824.220000032</v>
      </c>
      <c r="H2769" s="11">
        <f t="shared" si="43"/>
        <v>0.99063811031552518</v>
      </c>
    </row>
    <row r="2770" spans="1:8" ht="15" customHeight="1" x14ac:dyDescent="0.25">
      <c r="A2770" s="5">
        <v>2764</v>
      </c>
      <c r="B2770" s="10" t="s">
        <v>5459</v>
      </c>
      <c r="C2770" s="10" t="s">
        <v>5460</v>
      </c>
      <c r="D2770" s="7">
        <v>225.84</v>
      </c>
      <c r="E2770" s="5">
        <v>77</v>
      </c>
      <c r="F2770" s="5">
        <v>31</v>
      </c>
      <c r="G2770" s="12">
        <f>SUM($D$7:D2770)</f>
        <v>10567050.060000032</v>
      </c>
      <c r="H2770" s="11">
        <f t="shared" si="43"/>
        <v>0.99065928278004012</v>
      </c>
    </row>
    <row r="2771" spans="1:8" ht="15" customHeight="1" x14ac:dyDescent="0.25">
      <c r="A2771" s="5">
        <v>2765</v>
      </c>
      <c r="B2771" s="10" t="s">
        <v>5461</v>
      </c>
      <c r="C2771" s="10" t="s">
        <v>5462</v>
      </c>
      <c r="D2771" s="7">
        <v>225.59</v>
      </c>
      <c r="E2771" s="5">
        <v>504</v>
      </c>
      <c r="F2771" s="5">
        <v>80</v>
      </c>
      <c r="G2771" s="12">
        <f>SUM($D$7:D2771)</f>
        <v>10567275.650000032</v>
      </c>
      <c r="H2771" s="11">
        <f t="shared" si="43"/>
        <v>0.99068043180709431</v>
      </c>
    </row>
    <row r="2772" spans="1:8" ht="15" customHeight="1" x14ac:dyDescent="0.25">
      <c r="A2772" s="5">
        <v>2766</v>
      </c>
      <c r="B2772" s="10" t="s">
        <v>5463</v>
      </c>
      <c r="C2772" s="10" t="s">
        <v>821</v>
      </c>
      <c r="D2772" s="7">
        <v>225.32</v>
      </c>
      <c r="E2772" s="5">
        <v>18</v>
      </c>
      <c r="F2772" s="5">
        <v>14</v>
      </c>
      <c r="G2772" s="12">
        <f>SUM($D$7:D2772)</f>
        <v>10567500.970000032</v>
      </c>
      <c r="H2772" s="11">
        <f t="shared" si="43"/>
        <v>0.99070155552169104</v>
      </c>
    </row>
    <row r="2773" spans="1:8" ht="15" customHeight="1" x14ac:dyDescent="0.25">
      <c r="A2773" s="5">
        <v>2767</v>
      </c>
      <c r="B2773" s="10" t="s">
        <v>606</v>
      </c>
      <c r="C2773" s="10" t="s">
        <v>5464</v>
      </c>
      <c r="D2773" s="7">
        <v>225</v>
      </c>
      <c r="E2773" s="5">
        <v>120</v>
      </c>
      <c r="F2773" s="5">
        <v>18</v>
      </c>
      <c r="G2773" s="12">
        <f>SUM($D$7:D2773)</f>
        <v>10567725.970000032</v>
      </c>
      <c r="H2773" s="11">
        <f t="shared" si="43"/>
        <v>0.9907226492363379</v>
      </c>
    </row>
    <row r="2774" spans="1:8" ht="15" customHeight="1" x14ac:dyDescent="0.25">
      <c r="A2774" s="5">
        <v>2768</v>
      </c>
      <c r="B2774" s="10" t="s">
        <v>5465</v>
      </c>
      <c r="C2774" s="10" t="s">
        <v>5466</v>
      </c>
      <c r="D2774" s="7">
        <v>224.12</v>
      </c>
      <c r="E2774" s="5">
        <v>45</v>
      </c>
      <c r="F2774" s="5">
        <v>35</v>
      </c>
      <c r="G2774" s="12">
        <f>SUM($D$7:D2774)</f>
        <v>10567950.090000032</v>
      </c>
      <c r="H2774" s="11">
        <f t="shared" si="43"/>
        <v>0.99074366045112305</v>
      </c>
    </row>
    <row r="2775" spans="1:8" ht="15" customHeight="1" x14ac:dyDescent="0.25">
      <c r="A2775" s="5">
        <v>2769</v>
      </c>
      <c r="B2775" s="10" t="s">
        <v>5467</v>
      </c>
      <c r="C2775" s="10" t="s">
        <v>5468</v>
      </c>
      <c r="D2775" s="7">
        <v>223.46</v>
      </c>
      <c r="E2775" s="5">
        <v>30</v>
      </c>
      <c r="F2775" s="5">
        <v>17</v>
      </c>
      <c r="G2775" s="12">
        <f>SUM($D$7:D2775)</f>
        <v>10568173.550000032</v>
      </c>
      <c r="H2775" s="11">
        <f t="shared" si="43"/>
        <v>0.990764609791012</v>
      </c>
    </row>
    <row r="2776" spans="1:8" ht="15" customHeight="1" x14ac:dyDescent="0.25">
      <c r="A2776" s="5">
        <v>2770</v>
      </c>
      <c r="B2776" s="10" t="s">
        <v>5469</v>
      </c>
      <c r="C2776" s="10" t="s">
        <v>5470</v>
      </c>
      <c r="D2776" s="7">
        <v>223.11</v>
      </c>
      <c r="E2776" s="5">
        <v>123</v>
      </c>
      <c r="F2776" s="5">
        <v>41</v>
      </c>
      <c r="G2776" s="12">
        <f>SUM($D$7:D2776)</f>
        <v>10568396.660000032</v>
      </c>
      <c r="H2776" s="11">
        <f t="shared" si="43"/>
        <v>0.99078552631845584</v>
      </c>
    </row>
    <row r="2777" spans="1:8" ht="15" customHeight="1" x14ac:dyDescent="0.25">
      <c r="A2777" s="5">
        <v>2771</v>
      </c>
      <c r="B2777" s="10" t="s">
        <v>5471</v>
      </c>
      <c r="C2777" s="10" t="s">
        <v>5472</v>
      </c>
      <c r="D2777" s="7">
        <v>222.96</v>
      </c>
      <c r="E2777" s="5">
        <v>30</v>
      </c>
      <c r="F2777" s="5">
        <v>24</v>
      </c>
      <c r="G2777" s="12">
        <f>SUM($D$7:D2777)</f>
        <v>10568619.620000033</v>
      </c>
      <c r="H2777" s="11">
        <f t="shared" si="43"/>
        <v>0.9908064287834234</v>
      </c>
    </row>
    <row r="2778" spans="1:8" ht="15" customHeight="1" x14ac:dyDescent="0.25">
      <c r="A2778" s="5">
        <v>2772</v>
      </c>
      <c r="B2778" s="10" t="s">
        <v>5473</v>
      </c>
      <c r="C2778" s="10" t="s">
        <v>5474</v>
      </c>
      <c r="D2778" s="7">
        <v>222.22</v>
      </c>
      <c r="E2778" s="5">
        <v>171</v>
      </c>
      <c r="F2778" s="5">
        <v>25</v>
      </c>
      <c r="G2778" s="12">
        <f>SUM($D$7:D2778)</f>
        <v>10568841.840000033</v>
      </c>
      <c r="H2778" s="11">
        <f t="shared" si="43"/>
        <v>0.99082726187350723</v>
      </c>
    </row>
    <row r="2779" spans="1:8" ht="15" customHeight="1" x14ac:dyDescent="0.25">
      <c r="A2779" s="5">
        <v>2773</v>
      </c>
      <c r="B2779" s="10" t="s">
        <v>5475</v>
      </c>
      <c r="C2779" s="10" t="s">
        <v>5476</v>
      </c>
      <c r="D2779" s="7">
        <v>221.8</v>
      </c>
      <c r="E2779" s="5">
        <v>25</v>
      </c>
      <c r="F2779" s="5">
        <v>17</v>
      </c>
      <c r="G2779" s="12">
        <f>SUM($D$7:D2779)</f>
        <v>10569063.640000034</v>
      </c>
      <c r="H2779" s="11">
        <f t="shared" si="43"/>
        <v>0.99084805558865707</v>
      </c>
    </row>
    <row r="2780" spans="1:8" ht="15" customHeight="1" x14ac:dyDescent="0.25">
      <c r="A2780" s="5">
        <v>2774</v>
      </c>
      <c r="B2780" s="10" t="s">
        <v>5477</v>
      </c>
      <c r="C2780" s="10" t="s">
        <v>5478</v>
      </c>
      <c r="D2780" s="7">
        <v>221.65</v>
      </c>
      <c r="E2780" s="5">
        <v>38</v>
      </c>
      <c r="F2780" s="5">
        <v>25</v>
      </c>
      <c r="G2780" s="12">
        <f>SUM($D$7:D2780)</f>
        <v>10569285.290000034</v>
      </c>
      <c r="H2780" s="11">
        <f t="shared" si="43"/>
        <v>0.9908688352413304</v>
      </c>
    </row>
    <row r="2781" spans="1:8" ht="15" customHeight="1" x14ac:dyDescent="0.25">
      <c r="A2781" s="5">
        <v>2775</v>
      </c>
      <c r="B2781" s="10" t="s">
        <v>5479</v>
      </c>
      <c r="C2781" s="10" t="s">
        <v>5480</v>
      </c>
      <c r="D2781" s="7">
        <v>221.25</v>
      </c>
      <c r="E2781" s="5">
        <v>129</v>
      </c>
      <c r="F2781" s="5">
        <v>16</v>
      </c>
      <c r="G2781" s="12">
        <f>SUM($D$7:D2781)</f>
        <v>10569506.540000034</v>
      </c>
      <c r="H2781" s="11">
        <f t="shared" si="43"/>
        <v>0.99088957739406658</v>
      </c>
    </row>
    <row r="2782" spans="1:8" ht="15" customHeight="1" x14ac:dyDescent="0.25">
      <c r="A2782" s="5">
        <v>2776</v>
      </c>
      <c r="B2782" s="10" t="s">
        <v>5481</v>
      </c>
      <c r="C2782" s="10" t="s">
        <v>5482</v>
      </c>
      <c r="D2782" s="7">
        <v>220.04</v>
      </c>
      <c r="E2782" s="5">
        <v>152</v>
      </c>
      <c r="F2782" s="5">
        <v>33</v>
      </c>
      <c r="G2782" s="12">
        <f>SUM($D$7:D2782)</f>
        <v>10569726.580000034</v>
      </c>
      <c r="H2782" s="11">
        <f t="shared" si="43"/>
        <v>0.99091020610949276</v>
      </c>
    </row>
    <row r="2783" spans="1:8" ht="15" customHeight="1" x14ac:dyDescent="0.25">
      <c r="A2783" s="5">
        <v>2777</v>
      </c>
      <c r="B2783" s="10" t="s">
        <v>5483</v>
      </c>
      <c r="C2783" s="10" t="s">
        <v>5484</v>
      </c>
      <c r="D2783" s="7">
        <v>219.66</v>
      </c>
      <c r="E2783" s="5">
        <v>196</v>
      </c>
      <c r="F2783" s="5">
        <v>40</v>
      </c>
      <c r="G2783" s="12">
        <f>SUM($D$7:D2783)</f>
        <v>10569946.240000034</v>
      </c>
      <c r="H2783" s="11">
        <f t="shared" si="43"/>
        <v>0.99093079919997873</v>
      </c>
    </row>
    <row r="2784" spans="1:8" ht="15" customHeight="1" x14ac:dyDescent="0.25">
      <c r="A2784" s="5">
        <v>2778</v>
      </c>
      <c r="B2784" s="10" t="s">
        <v>5485</v>
      </c>
      <c r="C2784" s="10" t="s">
        <v>5486</v>
      </c>
      <c r="D2784" s="7">
        <v>219.35</v>
      </c>
      <c r="E2784" s="5">
        <v>458</v>
      </c>
      <c r="F2784" s="5">
        <v>46</v>
      </c>
      <c r="G2784" s="12">
        <f>SUM($D$7:D2784)</f>
        <v>10570165.590000033</v>
      </c>
      <c r="H2784" s="11">
        <f t="shared" si="43"/>
        <v>0.99095136322801336</v>
      </c>
    </row>
    <row r="2785" spans="1:8" ht="15" customHeight="1" x14ac:dyDescent="0.25">
      <c r="A2785" s="5">
        <v>2779</v>
      </c>
      <c r="B2785" s="10" t="s">
        <v>5487</v>
      </c>
      <c r="C2785" s="10" t="s">
        <v>5488</v>
      </c>
      <c r="D2785" s="7">
        <v>218.87</v>
      </c>
      <c r="E2785" s="5">
        <v>459</v>
      </c>
      <c r="F2785" s="5">
        <v>13</v>
      </c>
      <c r="G2785" s="12">
        <f>SUM($D$7:D2785)</f>
        <v>10570384.460000033</v>
      </c>
      <c r="H2785" s="11">
        <f t="shared" si="43"/>
        <v>0.99097188225612343</v>
      </c>
    </row>
    <row r="2786" spans="1:8" ht="15" customHeight="1" x14ac:dyDescent="0.25">
      <c r="A2786" s="5">
        <v>2780</v>
      </c>
      <c r="B2786" s="10" t="s">
        <v>5489</v>
      </c>
      <c r="C2786" s="10" t="s">
        <v>5490</v>
      </c>
      <c r="D2786" s="7">
        <v>217.89</v>
      </c>
      <c r="E2786" s="5">
        <v>142</v>
      </c>
      <c r="F2786" s="5">
        <v>34</v>
      </c>
      <c r="G2786" s="12">
        <f>SUM($D$7:D2786)</f>
        <v>10570602.350000033</v>
      </c>
      <c r="H2786" s="11">
        <f t="shared" si="43"/>
        <v>0.99099230940938754</v>
      </c>
    </row>
    <row r="2787" spans="1:8" ht="15" customHeight="1" x14ac:dyDescent="0.25">
      <c r="A2787" s="5">
        <v>2781</v>
      </c>
      <c r="B2787" s="10" t="s">
        <v>5491</v>
      </c>
      <c r="C2787" s="10" t="s">
        <v>5492</v>
      </c>
      <c r="D2787" s="7">
        <v>217.68</v>
      </c>
      <c r="E2787" s="5">
        <v>160</v>
      </c>
      <c r="F2787" s="5">
        <v>15</v>
      </c>
      <c r="G2787" s="12">
        <f>SUM($D$7:D2787)</f>
        <v>10570820.030000033</v>
      </c>
      <c r="H2787" s="11">
        <f t="shared" si="43"/>
        <v>0.99101271687518455</v>
      </c>
    </row>
    <row r="2788" spans="1:8" ht="15" customHeight="1" x14ac:dyDescent="0.25">
      <c r="A2788" s="5">
        <v>2782</v>
      </c>
      <c r="B2788" s="10" t="s">
        <v>5493</v>
      </c>
      <c r="C2788" s="10" t="s">
        <v>5494</v>
      </c>
      <c r="D2788" s="7">
        <v>217.58</v>
      </c>
      <c r="E2788" s="5">
        <v>52</v>
      </c>
      <c r="F2788" s="5">
        <v>18</v>
      </c>
      <c r="G2788" s="12">
        <f>SUM($D$7:D2788)</f>
        <v>10571037.610000033</v>
      </c>
      <c r="H2788" s="11">
        <f t="shared" si="43"/>
        <v>0.99103311496599744</v>
      </c>
    </row>
    <row r="2789" spans="1:8" ht="15" customHeight="1" x14ac:dyDescent="0.25">
      <c r="A2789" s="5">
        <v>2783</v>
      </c>
      <c r="B2789" s="10" t="s">
        <v>5495</v>
      </c>
      <c r="C2789" s="10" t="s">
        <v>5496</v>
      </c>
      <c r="D2789" s="7">
        <v>217.56</v>
      </c>
      <c r="E2789" s="5">
        <v>80</v>
      </c>
      <c r="F2789" s="5">
        <v>34</v>
      </c>
      <c r="G2789" s="12">
        <f>SUM($D$7:D2789)</f>
        <v>10571255.170000033</v>
      </c>
      <c r="H2789" s="11">
        <f t="shared" si="43"/>
        <v>0.9910535111818134</v>
      </c>
    </row>
    <row r="2790" spans="1:8" ht="15" customHeight="1" x14ac:dyDescent="0.25">
      <c r="A2790" s="5">
        <v>2784</v>
      </c>
      <c r="B2790" s="10" t="s">
        <v>5497</v>
      </c>
      <c r="C2790" s="10" t="s">
        <v>5498</v>
      </c>
      <c r="D2790" s="7">
        <v>217.36</v>
      </c>
      <c r="E2790" s="5">
        <v>44</v>
      </c>
      <c r="F2790" s="5">
        <v>22</v>
      </c>
      <c r="G2790" s="12">
        <f>SUM($D$7:D2790)</f>
        <v>10571472.530000033</v>
      </c>
      <c r="H2790" s="11">
        <f t="shared" si="43"/>
        <v>0.99107388864766066</v>
      </c>
    </row>
    <row r="2791" spans="1:8" ht="15" customHeight="1" x14ac:dyDescent="0.25">
      <c r="A2791" s="5">
        <v>2785</v>
      </c>
      <c r="B2791" s="10" t="s">
        <v>5499</v>
      </c>
      <c r="C2791" s="10" t="s">
        <v>5500</v>
      </c>
      <c r="D2791" s="7">
        <v>217.29</v>
      </c>
      <c r="E2791" s="5">
        <v>237</v>
      </c>
      <c r="F2791" s="5">
        <v>55</v>
      </c>
      <c r="G2791" s="12">
        <f>SUM($D$7:D2791)</f>
        <v>10571689.820000032</v>
      </c>
      <c r="H2791" s="11">
        <f t="shared" si="43"/>
        <v>0.99109425955101904</v>
      </c>
    </row>
    <row r="2792" spans="1:8" ht="15" customHeight="1" x14ac:dyDescent="0.25">
      <c r="A2792" s="5">
        <v>2786</v>
      </c>
      <c r="B2792" s="10" t="s">
        <v>4971</v>
      </c>
      <c r="C2792" s="10" t="s">
        <v>5501</v>
      </c>
      <c r="D2792" s="7">
        <v>216.47</v>
      </c>
      <c r="E2792" s="5">
        <v>152</v>
      </c>
      <c r="F2792" s="5">
        <v>34</v>
      </c>
      <c r="G2792" s="12">
        <f>SUM($D$7:D2792)</f>
        <v>10571906.290000033</v>
      </c>
      <c r="H2792" s="11">
        <f t="shared" si="43"/>
        <v>0.99111455357950629</v>
      </c>
    </row>
    <row r="2793" spans="1:8" ht="15" customHeight="1" x14ac:dyDescent="0.25">
      <c r="A2793" s="5">
        <v>2787</v>
      </c>
      <c r="B2793" s="10" t="s">
        <v>2154</v>
      </c>
      <c r="C2793" s="10" t="s">
        <v>5502</v>
      </c>
      <c r="D2793" s="7">
        <v>216.3</v>
      </c>
      <c r="E2793" s="5">
        <v>122</v>
      </c>
      <c r="F2793" s="5">
        <v>7</v>
      </c>
      <c r="G2793" s="12">
        <f>SUM($D$7:D2793)</f>
        <v>10572122.590000033</v>
      </c>
      <c r="H2793" s="11">
        <f t="shared" si="43"/>
        <v>0.9911348316705203</v>
      </c>
    </row>
    <row r="2794" spans="1:8" ht="15" customHeight="1" x14ac:dyDescent="0.25">
      <c r="A2794" s="5">
        <v>2788</v>
      </c>
      <c r="B2794" s="10" t="s">
        <v>5503</v>
      </c>
      <c r="C2794" s="10" t="s">
        <v>5504</v>
      </c>
      <c r="D2794" s="7">
        <v>216.06</v>
      </c>
      <c r="E2794" s="5">
        <v>282</v>
      </c>
      <c r="F2794" s="5">
        <v>25</v>
      </c>
      <c r="G2794" s="12">
        <f>SUM($D$7:D2794)</f>
        <v>10572338.650000034</v>
      </c>
      <c r="H2794" s="11">
        <f t="shared" si="43"/>
        <v>0.99115508726157198</v>
      </c>
    </row>
    <row r="2795" spans="1:8" ht="15" customHeight="1" x14ac:dyDescent="0.25">
      <c r="A2795" s="5">
        <v>2789</v>
      </c>
      <c r="B2795" s="10" t="s">
        <v>5505</v>
      </c>
      <c r="C2795" s="10" t="s">
        <v>5506</v>
      </c>
      <c r="D2795" s="7">
        <v>215.68</v>
      </c>
      <c r="E2795" s="5">
        <v>121</v>
      </c>
      <c r="F2795" s="5">
        <v>41</v>
      </c>
      <c r="G2795" s="12">
        <f>SUM($D$7:D2795)</f>
        <v>10572554.330000034</v>
      </c>
      <c r="H2795" s="11">
        <f t="shared" si="43"/>
        <v>0.99117530722768321</v>
      </c>
    </row>
    <row r="2796" spans="1:8" ht="15" customHeight="1" x14ac:dyDescent="0.25">
      <c r="A2796" s="5">
        <v>2790</v>
      </c>
      <c r="B2796" s="10" t="s">
        <v>5507</v>
      </c>
      <c r="C2796" s="10" t="s">
        <v>5508</v>
      </c>
      <c r="D2796" s="7">
        <v>215.2</v>
      </c>
      <c r="E2796" s="5">
        <v>51</v>
      </c>
      <c r="F2796" s="5">
        <v>22</v>
      </c>
      <c r="G2796" s="12">
        <f>SUM($D$7:D2796)</f>
        <v>10572769.530000033</v>
      </c>
      <c r="H2796" s="11">
        <f t="shared" si="43"/>
        <v>0.99119548219386988</v>
      </c>
    </row>
    <row r="2797" spans="1:8" ht="15" customHeight="1" x14ac:dyDescent="0.25">
      <c r="A2797" s="5">
        <v>2791</v>
      </c>
      <c r="B2797" s="10" t="s">
        <v>5509</v>
      </c>
      <c r="C2797" s="10" t="s">
        <v>5510</v>
      </c>
      <c r="D2797" s="7">
        <v>214.19</v>
      </c>
      <c r="E2797" s="5">
        <v>504</v>
      </c>
      <c r="F2797" s="5">
        <v>58</v>
      </c>
      <c r="G2797" s="12">
        <f>SUM($D$7:D2797)</f>
        <v>10572983.720000032</v>
      </c>
      <c r="H2797" s="11">
        <f t="shared" si="43"/>
        <v>0.99121556247271536</v>
      </c>
    </row>
    <row r="2798" spans="1:8" ht="15" customHeight="1" x14ac:dyDescent="0.25">
      <c r="A2798" s="5">
        <v>2792</v>
      </c>
      <c r="B2798" s="10" t="s">
        <v>5511</v>
      </c>
      <c r="C2798" s="10" t="s">
        <v>5512</v>
      </c>
      <c r="D2798" s="7">
        <v>213.83</v>
      </c>
      <c r="E2798" s="5">
        <v>134</v>
      </c>
      <c r="F2798" s="5">
        <v>54</v>
      </c>
      <c r="G2798" s="12">
        <f>SUM($D$7:D2798)</f>
        <v>10573197.550000032</v>
      </c>
      <c r="H2798" s="11">
        <f t="shared" si="43"/>
        <v>0.99123560900161733</v>
      </c>
    </row>
    <row r="2799" spans="1:8" ht="15" customHeight="1" x14ac:dyDescent="0.25">
      <c r="A2799" s="5">
        <v>2793</v>
      </c>
      <c r="B2799" s="10" t="s">
        <v>5513</v>
      </c>
      <c r="C2799" s="10" t="s">
        <v>5514</v>
      </c>
      <c r="D2799" s="7">
        <v>213.7</v>
      </c>
      <c r="E2799" s="5">
        <v>108</v>
      </c>
      <c r="F2799" s="5">
        <v>42</v>
      </c>
      <c r="G2799" s="12">
        <f>SUM($D$7:D2799)</f>
        <v>10573411.250000032</v>
      </c>
      <c r="H2799" s="11">
        <f t="shared" si="43"/>
        <v>0.99125564334303973</v>
      </c>
    </row>
    <row r="2800" spans="1:8" ht="15" customHeight="1" x14ac:dyDescent="0.25">
      <c r="A2800" s="5">
        <v>2794</v>
      </c>
      <c r="B2800" s="10" t="s">
        <v>5515</v>
      </c>
      <c r="C2800" s="10" t="s">
        <v>5516</v>
      </c>
      <c r="D2800" s="7">
        <v>211.76</v>
      </c>
      <c r="E2800" s="5">
        <v>143</v>
      </c>
      <c r="F2800" s="5">
        <v>34</v>
      </c>
      <c r="G2800" s="12">
        <f>SUM($D$7:D2800)</f>
        <v>10573623.010000031</v>
      </c>
      <c r="H2800" s="11">
        <f t="shared" si="43"/>
        <v>0.99127549580976693</v>
      </c>
    </row>
    <row r="2801" spans="1:8" ht="15" customHeight="1" x14ac:dyDescent="0.25">
      <c r="A2801" s="5">
        <v>2795</v>
      </c>
      <c r="B2801" s="10" t="s">
        <v>5517</v>
      </c>
      <c r="C2801" s="10" t="s">
        <v>5518</v>
      </c>
      <c r="D2801" s="7">
        <v>211.43</v>
      </c>
      <c r="E2801" s="5">
        <v>50</v>
      </c>
      <c r="F2801" s="5">
        <v>26</v>
      </c>
      <c r="G2801" s="12">
        <f>SUM($D$7:D2801)</f>
        <v>10573834.440000031</v>
      </c>
      <c r="H2801" s="11">
        <f t="shared" si="43"/>
        <v>0.99129531733904608</v>
      </c>
    </row>
    <row r="2802" spans="1:8" ht="15" customHeight="1" x14ac:dyDescent="0.25">
      <c r="A2802" s="5">
        <v>2796</v>
      </c>
      <c r="B2802" s="10" t="s">
        <v>5519</v>
      </c>
      <c r="C2802" s="10" t="s">
        <v>5520</v>
      </c>
      <c r="D2802" s="7">
        <v>210.61</v>
      </c>
      <c r="E2802" s="5">
        <v>169</v>
      </c>
      <c r="F2802" s="5">
        <v>30</v>
      </c>
      <c r="G2802" s="12">
        <f>SUM($D$7:D2802)</f>
        <v>10574045.050000031</v>
      </c>
      <c r="H2802" s="11">
        <f t="shared" si="43"/>
        <v>0.99131506199345398</v>
      </c>
    </row>
    <row r="2803" spans="1:8" ht="15" customHeight="1" x14ac:dyDescent="0.25">
      <c r="A2803" s="5">
        <v>2797</v>
      </c>
      <c r="B2803" s="10" t="s">
        <v>5521</v>
      </c>
      <c r="C2803" s="10" t="s">
        <v>5522</v>
      </c>
      <c r="D2803" s="7">
        <v>210.56</v>
      </c>
      <c r="E2803" s="5">
        <v>144</v>
      </c>
      <c r="F2803" s="5">
        <v>21</v>
      </c>
      <c r="G2803" s="12">
        <f>SUM($D$7:D2803)</f>
        <v>10574255.610000031</v>
      </c>
      <c r="H2803" s="11">
        <f t="shared" si="43"/>
        <v>0.99133480196036983</v>
      </c>
    </row>
    <row r="2804" spans="1:8" ht="15" customHeight="1" x14ac:dyDescent="0.25">
      <c r="A2804" s="5">
        <v>2798</v>
      </c>
      <c r="B2804" s="10" t="s">
        <v>5523</v>
      </c>
      <c r="C2804" s="10" t="s">
        <v>5524</v>
      </c>
      <c r="D2804" s="7">
        <v>210.55</v>
      </c>
      <c r="E2804" s="5">
        <v>34</v>
      </c>
      <c r="F2804" s="5">
        <v>18</v>
      </c>
      <c r="G2804" s="12">
        <f>SUM($D$7:D2804)</f>
        <v>10574466.160000032</v>
      </c>
      <c r="H2804" s="11">
        <f t="shared" si="43"/>
        <v>0.99135454098978726</v>
      </c>
    </row>
    <row r="2805" spans="1:8" ht="15" customHeight="1" x14ac:dyDescent="0.25">
      <c r="A2805" s="5">
        <v>2799</v>
      </c>
      <c r="B2805" s="10" t="s">
        <v>5525</v>
      </c>
      <c r="C2805" s="10" t="s">
        <v>5526</v>
      </c>
      <c r="D2805" s="7">
        <v>210.52</v>
      </c>
      <c r="E2805" s="5">
        <v>604</v>
      </c>
      <c r="F2805" s="5">
        <v>35</v>
      </c>
      <c r="G2805" s="12">
        <f>SUM($D$7:D2805)</f>
        <v>10574676.680000031</v>
      </c>
      <c r="H2805" s="11">
        <f t="shared" si="43"/>
        <v>0.99137427720670934</v>
      </c>
    </row>
    <row r="2806" spans="1:8" ht="15" customHeight="1" x14ac:dyDescent="0.25">
      <c r="A2806" s="5">
        <v>2800</v>
      </c>
      <c r="B2806" s="10" t="s">
        <v>5527</v>
      </c>
      <c r="C2806" s="10" t="s">
        <v>5528</v>
      </c>
      <c r="D2806" s="7">
        <v>210.04</v>
      </c>
      <c r="E2806" s="5">
        <v>23</v>
      </c>
      <c r="F2806" s="5">
        <v>20</v>
      </c>
      <c r="G2806" s="12">
        <f>SUM($D$7:D2806)</f>
        <v>10574886.72000003</v>
      </c>
      <c r="H2806" s="11">
        <f t="shared" si="43"/>
        <v>0.99139396842370675</v>
      </c>
    </row>
    <row r="2807" spans="1:8" ht="15" customHeight="1" x14ac:dyDescent="0.25">
      <c r="A2807" s="5">
        <v>2801</v>
      </c>
      <c r="B2807" s="10" t="s">
        <v>1352</v>
      </c>
      <c r="C2807" s="10" t="s">
        <v>5529</v>
      </c>
      <c r="D2807" s="7">
        <v>210</v>
      </c>
      <c r="E2807" s="5">
        <v>100</v>
      </c>
      <c r="F2807" s="5">
        <v>1</v>
      </c>
      <c r="G2807" s="12">
        <f>SUM($D$7:D2807)</f>
        <v>10575096.72000003</v>
      </c>
      <c r="H2807" s="11">
        <f t="shared" si="43"/>
        <v>0.99141365589071062</v>
      </c>
    </row>
    <row r="2808" spans="1:8" ht="15" customHeight="1" x14ac:dyDescent="0.25">
      <c r="A2808" s="5">
        <v>2802</v>
      </c>
      <c r="B2808" s="10" t="s">
        <v>5530</v>
      </c>
      <c r="C2808" s="10" t="s">
        <v>5531</v>
      </c>
      <c r="D2808" s="7">
        <v>209.73</v>
      </c>
      <c r="E2808" s="5">
        <v>30</v>
      </c>
      <c r="F2808" s="5">
        <v>12</v>
      </c>
      <c r="G2808" s="12">
        <f>SUM($D$7:D2808)</f>
        <v>10575306.450000031</v>
      </c>
      <c r="H2808" s="11">
        <f t="shared" si="43"/>
        <v>0.99143331804525681</v>
      </c>
    </row>
    <row r="2809" spans="1:8" ht="15" customHeight="1" x14ac:dyDescent="0.25">
      <c r="A2809" s="5">
        <v>2803</v>
      </c>
      <c r="B2809" s="10" t="s">
        <v>5532</v>
      </c>
      <c r="C2809" s="10" t="s">
        <v>5533</v>
      </c>
      <c r="D2809" s="7">
        <v>209.61</v>
      </c>
      <c r="E2809" s="5">
        <v>91</v>
      </c>
      <c r="F2809" s="5">
        <v>24</v>
      </c>
      <c r="G2809" s="12">
        <f>SUM($D$7:D2809)</f>
        <v>10575516.06000003</v>
      </c>
      <c r="H2809" s="11">
        <f t="shared" si="43"/>
        <v>0.99145296894982193</v>
      </c>
    </row>
    <row r="2810" spans="1:8" ht="15" customHeight="1" x14ac:dyDescent="0.25">
      <c r="A2810" s="5">
        <v>2804</v>
      </c>
      <c r="B2810" s="10" t="s">
        <v>5534</v>
      </c>
      <c r="C2810" s="10" t="s">
        <v>5535</v>
      </c>
      <c r="D2810" s="7">
        <v>209.1</v>
      </c>
      <c r="E2810" s="5">
        <v>42</v>
      </c>
      <c r="F2810" s="5">
        <v>25</v>
      </c>
      <c r="G2810" s="12">
        <f>SUM($D$7:D2810)</f>
        <v>10575725.16000003</v>
      </c>
      <c r="H2810" s="11">
        <f t="shared" si="43"/>
        <v>0.99147257204196704</v>
      </c>
    </row>
    <row r="2811" spans="1:8" ht="15" customHeight="1" x14ac:dyDescent="0.25">
      <c r="A2811" s="5">
        <v>2805</v>
      </c>
      <c r="B2811" s="10" t="s">
        <v>5536</v>
      </c>
      <c r="C2811" s="10" t="s">
        <v>5537</v>
      </c>
      <c r="D2811" s="7">
        <v>208.47</v>
      </c>
      <c r="E2811" s="5">
        <v>133</v>
      </c>
      <c r="F2811" s="5">
        <v>11</v>
      </c>
      <c r="G2811" s="12">
        <f>SUM($D$7:D2811)</f>
        <v>10575933.630000031</v>
      </c>
      <c r="H2811" s="11">
        <f t="shared" si="43"/>
        <v>0.99149211607171128</v>
      </c>
    </row>
    <row r="2812" spans="1:8" ht="15" customHeight="1" x14ac:dyDescent="0.25">
      <c r="A2812" s="5">
        <v>2806</v>
      </c>
      <c r="B2812" s="10" t="s">
        <v>5538</v>
      </c>
      <c r="C2812" s="10" t="s">
        <v>5539</v>
      </c>
      <c r="D2812" s="7">
        <v>207.61</v>
      </c>
      <c r="E2812" s="5">
        <v>84</v>
      </c>
      <c r="F2812" s="5">
        <v>36</v>
      </c>
      <c r="G2812" s="12">
        <f>SUM($D$7:D2812)</f>
        <v>10576141.24000003</v>
      </c>
      <c r="H2812" s="11">
        <f t="shared" si="43"/>
        <v>0.99151157947659063</v>
      </c>
    </row>
    <row r="2813" spans="1:8" ht="15" customHeight="1" x14ac:dyDescent="0.25">
      <c r="A2813" s="5">
        <v>2807</v>
      </c>
      <c r="B2813" s="10" t="s">
        <v>5540</v>
      </c>
      <c r="C2813" s="10" t="s">
        <v>5541</v>
      </c>
      <c r="D2813" s="7">
        <v>207.39</v>
      </c>
      <c r="E2813" s="5">
        <v>591</v>
      </c>
      <c r="F2813" s="5">
        <v>26</v>
      </c>
      <c r="G2813" s="12">
        <f>SUM($D$7:D2813)</f>
        <v>10576348.630000031</v>
      </c>
      <c r="H2813" s="11">
        <f t="shared" si="43"/>
        <v>0.99153102225650458</v>
      </c>
    </row>
    <row r="2814" spans="1:8" ht="15" customHeight="1" x14ac:dyDescent="0.25">
      <c r="A2814" s="5">
        <v>2808</v>
      </c>
      <c r="B2814" s="10" t="s">
        <v>5542</v>
      </c>
      <c r="C2814" s="10" t="s">
        <v>5543</v>
      </c>
      <c r="D2814" s="7">
        <v>205.42</v>
      </c>
      <c r="E2814" s="5">
        <v>1461</v>
      </c>
      <c r="F2814" s="5">
        <v>67</v>
      </c>
      <c r="G2814" s="12">
        <f>SUM($D$7:D2814)</f>
        <v>10576554.050000031</v>
      </c>
      <c r="H2814" s="11">
        <f t="shared" si="43"/>
        <v>0.99155028034922799</v>
      </c>
    </row>
    <row r="2815" spans="1:8" ht="15" customHeight="1" x14ac:dyDescent="0.25">
      <c r="A2815" s="5">
        <v>2809</v>
      </c>
      <c r="B2815" s="10" t="s">
        <v>5544</v>
      </c>
      <c r="C2815" s="10" t="s">
        <v>5545</v>
      </c>
      <c r="D2815" s="7">
        <v>205.04</v>
      </c>
      <c r="E2815" s="5">
        <v>73</v>
      </c>
      <c r="F2815" s="5">
        <v>27</v>
      </c>
      <c r="G2815" s="12">
        <f>SUM($D$7:D2815)</f>
        <v>10576759.09000003</v>
      </c>
      <c r="H2815" s="11">
        <f t="shared" si="43"/>
        <v>0.99156950281701106</v>
      </c>
    </row>
    <row r="2816" spans="1:8" ht="15" customHeight="1" x14ac:dyDescent="0.25">
      <c r="A2816" s="5">
        <v>2810</v>
      </c>
      <c r="B2816" s="10" t="s">
        <v>5546</v>
      </c>
      <c r="C2816" s="10" t="s">
        <v>5547</v>
      </c>
      <c r="D2816" s="7">
        <v>204.69</v>
      </c>
      <c r="E2816" s="5">
        <v>237</v>
      </c>
      <c r="F2816" s="5">
        <v>42</v>
      </c>
      <c r="G2816" s="12">
        <f>SUM($D$7:D2816)</f>
        <v>10576963.780000029</v>
      </c>
      <c r="H2816" s="11">
        <f t="shared" si="43"/>
        <v>0.99158869247234915</v>
      </c>
    </row>
    <row r="2817" spans="1:8" ht="15" customHeight="1" x14ac:dyDescent="0.25">
      <c r="A2817" s="5">
        <v>2811</v>
      </c>
      <c r="B2817" s="10" t="s">
        <v>5548</v>
      </c>
      <c r="C2817" s="10" t="s">
        <v>5549</v>
      </c>
      <c r="D2817" s="7">
        <v>204.19</v>
      </c>
      <c r="E2817" s="5">
        <v>75</v>
      </c>
      <c r="F2817" s="5">
        <v>33</v>
      </c>
      <c r="G2817" s="12">
        <f>SUM($D$7:D2817)</f>
        <v>10577167.970000029</v>
      </c>
      <c r="H2817" s="11">
        <f t="shared" si="43"/>
        <v>0.99160783525276575</v>
      </c>
    </row>
    <row r="2818" spans="1:8" ht="15" customHeight="1" x14ac:dyDescent="0.25">
      <c r="A2818" s="5">
        <v>2812</v>
      </c>
      <c r="B2818" s="10" t="s">
        <v>5550</v>
      </c>
      <c r="C2818" s="10" t="s">
        <v>5551</v>
      </c>
      <c r="D2818" s="7">
        <v>203.51</v>
      </c>
      <c r="E2818" s="5">
        <v>131</v>
      </c>
      <c r="F2818" s="5">
        <v>20</v>
      </c>
      <c r="G2818" s="12">
        <f>SUM($D$7:D2818)</f>
        <v>10577371.480000028</v>
      </c>
      <c r="H2818" s="11">
        <f t="shared" si="43"/>
        <v>0.99162691428328931</v>
      </c>
    </row>
    <row r="2819" spans="1:8" ht="15" customHeight="1" x14ac:dyDescent="0.25">
      <c r="A2819" s="5">
        <v>2813</v>
      </c>
      <c r="B2819" s="10" t="s">
        <v>5552</v>
      </c>
      <c r="C2819" s="10" t="s">
        <v>5553</v>
      </c>
      <c r="D2819" s="7">
        <v>203.28</v>
      </c>
      <c r="E2819" s="5">
        <v>840</v>
      </c>
      <c r="F2819" s="5">
        <v>18</v>
      </c>
      <c r="G2819" s="12">
        <f>SUM($D$7:D2819)</f>
        <v>10577574.760000028</v>
      </c>
      <c r="H2819" s="11">
        <f t="shared" si="43"/>
        <v>0.99164597175134894</v>
      </c>
    </row>
    <row r="2820" spans="1:8" ht="15" customHeight="1" x14ac:dyDescent="0.25">
      <c r="A2820" s="5">
        <v>2814</v>
      </c>
      <c r="B2820" s="10" t="s">
        <v>5554</v>
      </c>
      <c r="C2820" s="10" t="s">
        <v>5555</v>
      </c>
      <c r="D2820" s="7">
        <v>203.21</v>
      </c>
      <c r="E2820" s="5">
        <v>114</v>
      </c>
      <c r="F2820" s="5">
        <v>29</v>
      </c>
      <c r="G2820" s="12">
        <f>SUM($D$7:D2820)</f>
        <v>10577777.970000029</v>
      </c>
      <c r="H2820" s="11">
        <f t="shared" si="43"/>
        <v>0.99166502265691969</v>
      </c>
    </row>
    <row r="2821" spans="1:8" ht="15" customHeight="1" x14ac:dyDescent="0.25">
      <c r="A2821" s="5">
        <v>2815</v>
      </c>
      <c r="B2821" s="10" t="s">
        <v>5556</v>
      </c>
      <c r="C2821" s="10" t="s">
        <v>5557</v>
      </c>
      <c r="D2821" s="7">
        <v>203.07</v>
      </c>
      <c r="E2821" s="5">
        <v>41</v>
      </c>
      <c r="F2821" s="5">
        <v>15</v>
      </c>
      <c r="G2821" s="12">
        <f>SUM($D$7:D2821)</f>
        <v>10577981.040000029</v>
      </c>
      <c r="H2821" s="11">
        <f t="shared" si="43"/>
        <v>0.99168406043751245</v>
      </c>
    </row>
    <row r="2822" spans="1:8" ht="15" customHeight="1" x14ac:dyDescent="0.25">
      <c r="A2822" s="5">
        <v>2816</v>
      </c>
      <c r="B2822" s="10" t="s">
        <v>5558</v>
      </c>
      <c r="C2822" s="10" t="s">
        <v>5559</v>
      </c>
      <c r="D2822" s="7">
        <v>202.53</v>
      </c>
      <c r="E2822" s="5">
        <v>219</v>
      </c>
      <c r="F2822" s="5">
        <v>45</v>
      </c>
      <c r="G2822" s="12">
        <f>SUM($D$7:D2822)</f>
        <v>10578183.570000028</v>
      </c>
      <c r="H2822" s="11">
        <f t="shared" si="43"/>
        <v>0.99170304759318983</v>
      </c>
    </row>
    <row r="2823" spans="1:8" ht="15" customHeight="1" x14ac:dyDescent="0.25">
      <c r="A2823" s="5">
        <v>2817</v>
      </c>
      <c r="B2823" s="10" t="s">
        <v>5560</v>
      </c>
      <c r="C2823" s="10" t="s">
        <v>5561</v>
      </c>
      <c r="D2823" s="7">
        <v>202.51</v>
      </c>
      <c r="E2823" s="5">
        <v>69</v>
      </c>
      <c r="F2823" s="5">
        <v>28</v>
      </c>
      <c r="G2823" s="12">
        <f>SUM($D$7:D2823)</f>
        <v>10578386.080000028</v>
      </c>
      <c r="H2823" s="11">
        <f t="shared" ref="H2823:H2886" si="44">G2823/SUM($D$7:$D$4167)</f>
        <v>0.99172203287387051</v>
      </c>
    </row>
    <row r="2824" spans="1:8" ht="15" customHeight="1" x14ac:dyDescent="0.25">
      <c r="A2824" s="5">
        <v>2818</v>
      </c>
      <c r="B2824" s="10" t="s">
        <v>5562</v>
      </c>
      <c r="C2824" s="10" t="s">
        <v>5563</v>
      </c>
      <c r="D2824" s="7">
        <v>202.37</v>
      </c>
      <c r="E2824" s="5">
        <v>504</v>
      </c>
      <c r="F2824" s="5">
        <v>35</v>
      </c>
      <c r="G2824" s="12">
        <f>SUM($D$7:D2824)</f>
        <v>10578588.450000027</v>
      </c>
      <c r="H2824" s="11">
        <f t="shared" si="44"/>
        <v>0.99174100502957308</v>
      </c>
    </row>
    <row r="2825" spans="1:8" ht="15" customHeight="1" x14ac:dyDescent="0.25">
      <c r="A2825" s="5">
        <v>2819</v>
      </c>
      <c r="B2825" s="10" t="s">
        <v>5564</v>
      </c>
      <c r="C2825" s="10" t="s">
        <v>5565</v>
      </c>
      <c r="D2825" s="7">
        <v>201.31</v>
      </c>
      <c r="E2825" s="5">
        <v>106</v>
      </c>
      <c r="F2825" s="5">
        <v>36</v>
      </c>
      <c r="G2825" s="12">
        <f>SUM($D$7:D2825)</f>
        <v>10578789.760000028</v>
      </c>
      <c r="H2825" s="11">
        <f t="shared" si="44"/>
        <v>0.99175987781044239</v>
      </c>
    </row>
    <row r="2826" spans="1:8" ht="15" customHeight="1" x14ac:dyDescent="0.25">
      <c r="A2826" s="5">
        <v>2820</v>
      </c>
      <c r="B2826" s="10" t="s">
        <v>5566</v>
      </c>
      <c r="C2826" s="10" t="s">
        <v>5567</v>
      </c>
      <c r="D2826" s="7">
        <v>200.59</v>
      </c>
      <c r="E2826" s="5">
        <v>99</v>
      </c>
      <c r="F2826" s="5">
        <v>32</v>
      </c>
      <c r="G2826" s="12">
        <f>SUM($D$7:D2826)</f>
        <v>10578990.350000028</v>
      </c>
      <c r="H2826" s="11">
        <f t="shared" si="44"/>
        <v>0.9917786830914247</v>
      </c>
    </row>
    <row r="2827" spans="1:8" ht="15" customHeight="1" x14ac:dyDescent="0.25">
      <c r="A2827" s="5">
        <v>2821</v>
      </c>
      <c r="B2827" s="10" t="s">
        <v>5568</v>
      </c>
      <c r="C2827" s="10" t="s">
        <v>2653</v>
      </c>
      <c r="D2827" s="7">
        <v>200.21</v>
      </c>
      <c r="E2827" s="5">
        <v>8</v>
      </c>
      <c r="F2827" s="5">
        <v>6</v>
      </c>
      <c r="G2827" s="12">
        <f>SUM($D$7:D2827)</f>
        <v>10579190.560000028</v>
      </c>
      <c r="H2827" s="11">
        <f t="shared" si="44"/>
        <v>0.99179745274746689</v>
      </c>
    </row>
    <row r="2828" spans="1:8" ht="15" customHeight="1" x14ac:dyDescent="0.25">
      <c r="A2828" s="5">
        <v>2822</v>
      </c>
      <c r="B2828" s="10" t="s">
        <v>2869</v>
      </c>
      <c r="C2828" s="10" t="s">
        <v>5569</v>
      </c>
      <c r="D2828" s="7">
        <v>199.99</v>
      </c>
      <c r="E2828" s="5">
        <v>141</v>
      </c>
      <c r="F2828" s="5">
        <v>29</v>
      </c>
      <c r="G2828" s="12">
        <f>SUM($D$7:D2828)</f>
        <v>10579390.550000029</v>
      </c>
      <c r="H2828" s="11">
        <f t="shared" si="44"/>
        <v>0.99181620177854346</v>
      </c>
    </row>
    <row r="2829" spans="1:8" ht="15" customHeight="1" x14ac:dyDescent="0.25">
      <c r="A2829" s="5">
        <v>2823</v>
      </c>
      <c r="B2829" s="10" t="s">
        <v>5570</v>
      </c>
      <c r="C2829" s="10" t="s">
        <v>5571</v>
      </c>
      <c r="D2829" s="7">
        <v>199.84</v>
      </c>
      <c r="E2829" s="5">
        <v>108</v>
      </c>
      <c r="F2829" s="5">
        <v>50</v>
      </c>
      <c r="G2829" s="12">
        <f>SUM($D$7:D2829)</f>
        <v>10579590.390000029</v>
      </c>
      <c r="H2829" s="11">
        <f t="shared" si="44"/>
        <v>0.99183493674714374</v>
      </c>
    </row>
    <row r="2830" spans="1:8" ht="15" customHeight="1" x14ac:dyDescent="0.25">
      <c r="A2830" s="5">
        <v>2824</v>
      </c>
      <c r="B2830" s="10" t="s">
        <v>5572</v>
      </c>
      <c r="C2830" s="10" t="s">
        <v>5573</v>
      </c>
      <c r="D2830" s="7">
        <v>199.5</v>
      </c>
      <c r="E2830" s="5">
        <v>475</v>
      </c>
      <c r="F2830" s="5">
        <v>19</v>
      </c>
      <c r="G2830" s="12">
        <f>SUM($D$7:D2830)</f>
        <v>10579789.890000029</v>
      </c>
      <c r="H2830" s="11">
        <f t="shared" si="44"/>
        <v>0.99185363984079733</v>
      </c>
    </row>
    <row r="2831" spans="1:8" ht="15" customHeight="1" x14ac:dyDescent="0.25">
      <c r="A2831" s="5">
        <v>2825</v>
      </c>
      <c r="B2831" s="10" t="s">
        <v>5574</v>
      </c>
      <c r="C2831" s="10" t="s">
        <v>5575</v>
      </c>
      <c r="D2831" s="7">
        <v>199.49</v>
      </c>
      <c r="E2831" s="5">
        <v>171</v>
      </c>
      <c r="F2831" s="5">
        <v>43</v>
      </c>
      <c r="G2831" s="12">
        <f>SUM($D$7:D2831)</f>
        <v>10579989.380000029</v>
      </c>
      <c r="H2831" s="11">
        <f t="shared" si="44"/>
        <v>0.99187234199695251</v>
      </c>
    </row>
    <row r="2832" spans="1:8" ht="15" customHeight="1" x14ac:dyDescent="0.25">
      <c r="A2832" s="5">
        <v>2826</v>
      </c>
      <c r="B2832" s="10" t="s">
        <v>5576</v>
      </c>
      <c r="C2832" s="10" t="s">
        <v>5577</v>
      </c>
      <c r="D2832" s="7">
        <v>198.52</v>
      </c>
      <c r="E2832" s="5">
        <v>152</v>
      </c>
      <c r="F2832" s="5">
        <v>34</v>
      </c>
      <c r="G2832" s="12">
        <f>SUM($D$7:D2832)</f>
        <v>10580187.900000028</v>
      </c>
      <c r="H2832" s="11">
        <f t="shared" si="44"/>
        <v>0.99189095321576004</v>
      </c>
    </row>
    <row r="2833" spans="1:8" ht="15" customHeight="1" x14ac:dyDescent="0.25">
      <c r="A2833" s="5">
        <v>2827</v>
      </c>
      <c r="B2833" s="10" t="s">
        <v>5578</v>
      </c>
      <c r="C2833" s="10" t="s">
        <v>5579</v>
      </c>
      <c r="D2833" s="7">
        <v>197.81</v>
      </c>
      <c r="E2833" s="5">
        <v>37</v>
      </c>
      <c r="F2833" s="5">
        <v>17</v>
      </c>
      <c r="G2833" s="12">
        <f>SUM($D$7:D2833)</f>
        <v>10580385.710000029</v>
      </c>
      <c r="H2833" s="11">
        <f t="shared" si="44"/>
        <v>0.9919094978721793</v>
      </c>
    </row>
    <row r="2834" spans="1:8" ht="15" customHeight="1" x14ac:dyDescent="0.25">
      <c r="A2834" s="5">
        <v>2828</v>
      </c>
      <c r="B2834" s="10" t="s">
        <v>5580</v>
      </c>
      <c r="C2834" s="10" t="s">
        <v>5581</v>
      </c>
      <c r="D2834" s="7">
        <v>197.56</v>
      </c>
      <c r="E2834" s="5">
        <v>102</v>
      </c>
      <c r="F2834" s="5">
        <v>34</v>
      </c>
      <c r="G2834" s="12">
        <f>SUM($D$7:D2834)</f>
        <v>10580583.270000029</v>
      </c>
      <c r="H2834" s="11">
        <f t="shared" si="44"/>
        <v>0.9919280190911377</v>
      </c>
    </row>
    <row r="2835" spans="1:8" ht="15" customHeight="1" x14ac:dyDescent="0.25">
      <c r="A2835" s="5">
        <v>2829</v>
      </c>
      <c r="B2835" s="10" t="s">
        <v>5582</v>
      </c>
      <c r="C2835" s="10" t="s">
        <v>5583</v>
      </c>
      <c r="D2835" s="7">
        <v>197.09</v>
      </c>
      <c r="E2835" s="5">
        <v>38</v>
      </c>
      <c r="F2835" s="5">
        <v>27</v>
      </c>
      <c r="G2835" s="12">
        <f>SUM($D$7:D2835)</f>
        <v>10580780.360000029</v>
      </c>
      <c r="H2835" s="11">
        <f t="shared" si="44"/>
        <v>0.99194649624767006</v>
      </c>
    </row>
    <row r="2836" spans="1:8" ht="15" customHeight="1" x14ac:dyDescent="0.25">
      <c r="A2836" s="5">
        <v>2830</v>
      </c>
      <c r="B2836" s="10" t="s">
        <v>5584</v>
      </c>
      <c r="C2836" s="10" t="s">
        <v>5585</v>
      </c>
      <c r="D2836" s="7">
        <v>196.82</v>
      </c>
      <c r="E2836" s="5">
        <v>327</v>
      </c>
      <c r="F2836" s="5">
        <v>51</v>
      </c>
      <c r="G2836" s="12">
        <f>SUM($D$7:D2836)</f>
        <v>10580977.18000003</v>
      </c>
      <c r="H2836" s="11">
        <f t="shared" si="44"/>
        <v>0.99196494809174474</v>
      </c>
    </row>
    <row r="2837" spans="1:8" ht="15" customHeight="1" x14ac:dyDescent="0.25">
      <c r="A2837" s="5">
        <v>2831</v>
      </c>
      <c r="B2837" s="10" t="s">
        <v>5586</v>
      </c>
      <c r="C2837" s="10" t="s">
        <v>5587</v>
      </c>
      <c r="D2837" s="7">
        <v>196.44</v>
      </c>
      <c r="E2837" s="5">
        <v>816</v>
      </c>
      <c r="F2837" s="5">
        <v>36</v>
      </c>
      <c r="G2837" s="12">
        <f>SUM($D$7:D2837)</f>
        <v>10581173.620000029</v>
      </c>
      <c r="H2837" s="11">
        <f t="shared" si="44"/>
        <v>0.99198336431087908</v>
      </c>
    </row>
    <row r="2838" spans="1:8" ht="15" customHeight="1" x14ac:dyDescent="0.25">
      <c r="A2838" s="5">
        <v>2832</v>
      </c>
      <c r="B2838" s="10" t="s">
        <v>5588</v>
      </c>
      <c r="C2838" s="10" t="s">
        <v>5589</v>
      </c>
      <c r="D2838" s="7">
        <v>195.32</v>
      </c>
      <c r="E2838" s="5">
        <v>52</v>
      </c>
      <c r="F2838" s="5">
        <v>32</v>
      </c>
      <c r="G2838" s="12">
        <f>SUM($D$7:D2838)</f>
        <v>10581368.940000029</v>
      </c>
      <c r="H2838" s="11">
        <f t="shared" si="44"/>
        <v>0.99200167553018959</v>
      </c>
    </row>
    <row r="2839" spans="1:8" ht="15" customHeight="1" x14ac:dyDescent="0.25">
      <c r="A2839" s="5">
        <v>2833</v>
      </c>
      <c r="B2839" s="10" t="s">
        <v>5590</v>
      </c>
      <c r="C2839" s="10" t="s">
        <v>5591</v>
      </c>
      <c r="D2839" s="7">
        <v>195.22</v>
      </c>
      <c r="E2839" s="5">
        <v>430</v>
      </c>
      <c r="F2839" s="5">
        <v>28</v>
      </c>
      <c r="G2839" s="12">
        <f>SUM($D$7:D2839)</f>
        <v>10581564.16000003</v>
      </c>
      <c r="H2839" s="11">
        <f t="shared" si="44"/>
        <v>0.99201997737451575</v>
      </c>
    </row>
    <row r="2840" spans="1:8" ht="15" customHeight="1" x14ac:dyDescent="0.25">
      <c r="A2840" s="5">
        <v>2834</v>
      </c>
      <c r="B2840" s="10" t="s">
        <v>5592</v>
      </c>
      <c r="C2840" s="10" t="s">
        <v>5593</v>
      </c>
      <c r="D2840" s="7">
        <v>194.94</v>
      </c>
      <c r="E2840" s="5">
        <v>93</v>
      </c>
      <c r="F2840" s="5">
        <v>43</v>
      </c>
      <c r="G2840" s="12">
        <f>SUM($D$7:D2840)</f>
        <v>10581759.100000029</v>
      </c>
      <c r="H2840" s="11">
        <f t="shared" si="44"/>
        <v>0.99203825296888581</v>
      </c>
    </row>
    <row r="2841" spans="1:8" ht="15" customHeight="1" x14ac:dyDescent="0.25">
      <c r="A2841" s="5">
        <v>2835</v>
      </c>
      <c r="B2841" s="10" t="s">
        <v>5594</v>
      </c>
      <c r="C2841" s="10" t="s">
        <v>5595</v>
      </c>
      <c r="D2841" s="7">
        <v>194.58</v>
      </c>
      <c r="E2841" s="5">
        <v>456</v>
      </c>
      <c r="F2841" s="5">
        <v>35</v>
      </c>
      <c r="G2841" s="12">
        <f>SUM($D$7:D2841)</f>
        <v>10581953.68000003</v>
      </c>
      <c r="H2841" s="11">
        <f t="shared" si="44"/>
        <v>0.99205649481331248</v>
      </c>
    </row>
    <row r="2842" spans="1:8" ht="15" customHeight="1" x14ac:dyDescent="0.25">
      <c r="A2842" s="5">
        <v>2836</v>
      </c>
      <c r="B2842" s="10" t="s">
        <v>5596</v>
      </c>
      <c r="C2842" s="10" t="s">
        <v>5597</v>
      </c>
      <c r="D2842" s="7">
        <v>194.05</v>
      </c>
      <c r="E2842" s="5">
        <v>99</v>
      </c>
      <c r="F2842" s="5">
        <v>36</v>
      </c>
      <c r="G2842" s="12">
        <f>SUM($D$7:D2842)</f>
        <v>10582147.73000003</v>
      </c>
      <c r="H2842" s="11">
        <f t="shared" si="44"/>
        <v>0.99207468697032242</v>
      </c>
    </row>
    <row r="2843" spans="1:8" ht="15" customHeight="1" x14ac:dyDescent="0.25">
      <c r="A2843" s="5">
        <v>2837</v>
      </c>
      <c r="B2843" s="10" t="s">
        <v>5598</v>
      </c>
      <c r="C2843" s="10" t="s">
        <v>5599</v>
      </c>
      <c r="D2843" s="7">
        <v>193.59</v>
      </c>
      <c r="E2843" s="5">
        <v>152</v>
      </c>
      <c r="F2843" s="5">
        <v>49</v>
      </c>
      <c r="G2843" s="12">
        <f>SUM($D$7:D2843)</f>
        <v>10582341.32000003</v>
      </c>
      <c r="H2843" s="11">
        <f t="shared" si="44"/>
        <v>0.99209283600240472</v>
      </c>
    </row>
    <row r="2844" spans="1:8" ht="15" customHeight="1" x14ac:dyDescent="0.25">
      <c r="A2844" s="5">
        <v>2838</v>
      </c>
      <c r="B2844" s="10" t="s">
        <v>5600</v>
      </c>
      <c r="C2844" s="10" t="s">
        <v>5601</v>
      </c>
      <c r="D2844" s="7">
        <v>193.33</v>
      </c>
      <c r="E2844" s="5">
        <v>46</v>
      </c>
      <c r="F2844" s="5">
        <v>37</v>
      </c>
      <c r="G2844" s="12">
        <f>SUM($D$7:D2844)</f>
        <v>10582534.65000003</v>
      </c>
      <c r="H2844" s="11">
        <f t="shared" si="44"/>
        <v>0.99211096065952775</v>
      </c>
    </row>
    <row r="2845" spans="1:8" ht="15" customHeight="1" x14ac:dyDescent="0.25">
      <c r="A2845" s="5">
        <v>2839</v>
      </c>
      <c r="B2845" s="10" t="s">
        <v>5602</v>
      </c>
      <c r="C2845" s="10" t="s">
        <v>5603</v>
      </c>
      <c r="D2845" s="7">
        <v>193.2</v>
      </c>
      <c r="E2845" s="5">
        <v>30</v>
      </c>
      <c r="F2845" s="5">
        <v>18</v>
      </c>
      <c r="G2845" s="12">
        <f>SUM($D$7:D2845)</f>
        <v>10582727.850000029</v>
      </c>
      <c r="H2845" s="11">
        <f t="shared" si="44"/>
        <v>0.9921290731291712</v>
      </c>
    </row>
    <row r="2846" spans="1:8" ht="15" customHeight="1" x14ac:dyDescent="0.25">
      <c r="A2846" s="5">
        <v>2840</v>
      </c>
      <c r="B2846" s="10" t="s">
        <v>5604</v>
      </c>
      <c r="C2846" s="10" t="s">
        <v>5605</v>
      </c>
      <c r="D2846" s="7">
        <v>193.03</v>
      </c>
      <c r="E2846" s="5">
        <v>495</v>
      </c>
      <c r="F2846" s="5">
        <v>44</v>
      </c>
      <c r="G2846" s="12">
        <f>SUM($D$7:D2846)</f>
        <v>10582920.880000029</v>
      </c>
      <c r="H2846" s="11">
        <f t="shared" si="44"/>
        <v>0.99214716966134131</v>
      </c>
    </row>
    <row r="2847" spans="1:8" ht="15" customHeight="1" x14ac:dyDescent="0.25">
      <c r="A2847" s="5">
        <v>2841</v>
      </c>
      <c r="B2847" s="10" t="s">
        <v>5606</v>
      </c>
      <c r="C2847" s="10" t="s">
        <v>5607</v>
      </c>
      <c r="D2847" s="7">
        <v>192.14</v>
      </c>
      <c r="E2847" s="5">
        <v>26</v>
      </c>
      <c r="F2847" s="5">
        <v>17</v>
      </c>
      <c r="G2847" s="12">
        <f>SUM($D$7:D2847)</f>
        <v>10583113.020000029</v>
      </c>
      <c r="H2847" s="11">
        <f t="shared" si="44"/>
        <v>0.9921651827561514</v>
      </c>
    </row>
    <row r="2848" spans="1:8" ht="15" customHeight="1" x14ac:dyDescent="0.25">
      <c r="A2848" s="5">
        <v>2842</v>
      </c>
      <c r="B2848" s="10" t="s">
        <v>5608</v>
      </c>
      <c r="C2848" s="10" t="s">
        <v>5609</v>
      </c>
      <c r="D2848" s="7">
        <v>191.48</v>
      </c>
      <c r="E2848" s="5">
        <v>100</v>
      </c>
      <c r="F2848" s="5">
        <v>32</v>
      </c>
      <c r="G2848" s="12">
        <f>SUM($D$7:D2848)</f>
        <v>10583304.50000003</v>
      </c>
      <c r="H2848" s="11">
        <f t="shared" si="44"/>
        <v>0.99218313397606528</v>
      </c>
    </row>
    <row r="2849" spans="1:8" ht="15" customHeight="1" x14ac:dyDescent="0.25">
      <c r="A2849" s="5">
        <v>2843</v>
      </c>
      <c r="B2849" s="10" t="s">
        <v>5610</v>
      </c>
      <c r="C2849" s="10" t="s">
        <v>5611</v>
      </c>
      <c r="D2849" s="7">
        <v>191.18</v>
      </c>
      <c r="E2849" s="5">
        <v>292</v>
      </c>
      <c r="F2849" s="5">
        <v>39</v>
      </c>
      <c r="G2849" s="12">
        <f>SUM($D$7:D2849)</f>
        <v>10583495.68000003</v>
      </c>
      <c r="H2849" s="11">
        <f t="shared" si="44"/>
        <v>0.99220105707102613</v>
      </c>
    </row>
    <row r="2850" spans="1:8" ht="15" customHeight="1" x14ac:dyDescent="0.25">
      <c r="A2850" s="5">
        <v>2844</v>
      </c>
      <c r="B2850" s="10" t="s">
        <v>5612</v>
      </c>
      <c r="C2850" s="10" t="s">
        <v>5613</v>
      </c>
      <c r="D2850" s="7">
        <v>191.1</v>
      </c>
      <c r="E2850" s="5">
        <v>42</v>
      </c>
      <c r="F2850" s="5">
        <v>11</v>
      </c>
      <c r="G2850" s="12">
        <f>SUM($D$7:D2850)</f>
        <v>10583686.780000029</v>
      </c>
      <c r="H2850" s="11">
        <f t="shared" si="44"/>
        <v>0.99221897266599957</v>
      </c>
    </row>
    <row r="2851" spans="1:8" ht="15" customHeight="1" x14ac:dyDescent="0.25">
      <c r="A2851" s="5">
        <v>2845</v>
      </c>
      <c r="B2851" s="10" t="s">
        <v>5614</v>
      </c>
      <c r="C2851" s="10" t="s">
        <v>5615</v>
      </c>
      <c r="D2851" s="7">
        <v>190.73</v>
      </c>
      <c r="E2851" s="5">
        <v>122</v>
      </c>
      <c r="F2851" s="5">
        <v>25</v>
      </c>
      <c r="G2851" s="12">
        <f>SUM($D$7:D2851)</f>
        <v>10583877.51000003</v>
      </c>
      <c r="H2851" s="11">
        <f t="shared" si="44"/>
        <v>0.9922368535735312</v>
      </c>
    </row>
    <row r="2852" spans="1:8" ht="15" customHeight="1" x14ac:dyDescent="0.25">
      <c r="A2852" s="5">
        <v>2846</v>
      </c>
      <c r="B2852" s="10" t="s">
        <v>5616</v>
      </c>
      <c r="C2852" s="10" t="s">
        <v>5617</v>
      </c>
      <c r="D2852" s="7">
        <v>190.52</v>
      </c>
      <c r="E2852" s="5">
        <v>21</v>
      </c>
      <c r="F2852" s="5">
        <v>17</v>
      </c>
      <c r="G2852" s="12">
        <f>SUM($D$7:D2852)</f>
        <v>10584068.030000029</v>
      </c>
      <c r="H2852" s="11">
        <f t="shared" si="44"/>
        <v>0.99225471479359573</v>
      </c>
    </row>
    <row r="2853" spans="1:8" ht="15" customHeight="1" x14ac:dyDescent="0.25">
      <c r="A2853" s="5">
        <v>2847</v>
      </c>
      <c r="B2853" s="10" t="s">
        <v>5618</v>
      </c>
      <c r="C2853" s="10" t="s">
        <v>5619</v>
      </c>
      <c r="D2853" s="7">
        <v>190.29</v>
      </c>
      <c r="E2853" s="5">
        <v>169</v>
      </c>
      <c r="F2853" s="5">
        <v>42</v>
      </c>
      <c r="G2853" s="12">
        <f>SUM($D$7:D2853)</f>
        <v>10584258.320000028</v>
      </c>
      <c r="H2853" s="11">
        <f t="shared" si="44"/>
        <v>0.99227255445119633</v>
      </c>
    </row>
    <row r="2854" spans="1:8" ht="15" customHeight="1" x14ac:dyDescent="0.25">
      <c r="A2854" s="5">
        <v>2848</v>
      </c>
      <c r="B2854" s="10" t="s">
        <v>5620</v>
      </c>
      <c r="C2854" s="10" t="s">
        <v>5621</v>
      </c>
      <c r="D2854" s="7">
        <v>189.75</v>
      </c>
      <c r="E2854" s="5">
        <v>74</v>
      </c>
      <c r="F2854" s="5">
        <v>25</v>
      </c>
      <c r="G2854" s="12">
        <f>SUM($D$7:D2854)</f>
        <v>10584448.070000028</v>
      </c>
      <c r="H2854" s="11">
        <f t="shared" si="44"/>
        <v>0.99229034348388201</v>
      </c>
    </row>
    <row r="2855" spans="1:8" ht="15" customHeight="1" x14ac:dyDescent="0.25">
      <c r="A2855" s="5">
        <v>2849</v>
      </c>
      <c r="B2855" s="10" t="s">
        <v>5622</v>
      </c>
      <c r="C2855" s="10" t="s">
        <v>5623</v>
      </c>
      <c r="D2855" s="7">
        <v>189.68</v>
      </c>
      <c r="E2855" s="5">
        <v>108</v>
      </c>
      <c r="F2855" s="5">
        <v>13</v>
      </c>
      <c r="G2855" s="12">
        <f>SUM($D$7:D2855)</f>
        <v>10584637.750000028</v>
      </c>
      <c r="H2855" s="11">
        <f t="shared" si="44"/>
        <v>0.99230812595407847</v>
      </c>
    </row>
    <row r="2856" spans="1:8" ht="15" customHeight="1" x14ac:dyDescent="0.25">
      <c r="A2856" s="5">
        <v>2850</v>
      </c>
      <c r="B2856" s="10" t="s">
        <v>832</v>
      </c>
      <c r="C2856" s="10" t="s">
        <v>5624</v>
      </c>
      <c r="D2856" s="7">
        <v>189.54</v>
      </c>
      <c r="E2856" s="5">
        <v>54</v>
      </c>
      <c r="F2856" s="5">
        <v>4</v>
      </c>
      <c r="G2856" s="12">
        <f>SUM($D$7:D2856)</f>
        <v>10584827.290000027</v>
      </c>
      <c r="H2856" s="11">
        <f t="shared" si="44"/>
        <v>0.99232589529929704</v>
      </c>
    </row>
    <row r="2857" spans="1:8" ht="15" customHeight="1" x14ac:dyDescent="0.25">
      <c r="A2857" s="5">
        <v>2851</v>
      </c>
      <c r="B2857" s="10" t="s">
        <v>5625</v>
      </c>
      <c r="C2857" s="10" t="s">
        <v>5626</v>
      </c>
      <c r="D2857" s="7">
        <v>189.42</v>
      </c>
      <c r="E2857" s="5">
        <v>439</v>
      </c>
      <c r="F2857" s="5">
        <v>30</v>
      </c>
      <c r="G2857" s="12">
        <f>SUM($D$7:D2857)</f>
        <v>10585016.710000027</v>
      </c>
      <c r="H2857" s="11">
        <f t="shared" si="44"/>
        <v>0.99234365339453445</v>
      </c>
    </row>
    <row r="2858" spans="1:8" ht="15" customHeight="1" x14ac:dyDescent="0.25">
      <c r="A2858" s="5">
        <v>2852</v>
      </c>
      <c r="B2858" s="10" t="s">
        <v>5627</v>
      </c>
      <c r="C2858" s="10" t="s">
        <v>5628</v>
      </c>
      <c r="D2858" s="7">
        <v>188.87</v>
      </c>
      <c r="E2858" s="5">
        <v>485</v>
      </c>
      <c r="F2858" s="5">
        <v>51</v>
      </c>
      <c r="G2858" s="12">
        <f>SUM($D$7:D2858)</f>
        <v>10585205.580000026</v>
      </c>
      <c r="H2858" s="11">
        <f t="shared" si="44"/>
        <v>0.99236135992735819</v>
      </c>
    </row>
    <row r="2859" spans="1:8" ht="15" customHeight="1" x14ac:dyDescent="0.25">
      <c r="A2859" s="5">
        <v>2853</v>
      </c>
      <c r="B2859" s="10" t="s">
        <v>5629</v>
      </c>
      <c r="C2859" s="10" t="s">
        <v>5630</v>
      </c>
      <c r="D2859" s="7">
        <v>188.81</v>
      </c>
      <c r="E2859" s="5">
        <v>85</v>
      </c>
      <c r="F2859" s="5">
        <v>22</v>
      </c>
      <c r="G2859" s="12">
        <f>SUM($D$7:D2859)</f>
        <v>10585394.390000027</v>
      </c>
      <c r="H2859" s="11">
        <f t="shared" si="44"/>
        <v>0.99237906083519156</v>
      </c>
    </row>
    <row r="2860" spans="1:8" ht="15" customHeight="1" x14ac:dyDescent="0.25">
      <c r="A2860" s="5">
        <v>2854</v>
      </c>
      <c r="B2860" s="10" t="s">
        <v>5631</v>
      </c>
      <c r="C2860" s="10" t="s">
        <v>5632</v>
      </c>
      <c r="D2860" s="7">
        <v>188.37</v>
      </c>
      <c r="E2860" s="5">
        <v>99</v>
      </c>
      <c r="F2860" s="5">
        <v>6</v>
      </c>
      <c r="G2860" s="12">
        <f>SUM($D$7:D2860)</f>
        <v>10585582.760000026</v>
      </c>
      <c r="H2860" s="11">
        <f t="shared" si="44"/>
        <v>0.99239672049309391</v>
      </c>
    </row>
    <row r="2861" spans="1:8" ht="15" customHeight="1" x14ac:dyDescent="0.25">
      <c r="A2861" s="5">
        <v>2855</v>
      </c>
      <c r="B2861" s="10" t="s">
        <v>5633</v>
      </c>
      <c r="C2861" s="10" t="s">
        <v>5634</v>
      </c>
      <c r="D2861" s="7">
        <v>187.54</v>
      </c>
      <c r="E2861" s="5">
        <v>43</v>
      </c>
      <c r="F2861" s="5">
        <v>16</v>
      </c>
      <c r="G2861" s="12">
        <f>SUM($D$7:D2861)</f>
        <v>10585770.300000025</v>
      </c>
      <c r="H2861" s="11">
        <f t="shared" si="44"/>
        <v>0.9924143023386266</v>
      </c>
    </row>
    <row r="2862" spans="1:8" ht="15" customHeight="1" x14ac:dyDescent="0.25">
      <c r="A2862" s="5">
        <v>2856</v>
      </c>
      <c r="B2862" s="10" t="s">
        <v>5635</v>
      </c>
      <c r="C2862" s="10" t="s">
        <v>5636</v>
      </c>
      <c r="D2862" s="7">
        <v>186.64</v>
      </c>
      <c r="E2862" s="5">
        <v>20</v>
      </c>
      <c r="F2862" s="5">
        <v>13</v>
      </c>
      <c r="G2862" s="12">
        <f>SUM($D$7:D2862)</f>
        <v>10585956.940000026</v>
      </c>
      <c r="H2862" s="11">
        <f t="shared" si="44"/>
        <v>0.99243179980930096</v>
      </c>
    </row>
    <row r="2863" spans="1:8" ht="15" customHeight="1" x14ac:dyDescent="0.25">
      <c r="A2863" s="5">
        <v>2857</v>
      </c>
      <c r="B2863" s="10" t="s">
        <v>5637</v>
      </c>
      <c r="C2863" s="10" t="s">
        <v>5638</v>
      </c>
      <c r="D2863" s="7">
        <v>186.56</v>
      </c>
      <c r="E2863" s="5">
        <v>399</v>
      </c>
      <c r="F2863" s="5">
        <v>21</v>
      </c>
      <c r="G2863" s="12">
        <f>SUM($D$7:D2863)</f>
        <v>10586143.500000026</v>
      </c>
      <c r="H2863" s="11">
        <f t="shared" si="44"/>
        <v>0.99244928977998781</v>
      </c>
    </row>
    <row r="2864" spans="1:8" ht="15" customHeight="1" x14ac:dyDescent="0.25">
      <c r="A2864" s="5">
        <v>2858</v>
      </c>
      <c r="B2864" s="10" t="s">
        <v>5639</v>
      </c>
      <c r="C2864" s="10" t="s">
        <v>5640</v>
      </c>
      <c r="D2864" s="7">
        <v>186.43</v>
      </c>
      <c r="E2864" s="5">
        <v>126</v>
      </c>
      <c r="F2864" s="5">
        <v>35</v>
      </c>
      <c r="G2864" s="12">
        <f>SUM($D$7:D2864)</f>
        <v>10586329.930000026</v>
      </c>
      <c r="H2864" s="11">
        <f t="shared" si="44"/>
        <v>0.99246676756319496</v>
      </c>
    </row>
    <row r="2865" spans="1:8" ht="15" customHeight="1" x14ac:dyDescent="0.25">
      <c r="A2865" s="5">
        <v>2859</v>
      </c>
      <c r="B2865" s="10" t="s">
        <v>5641</v>
      </c>
      <c r="C2865" s="10" t="s">
        <v>5642</v>
      </c>
      <c r="D2865" s="7">
        <v>185.52</v>
      </c>
      <c r="E2865" s="5">
        <v>1369</v>
      </c>
      <c r="F2865" s="5">
        <v>92</v>
      </c>
      <c r="G2865" s="12">
        <f>SUM($D$7:D2865)</f>
        <v>10586515.450000025</v>
      </c>
      <c r="H2865" s="11">
        <f t="shared" si="44"/>
        <v>0.99248416003404516</v>
      </c>
    </row>
    <row r="2866" spans="1:8" ht="15" customHeight="1" x14ac:dyDescent="0.25">
      <c r="A2866" s="5">
        <v>2860</v>
      </c>
      <c r="B2866" s="10" t="s">
        <v>5643</v>
      </c>
      <c r="C2866" s="10" t="s">
        <v>5644</v>
      </c>
      <c r="D2866" s="7">
        <v>185.45</v>
      </c>
      <c r="E2866" s="5">
        <v>55</v>
      </c>
      <c r="F2866" s="5">
        <v>21</v>
      </c>
      <c r="G2866" s="12">
        <f>SUM($D$7:D2866)</f>
        <v>10586700.900000025</v>
      </c>
      <c r="H2866" s="11">
        <f t="shared" si="44"/>
        <v>0.99250154594240625</v>
      </c>
    </row>
    <row r="2867" spans="1:8" ht="15" customHeight="1" x14ac:dyDescent="0.25">
      <c r="A2867" s="5">
        <v>2861</v>
      </c>
      <c r="B2867" s="10" t="s">
        <v>5645</v>
      </c>
      <c r="C2867" s="10" t="s">
        <v>5646</v>
      </c>
      <c r="D2867" s="7">
        <v>185.42</v>
      </c>
      <c r="E2867" s="5">
        <v>63</v>
      </c>
      <c r="F2867" s="5">
        <v>21</v>
      </c>
      <c r="G2867" s="12">
        <f>SUM($D$7:D2867)</f>
        <v>10586886.320000025</v>
      </c>
      <c r="H2867" s="11">
        <f t="shared" si="44"/>
        <v>0.99251892903827221</v>
      </c>
    </row>
    <row r="2868" spans="1:8" ht="15" customHeight="1" x14ac:dyDescent="0.25">
      <c r="A2868" s="5">
        <v>2862</v>
      </c>
      <c r="B2868" s="10" t="s">
        <v>5647</v>
      </c>
      <c r="C2868" s="10" t="s">
        <v>5648</v>
      </c>
      <c r="D2868" s="7">
        <v>185.3</v>
      </c>
      <c r="E2868" s="5">
        <v>38</v>
      </c>
      <c r="F2868" s="5">
        <v>8</v>
      </c>
      <c r="G2868" s="12">
        <f>SUM($D$7:D2868)</f>
        <v>10587071.620000025</v>
      </c>
      <c r="H2868" s="11">
        <f t="shared" si="44"/>
        <v>0.99253630088415712</v>
      </c>
    </row>
    <row r="2869" spans="1:8" ht="15" customHeight="1" x14ac:dyDescent="0.25">
      <c r="A2869" s="5">
        <v>2863</v>
      </c>
      <c r="B2869" s="10" t="s">
        <v>2056</v>
      </c>
      <c r="C2869" s="10" t="s">
        <v>5649</v>
      </c>
      <c r="D2869" s="7">
        <v>185</v>
      </c>
      <c r="E2869" s="5">
        <v>148</v>
      </c>
      <c r="F2869" s="5">
        <v>9</v>
      </c>
      <c r="G2869" s="12">
        <f>SUM($D$7:D2869)</f>
        <v>10587256.620000025</v>
      </c>
      <c r="H2869" s="11">
        <f t="shared" si="44"/>
        <v>0.99255364460508899</v>
      </c>
    </row>
    <row r="2870" spans="1:8" ht="15" customHeight="1" x14ac:dyDescent="0.25">
      <c r="A2870" s="5">
        <v>2864</v>
      </c>
      <c r="B2870" s="10" t="s">
        <v>5650</v>
      </c>
      <c r="C2870" s="10" t="s">
        <v>5651</v>
      </c>
      <c r="D2870" s="7">
        <v>184.7</v>
      </c>
      <c r="E2870" s="5">
        <v>75</v>
      </c>
      <c r="F2870" s="5">
        <v>44</v>
      </c>
      <c r="G2870" s="12">
        <f>SUM($D$7:D2870)</f>
        <v>10587441.320000025</v>
      </c>
      <c r="H2870" s="11">
        <f t="shared" si="44"/>
        <v>0.99257096020106794</v>
      </c>
    </row>
    <row r="2871" spans="1:8" ht="15" customHeight="1" x14ac:dyDescent="0.25">
      <c r="A2871" s="5">
        <v>2865</v>
      </c>
      <c r="B2871" s="10" t="s">
        <v>5652</v>
      </c>
      <c r="C2871" s="10" t="s">
        <v>5653</v>
      </c>
      <c r="D2871" s="7">
        <v>184.68</v>
      </c>
      <c r="E2871" s="5">
        <v>132</v>
      </c>
      <c r="F2871" s="5">
        <v>25</v>
      </c>
      <c r="G2871" s="12">
        <f>SUM($D$7:D2871)</f>
        <v>10587626.000000024</v>
      </c>
      <c r="H2871" s="11">
        <f t="shared" si="44"/>
        <v>0.99258827392205018</v>
      </c>
    </row>
    <row r="2872" spans="1:8" ht="15" customHeight="1" x14ac:dyDescent="0.25">
      <c r="A2872" s="5">
        <v>2866</v>
      </c>
      <c r="B2872" s="10" t="s">
        <v>5654</v>
      </c>
      <c r="C2872" s="10" t="s">
        <v>5655</v>
      </c>
      <c r="D2872" s="7">
        <v>184.66</v>
      </c>
      <c r="E2872" s="5">
        <v>22</v>
      </c>
      <c r="F2872" s="5">
        <v>19</v>
      </c>
      <c r="G2872" s="12">
        <f>SUM($D$7:D2872)</f>
        <v>10587810.660000024</v>
      </c>
      <c r="H2872" s="11">
        <f t="shared" si="44"/>
        <v>0.99260558576803548</v>
      </c>
    </row>
    <row r="2873" spans="1:8" ht="15" customHeight="1" x14ac:dyDescent="0.25">
      <c r="A2873" s="5">
        <v>2867</v>
      </c>
      <c r="B2873" s="10" t="s">
        <v>5656</v>
      </c>
      <c r="C2873" s="10" t="s">
        <v>5657</v>
      </c>
      <c r="D2873" s="7">
        <v>183.71</v>
      </c>
      <c r="E2873" s="5">
        <v>45</v>
      </c>
      <c r="F2873" s="5">
        <v>16</v>
      </c>
      <c r="G2873" s="12">
        <f>SUM($D$7:D2873)</f>
        <v>10587994.370000025</v>
      </c>
      <c r="H2873" s="11">
        <f t="shared" si="44"/>
        <v>0.99262280855167018</v>
      </c>
    </row>
    <row r="2874" spans="1:8" ht="15" customHeight="1" x14ac:dyDescent="0.25">
      <c r="A2874" s="5">
        <v>2868</v>
      </c>
      <c r="B2874" s="10" t="s">
        <v>5658</v>
      </c>
      <c r="C2874" s="10" t="s">
        <v>5659</v>
      </c>
      <c r="D2874" s="7">
        <v>183.45</v>
      </c>
      <c r="E2874" s="5">
        <v>91</v>
      </c>
      <c r="F2874" s="5">
        <v>23</v>
      </c>
      <c r="G2874" s="12">
        <f>SUM($D$7:D2874)</f>
        <v>10588177.820000025</v>
      </c>
      <c r="H2874" s="11">
        <f t="shared" si="44"/>
        <v>0.9926400069603456</v>
      </c>
    </row>
    <row r="2875" spans="1:8" ht="15" customHeight="1" x14ac:dyDescent="0.25">
      <c r="A2875" s="5">
        <v>2869</v>
      </c>
      <c r="B2875" s="10" t="s">
        <v>5660</v>
      </c>
      <c r="C2875" s="10" t="s">
        <v>5661</v>
      </c>
      <c r="D2875" s="7">
        <v>182.95</v>
      </c>
      <c r="E2875" s="5">
        <v>299</v>
      </c>
      <c r="F2875" s="5">
        <v>44</v>
      </c>
      <c r="G2875" s="12">
        <f>SUM($D$7:D2875)</f>
        <v>10588360.770000024</v>
      </c>
      <c r="H2875" s="11">
        <f t="shared" si="44"/>
        <v>0.99265715849409963</v>
      </c>
    </row>
    <row r="2876" spans="1:8" ht="15" customHeight="1" x14ac:dyDescent="0.25">
      <c r="A2876" s="5">
        <v>2870</v>
      </c>
      <c r="B2876" s="10" t="s">
        <v>4369</v>
      </c>
      <c r="C2876" s="10" t="s">
        <v>5662</v>
      </c>
      <c r="D2876" s="7">
        <v>182.3</v>
      </c>
      <c r="E2876" s="5">
        <v>142</v>
      </c>
      <c r="F2876" s="5">
        <v>14</v>
      </c>
      <c r="G2876" s="12">
        <f>SUM($D$7:D2876)</f>
        <v>10588543.070000025</v>
      </c>
      <c r="H2876" s="11">
        <f t="shared" si="44"/>
        <v>0.99267424909045576</v>
      </c>
    </row>
    <row r="2877" spans="1:8" ht="15" customHeight="1" x14ac:dyDescent="0.25">
      <c r="A2877" s="5">
        <v>2871</v>
      </c>
      <c r="B2877" s="10" t="s">
        <v>5663</v>
      </c>
      <c r="C2877" s="10" t="s">
        <v>5664</v>
      </c>
      <c r="D2877" s="7">
        <v>182.25</v>
      </c>
      <c r="E2877" s="5">
        <v>161</v>
      </c>
      <c r="F2877" s="5">
        <v>34</v>
      </c>
      <c r="G2877" s="12">
        <f>SUM($D$7:D2877)</f>
        <v>10588725.320000025</v>
      </c>
      <c r="H2877" s="11">
        <f t="shared" si="44"/>
        <v>0.99269133499931983</v>
      </c>
    </row>
    <row r="2878" spans="1:8" ht="15" customHeight="1" x14ac:dyDescent="0.25">
      <c r="A2878" s="5">
        <v>2872</v>
      </c>
      <c r="B2878" s="10" t="s">
        <v>5665</v>
      </c>
      <c r="C2878" s="10" t="s">
        <v>5666</v>
      </c>
      <c r="D2878" s="7">
        <v>181.98</v>
      </c>
      <c r="E2878" s="5">
        <v>427</v>
      </c>
      <c r="F2878" s="5">
        <v>60</v>
      </c>
      <c r="G2878" s="12">
        <f>SUM($D$7:D2878)</f>
        <v>10588907.300000025</v>
      </c>
      <c r="H2878" s="11">
        <f t="shared" si="44"/>
        <v>0.99270839559572632</v>
      </c>
    </row>
    <row r="2879" spans="1:8" ht="15" customHeight="1" x14ac:dyDescent="0.25">
      <c r="A2879" s="5">
        <v>2873</v>
      </c>
      <c r="B2879" s="10" t="s">
        <v>5667</v>
      </c>
      <c r="C2879" s="10" t="s">
        <v>5668</v>
      </c>
      <c r="D2879" s="7">
        <v>180.93</v>
      </c>
      <c r="E2879" s="5">
        <v>29</v>
      </c>
      <c r="F2879" s="5">
        <v>23</v>
      </c>
      <c r="G2879" s="12">
        <f>SUM($D$7:D2879)</f>
        <v>10589088.230000025</v>
      </c>
      <c r="H2879" s="11">
        <f t="shared" si="44"/>
        <v>0.99272535775479775</v>
      </c>
    </row>
    <row r="2880" spans="1:8" ht="15" customHeight="1" x14ac:dyDescent="0.25">
      <c r="A2880" s="5">
        <v>2874</v>
      </c>
      <c r="B2880" s="10" t="s">
        <v>5669</v>
      </c>
      <c r="C2880" s="10" t="s">
        <v>5670</v>
      </c>
      <c r="D2880" s="7">
        <v>180.71</v>
      </c>
      <c r="E2880" s="5">
        <v>223</v>
      </c>
      <c r="F2880" s="5">
        <v>18</v>
      </c>
      <c r="G2880" s="12">
        <f>SUM($D$7:D2880)</f>
        <v>10589268.940000026</v>
      </c>
      <c r="H2880" s="11">
        <f t="shared" si="44"/>
        <v>0.99274229928890378</v>
      </c>
    </row>
    <row r="2881" spans="1:8" ht="15" customHeight="1" x14ac:dyDescent="0.25">
      <c r="A2881" s="5">
        <v>2875</v>
      </c>
      <c r="B2881" s="10" t="s">
        <v>5671</v>
      </c>
      <c r="C2881" s="10" t="s">
        <v>5672</v>
      </c>
      <c r="D2881" s="7">
        <v>180.65</v>
      </c>
      <c r="E2881" s="5">
        <v>145</v>
      </c>
      <c r="F2881" s="5">
        <v>19</v>
      </c>
      <c r="G2881" s="12">
        <f>SUM($D$7:D2881)</f>
        <v>10589449.590000026</v>
      </c>
      <c r="H2881" s="11">
        <f t="shared" si="44"/>
        <v>0.99275923519801923</v>
      </c>
    </row>
    <row r="2882" spans="1:8" ht="15" customHeight="1" x14ac:dyDescent="0.25">
      <c r="A2882" s="5">
        <v>2876</v>
      </c>
      <c r="B2882" s="10" t="s">
        <v>5673</v>
      </c>
      <c r="C2882" s="10" t="s">
        <v>5674</v>
      </c>
      <c r="D2882" s="7">
        <v>180.58</v>
      </c>
      <c r="E2882" s="5">
        <v>70</v>
      </c>
      <c r="F2882" s="5">
        <v>8</v>
      </c>
      <c r="G2882" s="12">
        <f>SUM($D$7:D2882)</f>
        <v>10589630.170000026</v>
      </c>
      <c r="H2882" s="11">
        <f t="shared" si="44"/>
        <v>0.99277616454464568</v>
      </c>
    </row>
    <row r="2883" spans="1:8" ht="15" customHeight="1" x14ac:dyDescent="0.25">
      <c r="A2883" s="5">
        <v>2877</v>
      </c>
      <c r="B2883" s="10" t="s">
        <v>5675</v>
      </c>
      <c r="C2883" s="10" t="s">
        <v>5676</v>
      </c>
      <c r="D2883" s="7">
        <v>180.52</v>
      </c>
      <c r="E2883" s="5">
        <v>84</v>
      </c>
      <c r="F2883" s="5">
        <v>22</v>
      </c>
      <c r="G2883" s="12">
        <f>SUM($D$7:D2883)</f>
        <v>10589810.690000026</v>
      </c>
      <c r="H2883" s="11">
        <f t="shared" si="44"/>
        <v>0.99279308826628143</v>
      </c>
    </row>
    <row r="2884" spans="1:8" ht="15" customHeight="1" x14ac:dyDescent="0.25">
      <c r="A2884" s="5">
        <v>2878</v>
      </c>
      <c r="B2884" s="10" t="s">
        <v>5677</v>
      </c>
      <c r="C2884" s="10" t="s">
        <v>5678</v>
      </c>
      <c r="D2884" s="7">
        <v>180.2</v>
      </c>
      <c r="E2884" s="5">
        <v>212</v>
      </c>
      <c r="F2884" s="5">
        <v>11</v>
      </c>
      <c r="G2884" s="12">
        <f>SUM($D$7:D2884)</f>
        <v>10589990.890000025</v>
      </c>
      <c r="H2884" s="11">
        <f t="shared" si="44"/>
        <v>0.99280998198796755</v>
      </c>
    </row>
    <row r="2885" spans="1:8" ht="15" customHeight="1" x14ac:dyDescent="0.25">
      <c r="A2885" s="5">
        <v>2879</v>
      </c>
      <c r="B2885" s="10" t="s">
        <v>5679</v>
      </c>
      <c r="C2885" s="10" t="s">
        <v>5680</v>
      </c>
      <c r="D2885" s="7">
        <v>179.46</v>
      </c>
      <c r="E2885" s="5">
        <v>195</v>
      </c>
      <c r="F2885" s="5">
        <v>33</v>
      </c>
      <c r="G2885" s="12">
        <f>SUM($D$7:D2885)</f>
        <v>10590170.350000026</v>
      </c>
      <c r="H2885" s="11">
        <f t="shared" si="44"/>
        <v>0.99282680633476994</v>
      </c>
    </row>
    <row r="2886" spans="1:8" ht="15" customHeight="1" x14ac:dyDescent="0.25">
      <c r="A2886" s="5">
        <v>2880</v>
      </c>
      <c r="B2886" s="10" t="s">
        <v>5681</v>
      </c>
      <c r="C2886" s="10" t="s">
        <v>5682</v>
      </c>
      <c r="D2886" s="7">
        <v>179.36</v>
      </c>
      <c r="E2886" s="5">
        <v>384</v>
      </c>
      <c r="F2886" s="5">
        <v>63</v>
      </c>
      <c r="G2886" s="12">
        <f>SUM($D$7:D2886)</f>
        <v>10590349.710000025</v>
      </c>
      <c r="H2886" s="11">
        <f t="shared" si="44"/>
        <v>0.99284362130658799</v>
      </c>
    </row>
    <row r="2887" spans="1:8" ht="15" customHeight="1" x14ac:dyDescent="0.25">
      <c r="A2887" s="5">
        <v>2881</v>
      </c>
      <c r="B2887" s="10" t="s">
        <v>5683</v>
      </c>
      <c r="C2887" s="10" t="s">
        <v>4016</v>
      </c>
      <c r="D2887" s="7">
        <v>179.23</v>
      </c>
      <c r="E2887" s="5">
        <v>155</v>
      </c>
      <c r="F2887" s="5">
        <v>15</v>
      </c>
      <c r="G2887" s="12">
        <f>SUM($D$7:D2887)</f>
        <v>10590528.940000026</v>
      </c>
      <c r="H2887" s="11">
        <f t="shared" ref="H2887:H2950" si="45">G2887/SUM($D$7:$D$4167)</f>
        <v>0.99286042409092656</v>
      </c>
    </row>
    <row r="2888" spans="1:8" ht="15" customHeight="1" x14ac:dyDescent="0.25">
      <c r="A2888" s="5">
        <v>2882</v>
      </c>
      <c r="B2888" s="10" t="s">
        <v>5684</v>
      </c>
      <c r="C2888" s="10" t="s">
        <v>5685</v>
      </c>
      <c r="D2888" s="7">
        <v>178.97</v>
      </c>
      <c r="E2888" s="5">
        <v>472</v>
      </c>
      <c r="F2888" s="5">
        <v>59</v>
      </c>
      <c r="G2888" s="12">
        <f>SUM($D$7:D2888)</f>
        <v>10590707.910000026</v>
      </c>
      <c r="H2888" s="11">
        <f t="shared" si="45"/>
        <v>0.99287720250030609</v>
      </c>
    </row>
    <row r="2889" spans="1:8" ht="15" customHeight="1" x14ac:dyDescent="0.25">
      <c r="A2889" s="5">
        <v>2883</v>
      </c>
      <c r="B2889" s="10" t="s">
        <v>5686</v>
      </c>
      <c r="C2889" s="10" t="s">
        <v>5687</v>
      </c>
      <c r="D2889" s="7">
        <v>178.89</v>
      </c>
      <c r="E2889" s="5">
        <v>76</v>
      </c>
      <c r="F2889" s="5">
        <v>33</v>
      </c>
      <c r="G2889" s="12">
        <f>SUM($D$7:D2889)</f>
        <v>10590886.800000027</v>
      </c>
      <c r="H2889" s="11">
        <f t="shared" si="45"/>
        <v>0.99289397340969809</v>
      </c>
    </row>
    <row r="2890" spans="1:8" ht="15" customHeight="1" x14ac:dyDescent="0.25">
      <c r="A2890" s="5">
        <v>2884</v>
      </c>
      <c r="B2890" s="10" t="s">
        <v>5688</v>
      </c>
      <c r="C2890" s="10" t="s">
        <v>5689</v>
      </c>
      <c r="D2890" s="7">
        <v>178.85</v>
      </c>
      <c r="E2890" s="5">
        <v>193</v>
      </c>
      <c r="F2890" s="5">
        <v>50</v>
      </c>
      <c r="G2890" s="12">
        <f>SUM($D$7:D2890)</f>
        <v>10591065.650000026</v>
      </c>
      <c r="H2890" s="11">
        <f t="shared" si="45"/>
        <v>0.99291074056909623</v>
      </c>
    </row>
    <row r="2891" spans="1:8" ht="15" customHeight="1" x14ac:dyDescent="0.25">
      <c r="A2891" s="5">
        <v>2885</v>
      </c>
      <c r="B2891" s="10" t="s">
        <v>66</v>
      </c>
      <c r="C2891" s="10" t="s">
        <v>5690</v>
      </c>
      <c r="D2891" s="7">
        <v>178.51</v>
      </c>
      <c r="E2891" s="5">
        <v>61</v>
      </c>
      <c r="F2891" s="5">
        <v>9</v>
      </c>
      <c r="G2891" s="12">
        <f>SUM($D$7:D2891)</f>
        <v>10591244.160000026</v>
      </c>
      <c r="H2891" s="11">
        <f t="shared" si="45"/>
        <v>0.9929274758535479</v>
      </c>
    </row>
    <row r="2892" spans="1:8" ht="15" customHeight="1" x14ac:dyDescent="0.25">
      <c r="A2892" s="5">
        <v>2886</v>
      </c>
      <c r="B2892" s="10" t="s">
        <v>1058</v>
      </c>
      <c r="C2892" s="10" t="s">
        <v>5691</v>
      </c>
      <c r="D2892" s="7">
        <v>178.2</v>
      </c>
      <c r="E2892" s="5">
        <v>36</v>
      </c>
      <c r="F2892" s="5">
        <v>8</v>
      </c>
      <c r="G2892" s="12">
        <f>SUM($D$7:D2892)</f>
        <v>10591422.360000025</v>
      </c>
      <c r="H2892" s="11">
        <f t="shared" si="45"/>
        <v>0.99294418207554824</v>
      </c>
    </row>
    <row r="2893" spans="1:8" ht="15" customHeight="1" x14ac:dyDescent="0.25">
      <c r="A2893" s="5">
        <v>2887</v>
      </c>
      <c r="B2893" s="10" t="s">
        <v>5692</v>
      </c>
      <c r="C2893" s="10" t="s">
        <v>5693</v>
      </c>
      <c r="D2893" s="7">
        <v>177.46</v>
      </c>
      <c r="E2893" s="5">
        <v>72</v>
      </c>
      <c r="F2893" s="5">
        <v>30</v>
      </c>
      <c r="G2893" s="12">
        <f>SUM($D$7:D2893)</f>
        <v>10591599.820000026</v>
      </c>
      <c r="H2893" s="11">
        <f t="shared" si="45"/>
        <v>0.99296081892266497</v>
      </c>
    </row>
    <row r="2894" spans="1:8" ht="15" customHeight="1" x14ac:dyDescent="0.25">
      <c r="A2894" s="5">
        <v>2888</v>
      </c>
      <c r="B2894" s="10" t="s">
        <v>5694</v>
      </c>
      <c r="C2894" s="10" t="s">
        <v>5695</v>
      </c>
      <c r="D2894" s="7">
        <v>177.33</v>
      </c>
      <c r="E2894" s="5">
        <v>34</v>
      </c>
      <c r="F2894" s="5">
        <v>21</v>
      </c>
      <c r="G2894" s="12">
        <f>SUM($D$7:D2894)</f>
        <v>10591777.150000026</v>
      </c>
      <c r="H2894" s="11">
        <f t="shared" si="45"/>
        <v>0.992977443582302</v>
      </c>
    </row>
    <row r="2895" spans="1:8" ht="15" customHeight="1" x14ac:dyDescent="0.25">
      <c r="A2895" s="5">
        <v>2889</v>
      </c>
      <c r="B2895" s="10" t="s">
        <v>5696</v>
      </c>
      <c r="C2895" s="10" t="s">
        <v>5697</v>
      </c>
      <c r="D2895" s="7">
        <v>175.78</v>
      </c>
      <c r="E2895" s="5">
        <v>161</v>
      </c>
      <c r="F2895" s="5">
        <v>19</v>
      </c>
      <c r="G2895" s="12">
        <f>SUM($D$7:D2895)</f>
        <v>10591952.930000026</v>
      </c>
      <c r="H2895" s="11">
        <f t="shared" si="45"/>
        <v>0.99299392292968258</v>
      </c>
    </row>
    <row r="2896" spans="1:8" ht="15" customHeight="1" x14ac:dyDescent="0.25">
      <c r="A2896" s="5">
        <v>2890</v>
      </c>
      <c r="B2896" s="10" t="s">
        <v>5698</v>
      </c>
      <c r="C2896" s="10" t="s">
        <v>5699</v>
      </c>
      <c r="D2896" s="7">
        <v>175.73</v>
      </c>
      <c r="E2896" s="5">
        <v>66</v>
      </c>
      <c r="F2896" s="5">
        <v>28</v>
      </c>
      <c r="G2896" s="12">
        <f>SUM($D$7:D2896)</f>
        <v>10592128.660000026</v>
      </c>
      <c r="H2896" s="11">
        <f t="shared" si="45"/>
        <v>0.9930103975895711</v>
      </c>
    </row>
    <row r="2897" spans="1:8" ht="15" customHeight="1" x14ac:dyDescent="0.25">
      <c r="A2897" s="5">
        <v>2891</v>
      </c>
      <c r="B2897" s="10" t="s">
        <v>5700</v>
      </c>
      <c r="C2897" s="10" t="s">
        <v>5701</v>
      </c>
      <c r="D2897" s="7">
        <v>175.53</v>
      </c>
      <c r="E2897" s="5">
        <v>7</v>
      </c>
      <c r="F2897" s="5">
        <v>7</v>
      </c>
      <c r="G2897" s="12">
        <f>SUM($D$7:D2897)</f>
        <v>10592304.190000026</v>
      </c>
      <c r="H2897" s="11">
        <f t="shared" si="45"/>
        <v>0.99302685349949094</v>
      </c>
    </row>
    <row r="2898" spans="1:8" ht="15" customHeight="1" x14ac:dyDescent="0.25">
      <c r="A2898" s="5">
        <v>2892</v>
      </c>
      <c r="B2898" s="10" t="s">
        <v>5702</v>
      </c>
      <c r="C2898" s="10" t="s">
        <v>5703</v>
      </c>
      <c r="D2898" s="7">
        <v>175.16</v>
      </c>
      <c r="E2898" s="5">
        <v>149</v>
      </c>
      <c r="F2898" s="5">
        <v>24</v>
      </c>
      <c r="G2898" s="12">
        <f>SUM($D$7:D2898)</f>
        <v>10592479.350000026</v>
      </c>
      <c r="H2898" s="11">
        <f t="shared" si="45"/>
        <v>0.99304327472196896</v>
      </c>
    </row>
    <row r="2899" spans="1:8" ht="15" customHeight="1" x14ac:dyDescent="0.25">
      <c r="A2899" s="5">
        <v>2893</v>
      </c>
      <c r="B2899" s="10" t="s">
        <v>5704</v>
      </c>
      <c r="C2899" s="10" t="s">
        <v>5705</v>
      </c>
      <c r="D2899" s="7">
        <v>174.77</v>
      </c>
      <c r="E2899" s="5">
        <v>5</v>
      </c>
      <c r="F2899" s="5">
        <v>3</v>
      </c>
      <c r="G2899" s="12">
        <f>SUM($D$7:D2899)</f>
        <v>10592654.120000025</v>
      </c>
      <c r="H2899" s="11">
        <f t="shared" si="45"/>
        <v>0.99305965938200824</v>
      </c>
    </row>
    <row r="2900" spans="1:8" ht="15" customHeight="1" x14ac:dyDescent="0.25">
      <c r="A2900" s="5">
        <v>2894</v>
      </c>
      <c r="B2900" s="10" t="s">
        <v>5706</v>
      </c>
      <c r="C2900" s="10" t="s">
        <v>5707</v>
      </c>
      <c r="D2900" s="7">
        <v>174.73</v>
      </c>
      <c r="E2900" s="5">
        <v>35</v>
      </c>
      <c r="F2900" s="5">
        <v>27</v>
      </c>
      <c r="G2900" s="12">
        <f>SUM($D$7:D2900)</f>
        <v>10592828.850000026</v>
      </c>
      <c r="H2900" s="11">
        <f t="shared" si="45"/>
        <v>0.99307604029205387</v>
      </c>
    </row>
    <row r="2901" spans="1:8" ht="15" customHeight="1" x14ac:dyDescent="0.25">
      <c r="A2901" s="5">
        <v>2895</v>
      </c>
      <c r="B2901" s="10" t="s">
        <v>5708</v>
      </c>
      <c r="C2901" s="10" t="s">
        <v>5709</v>
      </c>
      <c r="D2901" s="7">
        <v>174.5</v>
      </c>
      <c r="E2901" s="5">
        <v>242</v>
      </c>
      <c r="F2901" s="5">
        <v>4</v>
      </c>
      <c r="G2901" s="12">
        <f>SUM($D$7:D2901)</f>
        <v>10593003.350000026</v>
      </c>
      <c r="H2901" s="11">
        <f t="shared" si="45"/>
        <v>0.99309239963963558</v>
      </c>
    </row>
    <row r="2902" spans="1:8" ht="15" customHeight="1" x14ac:dyDescent="0.25">
      <c r="A2902" s="5">
        <v>2896</v>
      </c>
      <c r="B2902" s="10" t="s">
        <v>5710</v>
      </c>
      <c r="C2902" s="10" t="s">
        <v>5711</v>
      </c>
      <c r="D2902" s="7">
        <v>174.31</v>
      </c>
      <c r="E2902" s="5">
        <v>127</v>
      </c>
      <c r="F2902" s="5">
        <v>11</v>
      </c>
      <c r="G2902" s="12">
        <f>SUM($D$7:D2902)</f>
        <v>10593177.660000026</v>
      </c>
      <c r="H2902" s="11">
        <f t="shared" si="45"/>
        <v>0.99310874117474723</v>
      </c>
    </row>
    <row r="2903" spans="1:8" ht="15" customHeight="1" x14ac:dyDescent="0.25">
      <c r="A2903" s="5">
        <v>2897</v>
      </c>
      <c r="B2903" s="10" t="s">
        <v>5712</v>
      </c>
      <c r="C2903" s="10" t="s">
        <v>5713</v>
      </c>
      <c r="D2903" s="7">
        <v>174.09</v>
      </c>
      <c r="E2903" s="5">
        <v>152</v>
      </c>
      <c r="F2903" s="5">
        <v>26</v>
      </c>
      <c r="G2903" s="12">
        <f>SUM($D$7:D2903)</f>
        <v>10593351.750000026</v>
      </c>
      <c r="H2903" s="11">
        <f t="shared" si="45"/>
        <v>0.99312506208489337</v>
      </c>
    </row>
    <row r="2904" spans="1:8" ht="15" customHeight="1" x14ac:dyDescent="0.25">
      <c r="A2904" s="5">
        <v>2898</v>
      </c>
      <c r="B2904" s="10" t="s">
        <v>5714</v>
      </c>
      <c r="C2904" s="10" t="s">
        <v>5715</v>
      </c>
      <c r="D2904" s="7">
        <v>173.48</v>
      </c>
      <c r="E2904" s="5">
        <v>35</v>
      </c>
      <c r="F2904" s="5">
        <v>20</v>
      </c>
      <c r="G2904" s="12">
        <f>SUM($D$7:D2904)</f>
        <v>10593525.230000027</v>
      </c>
      <c r="H2904" s="11">
        <f t="shared" si="45"/>
        <v>0.99314132580763548</v>
      </c>
    </row>
    <row r="2905" spans="1:8" ht="15" customHeight="1" x14ac:dyDescent="0.25">
      <c r="A2905" s="5">
        <v>2899</v>
      </c>
      <c r="B2905" s="10" t="s">
        <v>5716</v>
      </c>
      <c r="C2905" s="10" t="s">
        <v>5717</v>
      </c>
      <c r="D2905" s="7">
        <v>173.37</v>
      </c>
      <c r="E2905" s="5">
        <v>411</v>
      </c>
      <c r="F2905" s="5">
        <v>39</v>
      </c>
      <c r="G2905" s="12">
        <f>SUM($D$7:D2905)</f>
        <v>10593698.600000026</v>
      </c>
      <c r="H2905" s="11">
        <f t="shared" si="45"/>
        <v>0.9931575792178946</v>
      </c>
    </row>
    <row r="2906" spans="1:8" ht="15" customHeight="1" x14ac:dyDescent="0.25">
      <c r="A2906" s="5">
        <v>2900</v>
      </c>
      <c r="B2906" s="10" t="s">
        <v>5718</v>
      </c>
      <c r="C2906" s="10" t="s">
        <v>5719</v>
      </c>
      <c r="D2906" s="7">
        <v>173.16</v>
      </c>
      <c r="E2906" s="5">
        <v>474</v>
      </c>
      <c r="F2906" s="5">
        <v>6</v>
      </c>
      <c r="G2906" s="12">
        <f>SUM($D$7:D2906)</f>
        <v>10593871.760000026</v>
      </c>
      <c r="H2906" s="11">
        <f t="shared" si="45"/>
        <v>0.99317381294068696</v>
      </c>
    </row>
    <row r="2907" spans="1:8" ht="15" customHeight="1" x14ac:dyDescent="0.25">
      <c r="A2907" s="5">
        <v>2901</v>
      </c>
      <c r="B2907" s="10" t="s">
        <v>5720</v>
      </c>
      <c r="C2907" s="10" t="s">
        <v>5721</v>
      </c>
      <c r="D2907" s="7">
        <v>173.12</v>
      </c>
      <c r="E2907" s="5">
        <v>371</v>
      </c>
      <c r="F2907" s="5">
        <v>41</v>
      </c>
      <c r="G2907" s="12">
        <f>SUM($D$7:D2907)</f>
        <v>10594044.880000025</v>
      </c>
      <c r="H2907" s="11">
        <f t="shared" si="45"/>
        <v>0.99319004291348545</v>
      </c>
    </row>
    <row r="2908" spans="1:8" ht="15" customHeight="1" x14ac:dyDescent="0.25">
      <c r="A2908" s="5">
        <v>2902</v>
      </c>
      <c r="B2908" s="10" t="s">
        <v>5722</v>
      </c>
      <c r="C2908" s="10" t="s">
        <v>5723</v>
      </c>
      <c r="D2908" s="7">
        <v>172.78</v>
      </c>
      <c r="E2908" s="5">
        <v>96</v>
      </c>
      <c r="F2908" s="5">
        <v>28</v>
      </c>
      <c r="G2908" s="12">
        <f>SUM($D$7:D2908)</f>
        <v>10594217.660000024</v>
      </c>
      <c r="H2908" s="11">
        <f t="shared" si="45"/>
        <v>0.99320624101133737</v>
      </c>
    </row>
    <row r="2909" spans="1:8" ht="15" customHeight="1" x14ac:dyDescent="0.25">
      <c r="A2909" s="5">
        <v>2903</v>
      </c>
      <c r="B2909" s="10" t="s">
        <v>5724</v>
      </c>
      <c r="C2909" s="10" t="s">
        <v>5725</v>
      </c>
      <c r="D2909" s="7">
        <v>172.64</v>
      </c>
      <c r="E2909" s="5">
        <v>226</v>
      </c>
      <c r="F2909" s="5">
        <v>23</v>
      </c>
      <c r="G2909" s="12">
        <f>SUM($D$7:D2909)</f>
        <v>10594390.300000025</v>
      </c>
      <c r="H2909" s="11">
        <f t="shared" si="45"/>
        <v>0.9932224259842114</v>
      </c>
    </row>
    <row r="2910" spans="1:8" ht="15" customHeight="1" x14ac:dyDescent="0.25">
      <c r="A2910" s="5">
        <v>2904</v>
      </c>
      <c r="B2910" s="10" t="s">
        <v>5726</v>
      </c>
      <c r="C2910" s="10" t="s">
        <v>5727</v>
      </c>
      <c r="D2910" s="7">
        <v>172.2</v>
      </c>
      <c r="E2910" s="5">
        <v>141</v>
      </c>
      <c r="F2910" s="5">
        <v>33</v>
      </c>
      <c r="G2910" s="12">
        <f>SUM($D$7:D2910)</f>
        <v>10594562.500000024</v>
      </c>
      <c r="H2910" s="11">
        <f t="shared" si="45"/>
        <v>0.99323856970715441</v>
      </c>
    </row>
    <row r="2911" spans="1:8" ht="15" customHeight="1" x14ac:dyDescent="0.25">
      <c r="A2911" s="5">
        <v>2905</v>
      </c>
      <c r="B2911" s="10" t="s">
        <v>5728</v>
      </c>
      <c r="C2911" s="10" t="s">
        <v>5729</v>
      </c>
      <c r="D2911" s="7">
        <v>172.05</v>
      </c>
      <c r="E2911" s="5">
        <v>51</v>
      </c>
      <c r="F2911" s="5">
        <v>20</v>
      </c>
      <c r="G2911" s="12">
        <f>SUM($D$7:D2911)</f>
        <v>10594734.550000025</v>
      </c>
      <c r="H2911" s="11">
        <f t="shared" si="45"/>
        <v>0.99325469936762123</v>
      </c>
    </row>
    <row r="2912" spans="1:8" ht="15" customHeight="1" x14ac:dyDescent="0.25">
      <c r="A2912" s="5">
        <v>2906</v>
      </c>
      <c r="B2912" s="10" t="s">
        <v>5730</v>
      </c>
      <c r="C2912" s="10" t="s">
        <v>5731</v>
      </c>
      <c r="D2912" s="7">
        <v>171.8</v>
      </c>
      <c r="E2912" s="5">
        <v>4</v>
      </c>
      <c r="F2912" s="5">
        <v>1</v>
      </c>
      <c r="G2912" s="12">
        <f>SUM($D$7:D2912)</f>
        <v>10594906.350000026</v>
      </c>
      <c r="H2912" s="11">
        <f t="shared" si="45"/>
        <v>0.99327080559062719</v>
      </c>
    </row>
    <row r="2913" spans="1:8" ht="15" customHeight="1" x14ac:dyDescent="0.25">
      <c r="A2913" s="5">
        <v>2907</v>
      </c>
      <c r="B2913" s="10" t="s">
        <v>5732</v>
      </c>
      <c r="C2913" s="10" t="s">
        <v>5733</v>
      </c>
      <c r="D2913" s="7">
        <v>171.6</v>
      </c>
      <c r="E2913" s="5">
        <v>88</v>
      </c>
      <c r="F2913" s="5">
        <v>14</v>
      </c>
      <c r="G2913" s="12">
        <f>SUM($D$7:D2913)</f>
        <v>10595077.950000025</v>
      </c>
      <c r="H2913" s="11">
        <f t="shared" si="45"/>
        <v>0.99328689306366458</v>
      </c>
    </row>
    <row r="2914" spans="1:8" ht="15" customHeight="1" x14ac:dyDescent="0.25">
      <c r="A2914" s="5">
        <v>2908</v>
      </c>
      <c r="B2914" s="10" t="s">
        <v>5734</v>
      </c>
      <c r="C2914" s="10" t="s">
        <v>5735</v>
      </c>
      <c r="D2914" s="7">
        <v>171.45</v>
      </c>
      <c r="E2914" s="5">
        <v>27</v>
      </c>
      <c r="F2914" s="5">
        <v>10</v>
      </c>
      <c r="G2914" s="12">
        <f>SUM($D$7:D2914)</f>
        <v>10595249.400000025</v>
      </c>
      <c r="H2914" s="11">
        <f t="shared" si="45"/>
        <v>0.99330296647422545</v>
      </c>
    </row>
    <row r="2915" spans="1:8" ht="15" customHeight="1" x14ac:dyDescent="0.25">
      <c r="A2915" s="5">
        <v>2909</v>
      </c>
      <c r="B2915" s="10" t="s">
        <v>5736</v>
      </c>
      <c r="C2915" s="10" t="s">
        <v>5737</v>
      </c>
      <c r="D2915" s="7">
        <v>171.11</v>
      </c>
      <c r="E2915" s="5">
        <v>45</v>
      </c>
      <c r="F2915" s="5">
        <v>9</v>
      </c>
      <c r="G2915" s="12">
        <f>SUM($D$7:D2915)</f>
        <v>10595420.510000024</v>
      </c>
      <c r="H2915" s="11">
        <f t="shared" si="45"/>
        <v>0.99331900800983985</v>
      </c>
    </row>
    <row r="2916" spans="1:8" ht="15" customHeight="1" x14ac:dyDescent="0.25">
      <c r="A2916" s="5">
        <v>2910</v>
      </c>
      <c r="B2916" s="10" t="s">
        <v>5738</v>
      </c>
      <c r="C2916" s="10" t="s">
        <v>5739</v>
      </c>
      <c r="D2916" s="7">
        <v>169.75</v>
      </c>
      <c r="E2916" s="5">
        <v>6</v>
      </c>
      <c r="F2916" s="5">
        <v>4</v>
      </c>
      <c r="G2916" s="12">
        <f>SUM($D$7:D2916)</f>
        <v>10595590.260000024</v>
      </c>
      <c r="H2916" s="11">
        <f t="shared" si="45"/>
        <v>0.99333492204566787</v>
      </c>
    </row>
    <row r="2917" spans="1:8" ht="15" customHeight="1" x14ac:dyDescent="0.25">
      <c r="A2917" s="5">
        <v>2911</v>
      </c>
      <c r="B2917" s="10" t="s">
        <v>5740</v>
      </c>
      <c r="C2917" s="10" t="s">
        <v>5741</v>
      </c>
      <c r="D2917" s="7">
        <v>168.59</v>
      </c>
      <c r="E2917" s="5">
        <v>119</v>
      </c>
      <c r="F2917" s="5">
        <v>31</v>
      </c>
      <c r="G2917" s="12">
        <f>SUM($D$7:D2917)</f>
        <v>10595758.850000024</v>
      </c>
      <c r="H2917" s="11">
        <f t="shared" si="45"/>
        <v>0.99335072733167817</v>
      </c>
    </row>
    <row r="2918" spans="1:8" ht="15" customHeight="1" x14ac:dyDescent="0.25">
      <c r="A2918" s="5">
        <v>2912</v>
      </c>
      <c r="B2918" s="10" t="s">
        <v>5742</v>
      </c>
      <c r="C2918" s="10" t="s">
        <v>5743</v>
      </c>
      <c r="D2918" s="7">
        <v>168.16</v>
      </c>
      <c r="E2918" s="5">
        <v>56</v>
      </c>
      <c r="F2918" s="5">
        <v>16</v>
      </c>
      <c r="G2918" s="12">
        <f>SUM($D$7:D2918)</f>
        <v>10595927.010000024</v>
      </c>
      <c r="H2918" s="11">
        <f t="shared" si="45"/>
        <v>0.99336649230525609</v>
      </c>
    </row>
    <row r="2919" spans="1:8" ht="15" customHeight="1" x14ac:dyDescent="0.25">
      <c r="A2919" s="5">
        <v>2913</v>
      </c>
      <c r="B2919" s="10" t="s">
        <v>5744</v>
      </c>
      <c r="C2919" s="10" t="s">
        <v>5745</v>
      </c>
      <c r="D2919" s="7">
        <v>168</v>
      </c>
      <c r="E2919" s="5">
        <v>28</v>
      </c>
      <c r="F2919" s="5">
        <v>18</v>
      </c>
      <c r="G2919" s="12">
        <f>SUM($D$7:D2919)</f>
        <v>10596095.010000024</v>
      </c>
      <c r="H2919" s="11">
        <f t="shared" si="45"/>
        <v>0.99338224227885918</v>
      </c>
    </row>
    <row r="2920" spans="1:8" ht="15" customHeight="1" x14ac:dyDescent="0.25">
      <c r="A2920" s="5">
        <v>2914</v>
      </c>
      <c r="B2920" s="10" t="s">
        <v>5746</v>
      </c>
      <c r="C2920" s="10" t="s">
        <v>5747</v>
      </c>
      <c r="D2920" s="7">
        <v>167.79</v>
      </c>
      <c r="E2920" s="5">
        <v>104</v>
      </c>
      <c r="F2920" s="5">
        <v>20</v>
      </c>
      <c r="G2920" s="12">
        <f>SUM($D$7:D2920)</f>
        <v>10596262.800000023</v>
      </c>
      <c r="H2920" s="11">
        <f t="shared" si="45"/>
        <v>0.99339797256499518</v>
      </c>
    </row>
    <row r="2921" spans="1:8" ht="15" customHeight="1" x14ac:dyDescent="0.25">
      <c r="A2921" s="5">
        <v>2915</v>
      </c>
      <c r="B2921" s="10" t="s">
        <v>5748</v>
      </c>
      <c r="C2921" s="10" t="s">
        <v>5749</v>
      </c>
      <c r="D2921" s="7">
        <v>167.7</v>
      </c>
      <c r="E2921" s="5">
        <v>38</v>
      </c>
      <c r="F2921" s="5">
        <v>13</v>
      </c>
      <c r="G2921" s="12">
        <f>SUM($D$7:D2921)</f>
        <v>10596430.500000022</v>
      </c>
      <c r="H2921" s="11">
        <f t="shared" si="45"/>
        <v>0.99341369441364524</v>
      </c>
    </row>
    <row r="2922" spans="1:8" ht="15" customHeight="1" x14ac:dyDescent="0.25">
      <c r="A2922" s="5">
        <v>2916</v>
      </c>
      <c r="B2922" s="10" t="s">
        <v>5750</v>
      </c>
      <c r="C2922" s="10" t="s">
        <v>5751</v>
      </c>
      <c r="D2922" s="7">
        <v>167.56</v>
      </c>
      <c r="E2922" s="5">
        <v>4</v>
      </c>
      <c r="F2922" s="5">
        <v>4</v>
      </c>
      <c r="G2922" s="12">
        <f>SUM($D$7:D2922)</f>
        <v>10596598.060000023</v>
      </c>
      <c r="H2922" s="11">
        <f t="shared" si="45"/>
        <v>0.99342940313731742</v>
      </c>
    </row>
    <row r="2923" spans="1:8" ht="15" customHeight="1" x14ac:dyDescent="0.25">
      <c r="A2923" s="5">
        <v>2917</v>
      </c>
      <c r="B2923" s="10" t="s">
        <v>5752</v>
      </c>
      <c r="C2923" s="10" t="s">
        <v>5753</v>
      </c>
      <c r="D2923" s="7">
        <v>167.3</v>
      </c>
      <c r="E2923" s="5">
        <v>18</v>
      </c>
      <c r="F2923" s="5">
        <v>15</v>
      </c>
      <c r="G2923" s="12">
        <f>SUM($D$7:D2923)</f>
        <v>10596765.360000024</v>
      </c>
      <c r="H2923" s="11">
        <f t="shared" si="45"/>
        <v>0.99344508748603055</v>
      </c>
    </row>
    <row r="2924" spans="1:8" ht="15" customHeight="1" x14ac:dyDescent="0.25">
      <c r="A2924" s="5">
        <v>2918</v>
      </c>
      <c r="B2924" s="10" t="s">
        <v>5754</v>
      </c>
      <c r="C2924" s="10" t="s">
        <v>5755</v>
      </c>
      <c r="D2924" s="7">
        <v>167.05</v>
      </c>
      <c r="E2924" s="5">
        <v>10</v>
      </c>
      <c r="F2924" s="5">
        <v>9</v>
      </c>
      <c r="G2924" s="12">
        <f>SUM($D$7:D2924)</f>
        <v>10596932.410000024</v>
      </c>
      <c r="H2924" s="11">
        <f t="shared" si="45"/>
        <v>0.99346074839728293</v>
      </c>
    </row>
    <row r="2925" spans="1:8" ht="15" customHeight="1" x14ac:dyDescent="0.25">
      <c r="A2925" s="5">
        <v>2919</v>
      </c>
      <c r="B2925" s="10" t="s">
        <v>5756</v>
      </c>
      <c r="C2925" s="10" t="s">
        <v>5757</v>
      </c>
      <c r="D2925" s="7">
        <v>165.89</v>
      </c>
      <c r="E2925" s="5">
        <v>124</v>
      </c>
      <c r="F2925" s="5">
        <v>25</v>
      </c>
      <c r="G2925" s="12">
        <f>SUM($D$7:D2925)</f>
        <v>10597098.300000025</v>
      </c>
      <c r="H2925" s="11">
        <f t="shared" si="45"/>
        <v>0.99347630055871761</v>
      </c>
    </row>
    <row r="2926" spans="1:8" ht="15" customHeight="1" x14ac:dyDescent="0.25">
      <c r="A2926" s="5">
        <v>2920</v>
      </c>
      <c r="B2926" s="10" t="s">
        <v>5758</v>
      </c>
      <c r="C2926" s="10" t="s">
        <v>5759</v>
      </c>
      <c r="D2926" s="7">
        <v>165.75</v>
      </c>
      <c r="E2926" s="5">
        <v>65</v>
      </c>
      <c r="F2926" s="5">
        <v>12</v>
      </c>
      <c r="G2926" s="12">
        <f>SUM($D$7:D2926)</f>
        <v>10597264.050000025</v>
      </c>
      <c r="H2926" s="11">
        <f t="shared" si="45"/>
        <v>0.99349183959517418</v>
      </c>
    </row>
    <row r="2927" spans="1:8" ht="15" customHeight="1" x14ac:dyDescent="0.25">
      <c r="A2927" s="5">
        <v>2921</v>
      </c>
      <c r="B2927" s="10" t="s">
        <v>5760</v>
      </c>
      <c r="C2927" s="10" t="s">
        <v>5761</v>
      </c>
      <c r="D2927" s="7">
        <v>165.74</v>
      </c>
      <c r="E2927" s="5">
        <v>12</v>
      </c>
      <c r="F2927" s="5">
        <v>8</v>
      </c>
      <c r="G2927" s="12">
        <f>SUM($D$7:D2927)</f>
        <v>10597429.790000025</v>
      </c>
      <c r="H2927" s="11">
        <f t="shared" si="45"/>
        <v>0.99350737769413233</v>
      </c>
    </row>
    <row r="2928" spans="1:8" ht="15" customHeight="1" x14ac:dyDescent="0.25">
      <c r="A2928" s="5">
        <v>2922</v>
      </c>
      <c r="B2928" s="10" t="s">
        <v>5762</v>
      </c>
      <c r="C2928" s="10" t="s">
        <v>5763</v>
      </c>
      <c r="D2928" s="7">
        <v>165.6</v>
      </c>
      <c r="E2928" s="5">
        <v>624</v>
      </c>
      <c r="F2928" s="5">
        <v>17</v>
      </c>
      <c r="G2928" s="12">
        <f>SUM($D$7:D2928)</f>
        <v>10597595.390000025</v>
      </c>
      <c r="H2928" s="11">
        <f t="shared" si="45"/>
        <v>0.9935229026681125</v>
      </c>
    </row>
    <row r="2929" spans="1:8" ht="15" customHeight="1" x14ac:dyDescent="0.25">
      <c r="A2929" s="5">
        <v>2923</v>
      </c>
      <c r="B2929" s="10" t="s">
        <v>5764</v>
      </c>
      <c r="C2929" s="10" t="s">
        <v>5765</v>
      </c>
      <c r="D2929" s="7">
        <v>165.08</v>
      </c>
      <c r="E2929" s="5">
        <v>376</v>
      </c>
      <c r="F2929" s="5">
        <v>41</v>
      </c>
      <c r="G2929" s="12">
        <f>SUM($D$7:D2929)</f>
        <v>10597760.470000025</v>
      </c>
      <c r="H2929" s="11">
        <f t="shared" si="45"/>
        <v>0.99353837889217433</v>
      </c>
    </row>
    <row r="2930" spans="1:8" ht="15" customHeight="1" x14ac:dyDescent="0.25">
      <c r="A2930" s="5">
        <v>2924</v>
      </c>
      <c r="B2930" s="10" t="s">
        <v>5766</v>
      </c>
      <c r="C2930" s="10" t="s">
        <v>5767</v>
      </c>
      <c r="D2930" s="7">
        <v>165.001</v>
      </c>
      <c r="E2930" s="5">
        <v>12</v>
      </c>
      <c r="F2930" s="5">
        <v>11</v>
      </c>
      <c r="G2930" s="12">
        <f>SUM($D$7:D2930)</f>
        <v>10597925.471000025</v>
      </c>
      <c r="H2930" s="11">
        <f t="shared" si="45"/>
        <v>0.99355384770999855</v>
      </c>
    </row>
    <row r="2931" spans="1:8" ht="15" customHeight="1" x14ac:dyDescent="0.25">
      <c r="A2931" s="5">
        <v>2925</v>
      </c>
      <c r="B2931" s="10" t="s">
        <v>5768</v>
      </c>
      <c r="C2931" s="10" t="s">
        <v>5769</v>
      </c>
      <c r="D2931" s="7">
        <v>164.84</v>
      </c>
      <c r="E2931" s="5">
        <v>403</v>
      </c>
      <c r="F2931" s="5">
        <v>40</v>
      </c>
      <c r="G2931" s="12">
        <f>SUM($D$7:D2931)</f>
        <v>10598090.311000025</v>
      </c>
      <c r="H2931" s="11">
        <f t="shared" si="45"/>
        <v>0.99356930143409816</v>
      </c>
    </row>
    <row r="2932" spans="1:8" ht="15" customHeight="1" x14ac:dyDescent="0.25">
      <c r="A2932" s="5">
        <v>2926</v>
      </c>
      <c r="B2932" s="10" t="s">
        <v>5770</v>
      </c>
      <c r="C2932" s="10" t="s">
        <v>5771</v>
      </c>
      <c r="D2932" s="7">
        <v>164.17</v>
      </c>
      <c r="E2932" s="5">
        <v>296</v>
      </c>
      <c r="F2932" s="5">
        <v>45</v>
      </c>
      <c r="G2932" s="12">
        <f>SUM($D$7:D2932)</f>
        <v>10598254.481000025</v>
      </c>
      <c r="H2932" s="11">
        <f t="shared" si="45"/>
        <v>0.99358469234580293</v>
      </c>
    </row>
    <row r="2933" spans="1:8" ht="15" customHeight="1" x14ac:dyDescent="0.25">
      <c r="A2933" s="5">
        <v>2927</v>
      </c>
      <c r="B2933" s="10" t="s">
        <v>5772</v>
      </c>
      <c r="C2933" s="10" t="s">
        <v>5773</v>
      </c>
      <c r="D2933" s="7">
        <v>164.12</v>
      </c>
      <c r="E2933" s="5">
        <v>39</v>
      </c>
      <c r="F2933" s="5">
        <v>15</v>
      </c>
      <c r="G2933" s="12">
        <f>SUM($D$7:D2933)</f>
        <v>10598418.601000024</v>
      </c>
      <c r="H2933" s="11">
        <f t="shared" si="45"/>
        <v>0.99360007857001553</v>
      </c>
    </row>
    <row r="2934" spans="1:8" ht="15" customHeight="1" x14ac:dyDescent="0.25">
      <c r="A2934" s="5">
        <v>2928</v>
      </c>
      <c r="B2934" s="10" t="s">
        <v>5774</v>
      </c>
      <c r="C2934" s="10" t="s">
        <v>5775</v>
      </c>
      <c r="D2934" s="7">
        <v>163.82</v>
      </c>
      <c r="E2934" s="5">
        <v>26</v>
      </c>
      <c r="F2934" s="5">
        <v>10</v>
      </c>
      <c r="G2934" s="12">
        <f>SUM($D$7:D2934)</f>
        <v>10598582.421000024</v>
      </c>
      <c r="H2934" s="11">
        <f t="shared" si="45"/>
        <v>0.99361543666927543</v>
      </c>
    </row>
    <row r="2935" spans="1:8" ht="15" customHeight="1" x14ac:dyDescent="0.25">
      <c r="A2935" s="5">
        <v>2929</v>
      </c>
      <c r="B2935" s="10" t="s">
        <v>5776</v>
      </c>
      <c r="C2935" s="10" t="s">
        <v>5777</v>
      </c>
      <c r="D2935" s="7">
        <v>163.80000000000001</v>
      </c>
      <c r="E2935" s="5">
        <v>84</v>
      </c>
      <c r="F2935" s="5">
        <v>4</v>
      </c>
      <c r="G2935" s="12">
        <f>SUM($D$7:D2935)</f>
        <v>10598746.221000025</v>
      </c>
      <c r="H2935" s="11">
        <f t="shared" si="45"/>
        <v>0.99363079289353839</v>
      </c>
    </row>
    <row r="2936" spans="1:8" ht="15" customHeight="1" x14ac:dyDescent="0.25">
      <c r="A2936" s="5">
        <v>2930</v>
      </c>
      <c r="B2936" s="10" t="s">
        <v>5778</v>
      </c>
      <c r="C2936" s="10" t="s">
        <v>5779</v>
      </c>
      <c r="D2936" s="7">
        <v>163.69</v>
      </c>
      <c r="E2936" s="5">
        <v>146</v>
      </c>
      <c r="F2936" s="5">
        <v>29</v>
      </c>
      <c r="G2936" s="12">
        <f>SUM($D$7:D2936)</f>
        <v>10598909.911000025</v>
      </c>
      <c r="H2936" s="11">
        <f t="shared" si="45"/>
        <v>0.9936461388053186</v>
      </c>
    </row>
    <row r="2937" spans="1:8" ht="15" customHeight="1" x14ac:dyDescent="0.25">
      <c r="A2937" s="5">
        <v>2931</v>
      </c>
      <c r="B2937" s="10" t="s">
        <v>5780</v>
      </c>
      <c r="C2937" s="10" t="s">
        <v>5781</v>
      </c>
      <c r="D2937" s="7">
        <v>163.35</v>
      </c>
      <c r="E2937" s="5">
        <v>67</v>
      </c>
      <c r="F2937" s="5">
        <v>25</v>
      </c>
      <c r="G2937" s="12">
        <f>SUM($D$7:D2937)</f>
        <v>10599073.261000024</v>
      </c>
      <c r="H2937" s="11">
        <f t="shared" si="45"/>
        <v>0.99366145284215224</v>
      </c>
    </row>
    <row r="2938" spans="1:8" ht="15" customHeight="1" x14ac:dyDescent="0.25">
      <c r="A2938" s="5">
        <v>2932</v>
      </c>
      <c r="B2938" s="10" t="s">
        <v>5782</v>
      </c>
      <c r="C2938" s="10" t="s">
        <v>5783</v>
      </c>
      <c r="D2938" s="7">
        <v>163.1</v>
      </c>
      <c r="E2938" s="5">
        <v>60</v>
      </c>
      <c r="F2938" s="5">
        <v>34</v>
      </c>
      <c r="G2938" s="12">
        <f>SUM($D$7:D2938)</f>
        <v>10599236.361000024</v>
      </c>
      <c r="H2938" s="11">
        <f t="shared" si="45"/>
        <v>0.99367674344152523</v>
      </c>
    </row>
    <row r="2939" spans="1:8" ht="15" customHeight="1" x14ac:dyDescent="0.25">
      <c r="A2939" s="5">
        <v>2933</v>
      </c>
      <c r="B2939" s="10" t="s">
        <v>5784</v>
      </c>
      <c r="C2939" s="10" t="s">
        <v>5785</v>
      </c>
      <c r="D2939" s="7">
        <v>162.79</v>
      </c>
      <c r="E2939" s="5">
        <v>16</v>
      </c>
      <c r="F2939" s="5">
        <v>15</v>
      </c>
      <c r="G2939" s="12">
        <f>SUM($D$7:D2939)</f>
        <v>10599399.151000023</v>
      </c>
      <c r="H2939" s="11">
        <f t="shared" si="45"/>
        <v>0.99369200497844679</v>
      </c>
    </row>
    <row r="2940" spans="1:8" ht="15" customHeight="1" x14ac:dyDescent="0.25">
      <c r="A2940" s="5">
        <v>2934</v>
      </c>
      <c r="B2940" s="10" t="s">
        <v>5786</v>
      </c>
      <c r="C2940" s="10" t="s">
        <v>5787</v>
      </c>
      <c r="D2940" s="7">
        <v>162.21</v>
      </c>
      <c r="E2940" s="5">
        <v>65</v>
      </c>
      <c r="F2940" s="5">
        <v>27</v>
      </c>
      <c r="G2940" s="12">
        <f>SUM($D$7:D2940)</f>
        <v>10599561.361000024</v>
      </c>
      <c r="H2940" s="11">
        <f t="shared" si="45"/>
        <v>0.99370721214045965</v>
      </c>
    </row>
    <row r="2941" spans="1:8" ht="15" customHeight="1" x14ac:dyDescent="0.25">
      <c r="A2941" s="5">
        <v>2935</v>
      </c>
      <c r="B2941" s="10" t="s">
        <v>5788</v>
      </c>
      <c r="C2941" s="10" t="s">
        <v>5789</v>
      </c>
      <c r="D2941" s="7">
        <v>162.19999999999999</v>
      </c>
      <c r="E2941" s="5">
        <v>194</v>
      </c>
      <c r="F2941" s="5">
        <v>12</v>
      </c>
      <c r="G2941" s="12">
        <f>SUM($D$7:D2941)</f>
        <v>10599723.561000023</v>
      </c>
      <c r="H2941" s="11">
        <f t="shared" si="45"/>
        <v>0.99372241836497399</v>
      </c>
    </row>
    <row r="2942" spans="1:8" ht="15" customHeight="1" x14ac:dyDescent="0.25">
      <c r="A2942" s="5">
        <v>2936</v>
      </c>
      <c r="B2942" s="10" t="s">
        <v>5790</v>
      </c>
      <c r="C2942" s="10" t="s">
        <v>3175</v>
      </c>
      <c r="D2942" s="7">
        <v>161.69999999999999</v>
      </c>
      <c r="E2942" s="5">
        <v>49</v>
      </c>
      <c r="F2942" s="5">
        <v>15</v>
      </c>
      <c r="G2942" s="12">
        <f>SUM($D$7:D2942)</f>
        <v>10599885.261000022</v>
      </c>
      <c r="H2942" s="11">
        <f t="shared" si="45"/>
        <v>0.99373757771456683</v>
      </c>
    </row>
    <row r="2943" spans="1:8" ht="15" customHeight="1" x14ac:dyDescent="0.25">
      <c r="A2943" s="5">
        <v>2937</v>
      </c>
      <c r="B2943" s="10" t="s">
        <v>5791</v>
      </c>
      <c r="C2943" s="10" t="s">
        <v>5792</v>
      </c>
      <c r="D2943" s="7">
        <v>161.49</v>
      </c>
      <c r="E2943" s="5">
        <v>101</v>
      </c>
      <c r="F2943" s="5">
        <v>16</v>
      </c>
      <c r="G2943" s="12">
        <f>SUM($D$7:D2943)</f>
        <v>10600046.751000023</v>
      </c>
      <c r="H2943" s="11">
        <f t="shared" si="45"/>
        <v>0.9937527173766928</v>
      </c>
    </row>
    <row r="2944" spans="1:8" ht="15" customHeight="1" x14ac:dyDescent="0.25">
      <c r="A2944" s="5">
        <v>2938</v>
      </c>
      <c r="B2944" s="10" t="s">
        <v>5793</v>
      </c>
      <c r="C2944" s="10" t="s">
        <v>5794</v>
      </c>
      <c r="D2944" s="7">
        <v>160.5</v>
      </c>
      <c r="E2944" s="5">
        <v>70</v>
      </c>
      <c r="F2944" s="5">
        <v>18</v>
      </c>
      <c r="G2944" s="12">
        <f>SUM($D$7:D2944)</f>
        <v>10600207.251000023</v>
      </c>
      <c r="H2944" s="11">
        <f t="shared" si="45"/>
        <v>0.99376776422647428</v>
      </c>
    </row>
    <row r="2945" spans="1:8" ht="15" customHeight="1" x14ac:dyDescent="0.25">
      <c r="A2945" s="5">
        <v>2939</v>
      </c>
      <c r="B2945" s="10" t="s">
        <v>5795</v>
      </c>
      <c r="C2945" s="10" t="s">
        <v>5796</v>
      </c>
      <c r="D2945" s="7">
        <v>160.47999999999999</v>
      </c>
      <c r="E2945" s="5">
        <v>224</v>
      </c>
      <c r="F2945" s="5">
        <v>10</v>
      </c>
      <c r="G2945" s="12">
        <f>SUM($D$7:D2945)</f>
        <v>10600367.731000023</v>
      </c>
      <c r="H2945" s="11">
        <f t="shared" si="45"/>
        <v>0.99378280920125894</v>
      </c>
    </row>
    <row r="2946" spans="1:8" ht="15" customHeight="1" x14ac:dyDescent="0.25">
      <c r="A2946" s="5">
        <v>2940</v>
      </c>
      <c r="B2946" s="10" t="s">
        <v>5797</v>
      </c>
      <c r="C2946" s="10" t="s">
        <v>5798</v>
      </c>
      <c r="D2946" s="7">
        <v>160.09</v>
      </c>
      <c r="E2946" s="5">
        <v>15</v>
      </c>
      <c r="F2946" s="5">
        <v>6</v>
      </c>
      <c r="G2946" s="12">
        <f>SUM($D$7:D2946)</f>
        <v>10600527.821000023</v>
      </c>
      <c r="H2946" s="11">
        <f t="shared" si="45"/>
        <v>0.99379781761360486</v>
      </c>
    </row>
    <row r="2947" spans="1:8" ht="15" customHeight="1" x14ac:dyDescent="0.25">
      <c r="A2947" s="5">
        <v>2941</v>
      </c>
      <c r="B2947" s="10" t="s">
        <v>5799</v>
      </c>
      <c r="C2947" s="10" t="s">
        <v>5800</v>
      </c>
      <c r="D2947" s="7">
        <v>159.9</v>
      </c>
      <c r="E2947" s="5">
        <v>82</v>
      </c>
      <c r="F2947" s="5">
        <v>9</v>
      </c>
      <c r="G2947" s="12">
        <f>SUM($D$7:D2947)</f>
        <v>10600687.721000023</v>
      </c>
      <c r="H2947" s="11">
        <f t="shared" si="45"/>
        <v>0.99381280821348061</v>
      </c>
    </row>
    <row r="2948" spans="1:8" ht="15" customHeight="1" x14ac:dyDescent="0.25">
      <c r="A2948" s="5">
        <v>2942</v>
      </c>
      <c r="B2948" s="10" t="s">
        <v>5801</v>
      </c>
      <c r="C2948" s="10" t="s">
        <v>5802</v>
      </c>
      <c r="D2948" s="7">
        <v>159.69</v>
      </c>
      <c r="E2948" s="5">
        <v>343</v>
      </c>
      <c r="F2948" s="5">
        <v>55</v>
      </c>
      <c r="G2948" s="12">
        <f>SUM($D$7:D2948)</f>
        <v>10600847.411000023</v>
      </c>
      <c r="H2948" s="11">
        <f t="shared" si="45"/>
        <v>0.99382777912588927</v>
      </c>
    </row>
    <row r="2949" spans="1:8" ht="15" customHeight="1" x14ac:dyDescent="0.25">
      <c r="A2949" s="5">
        <v>2943</v>
      </c>
      <c r="B2949" s="10" t="s">
        <v>3591</v>
      </c>
      <c r="C2949" s="10" t="s">
        <v>5803</v>
      </c>
      <c r="D2949" s="7">
        <v>159.6</v>
      </c>
      <c r="E2949" s="5">
        <v>380</v>
      </c>
      <c r="F2949" s="5">
        <v>16</v>
      </c>
      <c r="G2949" s="12">
        <f>SUM($D$7:D2949)</f>
        <v>10601007.011000022</v>
      </c>
      <c r="H2949" s="11">
        <f t="shared" si="45"/>
        <v>0.99384274160081221</v>
      </c>
    </row>
    <row r="2950" spans="1:8" ht="15" customHeight="1" x14ac:dyDescent="0.25">
      <c r="A2950" s="5">
        <v>2944</v>
      </c>
      <c r="B2950" s="10" t="s">
        <v>5804</v>
      </c>
      <c r="C2950" s="10" t="s">
        <v>5805</v>
      </c>
      <c r="D2950" s="7">
        <v>158.63</v>
      </c>
      <c r="E2950" s="5">
        <v>357</v>
      </c>
      <c r="F2950" s="5">
        <v>32</v>
      </c>
      <c r="G2950" s="12">
        <f>SUM($D$7:D2950)</f>
        <v>10601165.641000023</v>
      </c>
      <c r="H2950" s="11">
        <f t="shared" si="45"/>
        <v>0.9938576131383875</v>
      </c>
    </row>
    <row r="2951" spans="1:8" ht="15" customHeight="1" x14ac:dyDescent="0.25">
      <c r="A2951" s="5">
        <v>2945</v>
      </c>
      <c r="B2951" s="10" t="s">
        <v>2034</v>
      </c>
      <c r="C2951" s="10" t="s">
        <v>1222</v>
      </c>
      <c r="D2951" s="7">
        <v>158.22999999999999</v>
      </c>
      <c r="E2951" s="5">
        <v>19</v>
      </c>
      <c r="F2951" s="5">
        <v>6</v>
      </c>
      <c r="G2951" s="12">
        <f>SUM($D$7:D2951)</f>
        <v>10601323.871000024</v>
      </c>
      <c r="H2951" s="11">
        <f t="shared" ref="H2951:H3014" si="46">G2951/SUM($D$7:$D$4167)</f>
        <v>0.99387244717602574</v>
      </c>
    </row>
    <row r="2952" spans="1:8" ht="15" customHeight="1" x14ac:dyDescent="0.25">
      <c r="A2952" s="5">
        <v>2946</v>
      </c>
      <c r="B2952" s="10" t="s">
        <v>5806</v>
      </c>
      <c r="C2952" s="10" t="s">
        <v>5807</v>
      </c>
      <c r="D2952" s="7">
        <v>158.08000000000001</v>
      </c>
      <c r="E2952" s="5">
        <v>39</v>
      </c>
      <c r="F2952" s="5">
        <v>28</v>
      </c>
      <c r="G2952" s="12">
        <f>SUM($D$7:D2952)</f>
        <v>10601481.951000024</v>
      </c>
      <c r="H2952" s="11">
        <f t="shared" si="46"/>
        <v>0.99388726715118747</v>
      </c>
    </row>
    <row r="2953" spans="1:8" ht="15" customHeight="1" x14ac:dyDescent="0.25">
      <c r="A2953" s="5">
        <v>2947</v>
      </c>
      <c r="B2953" s="10" t="s">
        <v>5808</v>
      </c>
      <c r="C2953" s="10" t="s">
        <v>5809</v>
      </c>
      <c r="D2953" s="7">
        <v>158.06</v>
      </c>
      <c r="E2953" s="5">
        <v>1525</v>
      </c>
      <c r="F2953" s="5">
        <v>34</v>
      </c>
      <c r="G2953" s="12">
        <f>SUM($D$7:D2953)</f>
        <v>10601640.011000024</v>
      </c>
      <c r="H2953" s="11">
        <f t="shared" si="46"/>
        <v>0.99390208525135237</v>
      </c>
    </row>
    <row r="2954" spans="1:8" ht="15" customHeight="1" x14ac:dyDescent="0.25">
      <c r="A2954" s="5">
        <v>2948</v>
      </c>
      <c r="B2954" s="10" t="s">
        <v>5810</v>
      </c>
      <c r="C2954" s="10" t="s">
        <v>5811</v>
      </c>
      <c r="D2954" s="7">
        <v>157.5</v>
      </c>
      <c r="E2954" s="5">
        <v>146</v>
      </c>
      <c r="F2954" s="5">
        <v>27</v>
      </c>
      <c r="G2954" s="12">
        <f>SUM($D$7:D2954)</f>
        <v>10601797.511000024</v>
      </c>
      <c r="H2954" s="11">
        <f t="shared" si="46"/>
        <v>0.99391685085160519</v>
      </c>
    </row>
    <row r="2955" spans="1:8" ht="15" customHeight="1" x14ac:dyDescent="0.25">
      <c r="A2955" s="5">
        <v>2949</v>
      </c>
      <c r="B2955" s="10" t="s">
        <v>5812</v>
      </c>
      <c r="C2955" s="10" t="s">
        <v>5813</v>
      </c>
      <c r="D2955" s="7">
        <v>157.5</v>
      </c>
      <c r="E2955" s="5">
        <v>54</v>
      </c>
      <c r="F2955" s="5">
        <v>45</v>
      </c>
      <c r="G2955" s="12">
        <f>SUM($D$7:D2955)</f>
        <v>10601955.011000024</v>
      </c>
      <c r="H2955" s="11">
        <f t="shared" si="46"/>
        <v>0.99393161645185812</v>
      </c>
    </row>
    <row r="2956" spans="1:8" ht="15" customHeight="1" x14ac:dyDescent="0.25">
      <c r="A2956" s="5">
        <v>2950</v>
      </c>
      <c r="B2956" s="10" t="s">
        <v>5814</v>
      </c>
      <c r="C2956" s="10" t="s">
        <v>5815</v>
      </c>
      <c r="D2956" s="7">
        <v>157.5</v>
      </c>
      <c r="E2956" s="5">
        <v>57</v>
      </c>
      <c r="F2956" s="5">
        <v>25</v>
      </c>
      <c r="G2956" s="12">
        <f>SUM($D$7:D2956)</f>
        <v>10602112.511000024</v>
      </c>
      <c r="H2956" s="11">
        <f t="shared" si="46"/>
        <v>0.99394638205211094</v>
      </c>
    </row>
    <row r="2957" spans="1:8" ht="15" customHeight="1" x14ac:dyDescent="0.25">
      <c r="A2957" s="5">
        <v>2951</v>
      </c>
      <c r="B2957" s="10" t="s">
        <v>5816</v>
      </c>
      <c r="C2957" s="10" t="s">
        <v>5817</v>
      </c>
      <c r="D2957" s="7">
        <v>157.5</v>
      </c>
      <c r="E2957" s="5">
        <v>375</v>
      </c>
      <c r="F2957" s="5">
        <v>14</v>
      </c>
      <c r="G2957" s="12">
        <f>SUM($D$7:D2957)</f>
        <v>10602270.011000024</v>
      </c>
      <c r="H2957" s="11">
        <f t="shared" si="46"/>
        <v>0.99396114765236376</v>
      </c>
    </row>
    <row r="2958" spans="1:8" ht="15" customHeight="1" x14ac:dyDescent="0.25">
      <c r="A2958" s="5">
        <v>2952</v>
      </c>
      <c r="B2958" s="10" t="s">
        <v>5818</v>
      </c>
      <c r="C2958" s="10" t="s">
        <v>5819</v>
      </c>
      <c r="D2958" s="7">
        <v>157.34</v>
      </c>
      <c r="E2958" s="5">
        <v>38</v>
      </c>
      <c r="F2958" s="5">
        <v>18</v>
      </c>
      <c r="G2958" s="12">
        <f>SUM($D$7:D2958)</f>
        <v>10602427.351000024</v>
      </c>
      <c r="H2958" s="11">
        <f t="shared" si="46"/>
        <v>0.99397589825264177</v>
      </c>
    </row>
    <row r="2959" spans="1:8" ht="15" customHeight="1" x14ac:dyDescent="0.25">
      <c r="A2959" s="5">
        <v>2953</v>
      </c>
      <c r="B2959" s="10" t="s">
        <v>5820</v>
      </c>
      <c r="C2959" s="10" t="s">
        <v>5821</v>
      </c>
      <c r="D2959" s="7">
        <v>156.85</v>
      </c>
      <c r="E2959" s="5">
        <v>57</v>
      </c>
      <c r="F2959" s="5">
        <v>35</v>
      </c>
      <c r="G2959" s="12">
        <f>SUM($D$7:D2959)</f>
        <v>10602584.201000024</v>
      </c>
      <c r="H2959" s="11">
        <f t="shared" si="46"/>
        <v>0.99399060291549668</v>
      </c>
    </row>
    <row r="2960" spans="1:8" ht="15" customHeight="1" x14ac:dyDescent="0.25">
      <c r="A2960" s="5">
        <v>2954</v>
      </c>
      <c r="B2960" s="10" t="s">
        <v>5822</v>
      </c>
      <c r="C2960" s="10" t="s">
        <v>5823</v>
      </c>
      <c r="D2960" s="7">
        <v>156.75</v>
      </c>
      <c r="E2960" s="5">
        <v>19</v>
      </c>
      <c r="F2960" s="5">
        <v>11</v>
      </c>
      <c r="G2960" s="12">
        <f>SUM($D$7:D2960)</f>
        <v>10602740.951000024</v>
      </c>
      <c r="H2960" s="11">
        <f t="shared" si="46"/>
        <v>0.99400529820336736</v>
      </c>
    </row>
    <row r="2961" spans="1:8" ht="15" customHeight="1" x14ac:dyDescent="0.25">
      <c r="A2961" s="5">
        <v>2955</v>
      </c>
      <c r="B2961" s="10" t="s">
        <v>5824</v>
      </c>
      <c r="C2961" s="10" t="s">
        <v>5825</v>
      </c>
      <c r="D2961" s="7">
        <v>156.63</v>
      </c>
      <c r="E2961" s="5">
        <v>179</v>
      </c>
      <c r="F2961" s="5">
        <v>66</v>
      </c>
      <c r="G2961" s="12">
        <f>SUM($D$7:D2961)</f>
        <v>10602897.581000024</v>
      </c>
      <c r="H2961" s="11">
        <f t="shared" si="46"/>
        <v>0.99401998224125709</v>
      </c>
    </row>
    <row r="2962" spans="1:8" ht="15" customHeight="1" x14ac:dyDescent="0.25">
      <c r="A2962" s="5">
        <v>2956</v>
      </c>
      <c r="B2962" s="10" t="s">
        <v>5826</v>
      </c>
      <c r="C2962" s="10" t="s">
        <v>5827</v>
      </c>
      <c r="D2962" s="7">
        <v>155.82</v>
      </c>
      <c r="E2962" s="5">
        <v>698</v>
      </c>
      <c r="F2962" s="5">
        <v>33</v>
      </c>
      <c r="G2962" s="12">
        <f>SUM($D$7:D2962)</f>
        <v>10603053.401000025</v>
      </c>
      <c r="H2962" s="11">
        <f t="shared" si="46"/>
        <v>0.99403459034177388</v>
      </c>
    </row>
    <row r="2963" spans="1:8" ht="15" customHeight="1" x14ac:dyDescent="0.25">
      <c r="A2963" s="5">
        <v>2957</v>
      </c>
      <c r="B2963" s="10" t="s">
        <v>5828</v>
      </c>
      <c r="C2963" s="10" t="s">
        <v>5829</v>
      </c>
      <c r="D2963" s="7">
        <v>155.6</v>
      </c>
      <c r="E2963" s="5">
        <v>18</v>
      </c>
      <c r="F2963" s="5">
        <v>11</v>
      </c>
      <c r="G2963" s="12">
        <f>SUM($D$7:D2963)</f>
        <v>10603209.001000024</v>
      </c>
      <c r="H2963" s="11">
        <f t="shared" si="46"/>
        <v>0.99404917781732527</v>
      </c>
    </row>
    <row r="2964" spans="1:8" ht="15" customHeight="1" x14ac:dyDescent="0.25">
      <c r="A2964" s="5">
        <v>2958</v>
      </c>
      <c r="B2964" s="10" t="s">
        <v>5830</v>
      </c>
      <c r="C2964" s="10" t="s">
        <v>5831</v>
      </c>
      <c r="D2964" s="7">
        <v>155.55000000000001</v>
      </c>
      <c r="E2964" s="5">
        <v>61</v>
      </c>
      <c r="F2964" s="5">
        <v>24</v>
      </c>
      <c r="G2964" s="12">
        <f>SUM($D$7:D2964)</f>
        <v>10603364.551000025</v>
      </c>
      <c r="H2964" s="11">
        <f t="shared" si="46"/>
        <v>0.99406376060538459</v>
      </c>
    </row>
    <row r="2965" spans="1:8" ht="15" customHeight="1" x14ac:dyDescent="0.25">
      <c r="A2965" s="5">
        <v>2959</v>
      </c>
      <c r="B2965" s="10" t="s">
        <v>1829</v>
      </c>
      <c r="C2965" s="10" t="s">
        <v>5832</v>
      </c>
      <c r="D2965" s="7">
        <v>155.54</v>
      </c>
      <c r="E2965" s="5">
        <v>106</v>
      </c>
      <c r="F2965" s="5">
        <v>19</v>
      </c>
      <c r="G2965" s="12">
        <f>SUM($D$7:D2965)</f>
        <v>10603520.091000024</v>
      </c>
      <c r="H2965" s="11">
        <f t="shared" si="46"/>
        <v>0.99407834245594529</v>
      </c>
    </row>
    <row r="2966" spans="1:8" ht="15" customHeight="1" x14ac:dyDescent="0.25">
      <c r="A2966" s="5">
        <v>2960</v>
      </c>
      <c r="B2966" s="10" t="s">
        <v>5833</v>
      </c>
      <c r="C2966" s="10" t="s">
        <v>5834</v>
      </c>
      <c r="D2966" s="7">
        <v>154.68</v>
      </c>
      <c r="E2966" s="5">
        <v>78</v>
      </c>
      <c r="F2966" s="5">
        <v>22</v>
      </c>
      <c r="G2966" s="12">
        <f>SUM($D$7:D2966)</f>
        <v>10603674.771000024</v>
      </c>
      <c r="H2966" s="11">
        <f t="shared" si="46"/>
        <v>0.99409284368164119</v>
      </c>
    </row>
    <row r="2967" spans="1:8" ht="15" customHeight="1" x14ac:dyDescent="0.25">
      <c r="A2967" s="5">
        <v>2961</v>
      </c>
      <c r="B2967" s="10" t="s">
        <v>5835</v>
      </c>
      <c r="C2967" s="10" t="s">
        <v>5836</v>
      </c>
      <c r="D2967" s="7">
        <v>154.52000000000001</v>
      </c>
      <c r="E2967" s="5">
        <v>112</v>
      </c>
      <c r="F2967" s="5">
        <v>31</v>
      </c>
      <c r="G2967" s="12">
        <f>SUM($D$7:D2967)</f>
        <v>10603829.291000023</v>
      </c>
      <c r="H2967" s="11">
        <f t="shared" si="46"/>
        <v>0.99410732990736228</v>
      </c>
    </row>
    <row r="2968" spans="1:8" ht="15" customHeight="1" x14ac:dyDescent="0.25">
      <c r="A2968" s="5">
        <v>2962</v>
      </c>
      <c r="B2968" s="10" t="s">
        <v>5837</v>
      </c>
      <c r="C2968" s="10" t="s">
        <v>5838</v>
      </c>
      <c r="D2968" s="7">
        <v>154.38999999999999</v>
      </c>
      <c r="E2968" s="5">
        <v>511</v>
      </c>
      <c r="F2968" s="5">
        <v>14</v>
      </c>
      <c r="G2968" s="12">
        <f>SUM($D$7:D2968)</f>
        <v>10603983.681000024</v>
      </c>
      <c r="H2968" s="11">
        <f t="shared" si="46"/>
        <v>0.99412180394560379</v>
      </c>
    </row>
    <row r="2969" spans="1:8" ht="15" customHeight="1" x14ac:dyDescent="0.25">
      <c r="A2969" s="5">
        <v>2963</v>
      </c>
      <c r="B2969" s="10" t="s">
        <v>5839</v>
      </c>
      <c r="C2969" s="10" t="s">
        <v>5840</v>
      </c>
      <c r="D2969" s="7">
        <v>153.29</v>
      </c>
      <c r="E2969" s="5">
        <v>51</v>
      </c>
      <c r="F2969" s="5">
        <v>9</v>
      </c>
      <c r="G2969" s="12">
        <f>SUM($D$7:D2969)</f>
        <v>10604136.971000023</v>
      </c>
      <c r="H2969" s="11">
        <f t="shared" si="46"/>
        <v>0.99413617485901806</v>
      </c>
    </row>
    <row r="2970" spans="1:8" ht="15" customHeight="1" x14ac:dyDescent="0.25">
      <c r="A2970" s="5">
        <v>2964</v>
      </c>
      <c r="B2970" s="10" t="s">
        <v>5283</v>
      </c>
      <c r="C2970" s="10" t="s">
        <v>5841</v>
      </c>
      <c r="D2970" s="7">
        <v>153</v>
      </c>
      <c r="E2970" s="5">
        <v>60</v>
      </c>
      <c r="F2970" s="5">
        <v>20</v>
      </c>
      <c r="G2970" s="12">
        <f>SUM($D$7:D2970)</f>
        <v>10604289.971000023</v>
      </c>
      <c r="H2970" s="11">
        <f t="shared" si="46"/>
        <v>0.99415051858497805</v>
      </c>
    </row>
    <row r="2971" spans="1:8" ht="15" customHeight="1" x14ac:dyDescent="0.25">
      <c r="A2971" s="5">
        <v>2965</v>
      </c>
      <c r="B2971" s="10" t="s">
        <v>5842</v>
      </c>
      <c r="C2971" s="10" t="s">
        <v>5843</v>
      </c>
      <c r="D2971" s="7">
        <v>152.84</v>
      </c>
      <c r="E2971" s="5">
        <v>15</v>
      </c>
      <c r="F2971" s="5">
        <v>13</v>
      </c>
      <c r="G2971" s="12">
        <f>SUM($D$7:D2971)</f>
        <v>10604442.811000023</v>
      </c>
      <c r="H2971" s="11">
        <f t="shared" si="46"/>
        <v>0.99416484731096311</v>
      </c>
    </row>
    <row r="2972" spans="1:8" ht="15" customHeight="1" x14ac:dyDescent="0.25">
      <c r="A2972" s="5">
        <v>2966</v>
      </c>
      <c r="B2972" s="10" t="s">
        <v>5844</v>
      </c>
      <c r="C2972" s="10" t="s">
        <v>5845</v>
      </c>
      <c r="D2972" s="7">
        <v>152.5</v>
      </c>
      <c r="E2972" s="5">
        <v>122</v>
      </c>
      <c r="F2972" s="5">
        <v>8</v>
      </c>
      <c r="G2972" s="12">
        <f>SUM($D$7:D2972)</f>
        <v>10604595.311000023</v>
      </c>
      <c r="H2972" s="11">
        <f t="shared" si="46"/>
        <v>0.99417914416200148</v>
      </c>
    </row>
    <row r="2973" spans="1:8" ht="15" customHeight="1" x14ac:dyDescent="0.25">
      <c r="A2973" s="5">
        <v>2967</v>
      </c>
      <c r="B2973" s="10" t="s">
        <v>5846</v>
      </c>
      <c r="C2973" s="10" t="s">
        <v>5847</v>
      </c>
      <c r="D2973" s="7">
        <v>152.4</v>
      </c>
      <c r="E2973" s="5">
        <v>36</v>
      </c>
      <c r="F2973" s="5">
        <v>17</v>
      </c>
      <c r="G2973" s="12">
        <f>SUM($D$7:D2973)</f>
        <v>10604747.711000023</v>
      </c>
      <c r="H2973" s="11">
        <f t="shared" si="46"/>
        <v>0.99419343163805574</v>
      </c>
    </row>
    <row r="2974" spans="1:8" ht="15" customHeight="1" x14ac:dyDescent="0.25">
      <c r="A2974" s="5">
        <v>2968</v>
      </c>
      <c r="B2974" s="10" t="s">
        <v>4833</v>
      </c>
      <c r="C2974" s="10" t="s">
        <v>5848</v>
      </c>
      <c r="D2974" s="7">
        <v>152.24</v>
      </c>
      <c r="E2974" s="5">
        <v>56</v>
      </c>
      <c r="F2974" s="5">
        <v>5</v>
      </c>
      <c r="G2974" s="12">
        <f>SUM($D$7:D2974)</f>
        <v>10604899.951000024</v>
      </c>
      <c r="H2974" s="11">
        <f t="shared" si="46"/>
        <v>0.99420770411413506</v>
      </c>
    </row>
    <row r="2975" spans="1:8" ht="15" customHeight="1" x14ac:dyDescent="0.25">
      <c r="A2975" s="5">
        <v>2969</v>
      </c>
      <c r="B2975" s="10" t="s">
        <v>5849</v>
      </c>
      <c r="C2975" s="10" t="s">
        <v>5850</v>
      </c>
      <c r="D2975" s="7">
        <v>152.18</v>
      </c>
      <c r="E2975" s="5">
        <v>97</v>
      </c>
      <c r="F2975" s="5">
        <v>18</v>
      </c>
      <c r="G2975" s="12">
        <f>SUM($D$7:D2975)</f>
        <v>10605052.131000023</v>
      </c>
      <c r="H2975" s="11">
        <f t="shared" si="46"/>
        <v>0.9942219709652238</v>
      </c>
    </row>
    <row r="2976" spans="1:8" ht="15" customHeight="1" x14ac:dyDescent="0.25">
      <c r="A2976" s="5">
        <v>2970</v>
      </c>
      <c r="B2976" s="10" t="s">
        <v>5851</v>
      </c>
      <c r="C2976" s="10" t="s">
        <v>5852</v>
      </c>
      <c r="D2976" s="7">
        <v>152.11000000000001</v>
      </c>
      <c r="E2976" s="5">
        <v>29</v>
      </c>
      <c r="F2976" s="5">
        <v>14</v>
      </c>
      <c r="G2976" s="12">
        <f>SUM($D$7:D2976)</f>
        <v>10605204.241000023</v>
      </c>
      <c r="H2976" s="11">
        <f t="shared" si="46"/>
        <v>0.99423623125382354</v>
      </c>
    </row>
    <row r="2977" spans="1:8" ht="15" customHeight="1" x14ac:dyDescent="0.25">
      <c r="A2977" s="5">
        <v>2971</v>
      </c>
      <c r="B2977" s="10" t="s">
        <v>5853</v>
      </c>
      <c r="C2977" s="10" t="s">
        <v>5854</v>
      </c>
      <c r="D2977" s="7">
        <v>152.05000000000001</v>
      </c>
      <c r="E2977" s="5">
        <v>193</v>
      </c>
      <c r="F2977" s="5">
        <v>36</v>
      </c>
      <c r="G2977" s="12">
        <f>SUM($D$7:D2977)</f>
        <v>10605356.291000023</v>
      </c>
      <c r="H2977" s="11">
        <f t="shared" si="46"/>
        <v>0.99425048591743281</v>
      </c>
    </row>
    <row r="2978" spans="1:8" ht="15" customHeight="1" x14ac:dyDescent="0.25">
      <c r="A2978" s="5">
        <v>2972</v>
      </c>
      <c r="B2978" s="10" t="s">
        <v>5855</v>
      </c>
      <c r="C2978" s="10" t="s">
        <v>5856</v>
      </c>
      <c r="D2978" s="7">
        <v>151.19</v>
      </c>
      <c r="E2978" s="5">
        <v>1052</v>
      </c>
      <c r="F2978" s="5">
        <v>82</v>
      </c>
      <c r="G2978" s="12">
        <f>SUM($D$7:D2978)</f>
        <v>10605507.481000023</v>
      </c>
      <c r="H2978" s="11">
        <f t="shared" si="46"/>
        <v>0.99426465995617708</v>
      </c>
    </row>
    <row r="2979" spans="1:8" ht="15" customHeight="1" x14ac:dyDescent="0.25">
      <c r="A2979" s="5">
        <v>2973</v>
      </c>
      <c r="B2979" s="10" t="s">
        <v>5857</v>
      </c>
      <c r="C2979" s="10" t="s">
        <v>5858</v>
      </c>
      <c r="D2979" s="7">
        <v>151.05000000000001</v>
      </c>
      <c r="E2979" s="5">
        <v>19</v>
      </c>
      <c r="F2979" s="5">
        <v>13</v>
      </c>
      <c r="G2979" s="12">
        <f>SUM($D$7:D2979)</f>
        <v>10605658.531000024</v>
      </c>
      <c r="H2979" s="11">
        <f t="shared" si="46"/>
        <v>0.99427882086994346</v>
      </c>
    </row>
    <row r="2980" spans="1:8" ht="15" customHeight="1" x14ac:dyDescent="0.25">
      <c r="A2980" s="5">
        <v>2974</v>
      </c>
      <c r="B2980" s="10" t="s">
        <v>5859</v>
      </c>
      <c r="C2980" s="10" t="s">
        <v>5860</v>
      </c>
      <c r="D2980" s="7">
        <v>151.05000000000001</v>
      </c>
      <c r="E2980" s="5">
        <v>19</v>
      </c>
      <c r="F2980" s="5">
        <v>8</v>
      </c>
      <c r="G2980" s="12">
        <f>SUM($D$7:D2980)</f>
        <v>10605809.581000024</v>
      </c>
      <c r="H2980" s="11">
        <f t="shared" si="46"/>
        <v>0.99429298178370984</v>
      </c>
    </row>
    <row r="2981" spans="1:8" ht="15" customHeight="1" x14ac:dyDescent="0.25">
      <c r="A2981" s="5">
        <v>2975</v>
      </c>
      <c r="B2981" s="10" t="s">
        <v>5861</v>
      </c>
      <c r="C2981" s="10" t="s">
        <v>5862</v>
      </c>
      <c r="D2981" s="7">
        <v>150.81</v>
      </c>
      <c r="E2981" s="5">
        <v>65</v>
      </c>
      <c r="F2981" s="5">
        <v>21</v>
      </c>
      <c r="G2981" s="12">
        <f>SUM($D$7:D2981)</f>
        <v>10605960.391000025</v>
      </c>
      <c r="H2981" s="11">
        <f t="shared" si="46"/>
        <v>0.99430712019751388</v>
      </c>
    </row>
    <row r="2982" spans="1:8" ht="15" customHeight="1" x14ac:dyDescent="0.25">
      <c r="A2982" s="5">
        <v>2976</v>
      </c>
      <c r="B2982" s="10" t="s">
        <v>5863</v>
      </c>
      <c r="C2982" s="10" t="s">
        <v>5864</v>
      </c>
      <c r="D2982" s="7">
        <v>150.55000000000001</v>
      </c>
      <c r="E2982" s="5">
        <v>47</v>
      </c>
      <c r="F2982" s="5">
        <v>11</v>
      </c>
      <c r="G2982" s="12">
        <f>SUM($D$7:D2982)</f>
        <v>10606110.941000026</v>
      </c>
      <c r="H2982" s="11">
        <f t="shared" si="46"/>
        <v>0.99432123423635876</v>
      </c>
    </row>
    <row r="2983" spans="1:8" ht="15" customHeight="1" x14ac:dyDescent="0.25">
      <c r="A2983" s="5">
        <v>2977</v>
      </c>
      <c r="B2983" s="10" t="s">
        <v>5865</v>
      </c>
      <c r="C2983" s="10" t="s">
        <v>5866</v>
      </c>
      <c r="D2983" s="7">
        <v>150.47999999999999</v>
      </c>
      <c r="E2983" s="5">
        <v>48</v>
      </c>
      <c r="F2983" s="5">
        <v>21</v>
      </c>
      <c r="G2983" s="12">
        <f>SUM($D$7:D2983)</f>
        <v>10606261.421000026</v>
      </c>
      <c r="H2983" s="11">
        <f t="shared" si="46"/>
        <v>0.99433534171271476</v>
      </c>
    </row>
    <row r="2984" spans="1:8" ht="15" customHeight="1" x14ac:dyDescent="0.25">
      <c r="A2984" s="5">
        <v>2978</v>
      </c>
      <c r="B2984" s="10" t="s">
        <v>5867</v>
      </c>
      <c r="C2984" s="10" t="s">
        <v>5868</v>
      </c>
      <c r="D2984" s="7">
        <v>150.38</v>
      </c>
      <c r="E2984" s="5">
        <v>76</v>
      </c>
      <c r="F2984" s="5">
        <v>19</v>
      </c>
      <c r="G2984" s="12">
        <f>SUM($D$7:D2984)</f>
        <v>10606411.801000027</v>
      </c>
      <c r="H2984" s="11">
        <f t="shared" si="46"/>
        <v>0.99434943981408641</v>
      </c>
    </row>
    <row r="2985" spans="1:8" ht="15" customHeight="1" x14ac:dyDescent="0.25">
      <c r="A2985" s="5">
        <v>2979</v>
      </c>
      <c r="B2985" s="10" t="s">
        <v>5869</v>
      </c>
      <c r="C2985" s="10" t="s">
        <v>5870</v>
      </c>
      <c r="D2985" s="7">
        <v>150</v>
      </c>
      <c r="E2985" s="5">
        <v>20</v>
      </c>
      <c r="F2985" s="5">
        <v>10</v>
      </c>
      <c r="G2985" s="12">
        <f>SUM($D$7:D2985)</f>
        <v>10606561.801000027</v>
      </c>
      <c r="H2985" s="11">
        <f t="shared" si="46"/>
        <v>0.99436350229051773</v>
      </c>
    </row>
    <row r="2986" spans="1:8" ht="15" customHeight="1" x14ac:dyDescent="0.25">
      <c r="A2986" s="5">
        <v>2980</v>
      </c>
      <c r="B2986" s="10" t="s">
        <v>5871</v>
      </c>
      <c r="C2986" s="10" t="s">
        <v>5872</v>
      </c>
      <c r="D2986" s="7">
        <v>149.85</v>
      </c>
      <c r="E2986" s="5">
        <v>3</v>
      </c>
      <c r="F2986" s="5">
        <v>1</v>
      </c>
      <c r="G2986" s="12">
        <f>SUM($D$7:D2986)</f>
        <v>10606711.651000027</v>
      </c>
      <c r="H2986" s="11">
        <f t="shared" si="46"/>
        <v>0.99437755070447253</v>
      </c>
    </row>
    <row r="2987" spans="1:8" ht="15" customHeight="1" x14ac:dyDescent="0.25">
      <c r="A2987" s="5">
        <v>2981</v>
      </c>
      <c r="B2987" s="10" t="s">
        <v>5873</v>
      </c>
      <c r="C2987" s="10" t="s">
        <v>5874</v>
      </c>
      <c r="D2987" s="7">
        <v>149.41</v>
      </c>
      <c r="E2987" s="5">
        <v>36</v>
      </c>
      <c r="F2987" s="5">
        <v>31</v>
      </c>
      <c r="G2987" s="12">
        <f>SUM($D$7:D2987)</f>
        <v>10606861.061000027</v>
      </c>
      <c r="H2987" s="11">
        <f t="shared" si="46"/>
        <v>0.99439155786849653</v>
      </c>
    </row>
    <row r="2988" spans="1:8" ht="15" customHeight="1" x14ac:dyDescent="0.25">
      <c r="A2988" s="5">
        <v>2982</v>
      </c>
      <c r="B2988" s="10" t="s">
        <v>806</v>
      </c>
      <c r="C2988" s="10" t="s">
        <v>5875</v>
      </c>
      <c r="D2988" s="7">
        <v>149.4</v>
      </c>
      <c r="E2988" s="5">
        <v>36</v>
      </c>
      <c r="F2988" s="5">
        <v>8</v>
      </c>
      <c r="G2988" s="12">
        <f>SUM($D$7:D2988)</f>
        <v>10607010.461000027</v>
      </c>
      <c r="H2988" s="11">
        <f t="shared" si="46"/>
        <v>0.99440556409502212</v>
      </c>
    </row>
    <row r="2989" spans="1:8" ht="15" customHeight="1" x14ac:dyDescent="0.25">
      <c r="A2989" s="5">
        <v>2983</v>
      </c>
      <c r="B2989" s="10" t="s">
        <v>630</v>
      </c>
      <c r="C2989" s="10" t="s">
        <v>5876</v>
      </c>
      <c r="D2989" s="7">
        <v>149.4</v>
      </c>
      <c r="E2989" s="5">
        <v>36</v>
      </c>
      <c r="F2989" s="5">
        <v>8</v>
      </c>
      <c r="G2989" s="12">
        <f>SUM($D$7:D2989)</f>
        <v>10607159.861000028</v>
      </c>
      <c r="H2989" s="11">
        <f t="shared" si="46"/>
        <v>0.99441957032154771</v>
      </c>
    </row>
    <row r="2990" spans="1:8" ht="15" customHeight="1" x14ac:dyDescent="0.25">
      <c r="A2990" s="5">
        <v>2984</v>
      </c>
      <c r="B2990" s="10" t="s">
        <v>5877</v>
      </c>
      <c r="C2990" s="10" t="s">
        <v>5878</v>
      </c>
      <c r="D2990" s="7">
        <v>149.35</v>
      </c>
      <c r="E2990" s="5">
        <v>103</v>
      </c>
      <c r="F2990" s="5">
        <v>38</v>
      </c>
      <c r="G2990" s="12">
        <f>SUM($D$7:D2990)</f>
        <v>10607309.211000027</v>
      </c>
      <c r="H2990" s="11">
        <f t="shared" si="46"/>
        <v>0.99443357186058112</v>
      </c>
    </row>
    <row r="2991" spans="1:8" ht="15" customHeight="1" x14ac:dyDescent="0.25">
      <c r="A2991" s="5">
        <v>2985</v>
      </c>
      <c r="B2991" s="10" t="s">
        <v>5879</v>
      </c>
      <c r="C2991" s="10" t="s">
        <v>5880</v>
      </c>
      <c r="D2991" s="7">
        <v>149.25</v>
      </c>
      <c r="E2991" s="5">
        <v>115</v>
      </c>
      <c r="F2991" s="5">
        <v>14</v>
      </c>
      <c r="G2991" s="12">
        <f>SUM($D$7:D2991)</f>
        <v>10607458.461000027</v>
      </c>
      <c r="H2991" s="11">
        <f t="shared" si="46"/>
        <v>0.99444756402463019</v>
      </c>
    </row>
    <row r="2992" spans="1:8" ht="15" customHeight="1" x14ac:dyDescent="0.25">
      <c r="A2992" s="5">
        <v>2986</v>
      </c>
      <c r="B2992" s="10" t="s">
        <v>5881</v>
      </c>
      <c r="C2992" s="10" t="s">
        <v>5882</v>
      </c>
      <c r="D2992" s="7">
        <v>149.09</v>
      </c>
      <c r="E2992" s="5">
        <v>63</v>
      </c>
      <c r="F2992" s="5">
        <v>25</v>
      </c>
      <c r="G2992" s="12">
        <f>SUM($D$7:D2992)</f>
        <v>10607607.551000027</v>
      </c>
      <c r="H2992" s="11">
        <f t="shared" si="46"/>
        <v>0.99446154118870445</v>
      </c>
    </row>
    <row r="2993" spans="1:8" ht="15" customHeight="1" x14ac:dyDescent="0.25">
      <c r="A2993" s="5">
        <v>2987</v>
      </c>
      <c r="B2993" s="10" t="s">
        <v>5883</v>
      </c>
      <c r="C2993" s="10" t="s">
        <v>5884</v>
      </c>
      <c r="D2993" s="7">
        <v>148.63</v>
      </c>
      <c r="E2993" s="5">
        <v>17</v>
      </c>
      <c r="F2993" s="5">
        <v>9</v>
      </c>
      <c r="G2993" s="12">
        <f>SUM($D$7:D2993)</f>
        <v>10607756.181000028</v>
      </c>
      <c r="H2993" s="11">
        <f t="shared" si="46"/>
        <v>0.99447547522785107</v>
      </c>
    </row>
    <row r="2994" spans="1:8" ht="15" customHeight="1" x14ac:dyDescent="0.25">
      <c r="A2994" s="5">
        <v>2988</v>
      </c>
      <c r="B2994" s="10" t="s">
        <v>5885</v>
      </c>
      <c r="C2994" s="10" t="s">
        <v>5886</v>
      </c>
      <c r="D2994" s="7">
        <v>148.63</v>
      </c>
      <c r="E2994" s="5">
        <v>35</v>
      </c>
      <c r="F2994" s="5">
        <v>11</v>
      </c>
      <c r="G2994" s="12">
        <f>SUM($D$7:D2994)</f>
        <v>10607904.811000029</v>
      </c>
      <c r="H2994" s="11">
        <f t="shared" si="46"/>
        <v>0.99448940926699769</v>
      </c>
    </row>
    <row r="2995" spans="1:8" ht="15" customHeight="1" x14ac:dyDescent="0.25">
      <c r="A2995" s="5">
        <v>2989</v>
      </c>
      <c r="B2995" s="10" t="s">
        <v>5887</v>
      </c>
      <c r="C2995" s="10" t="s">
        <v>5888</v>
      </c>
      <c r="D2995" s="7">
        <v>148.32</v>
      </c>
      <c r="E2995" s="5">
        <v>66</v>
      </c>
      <c r="F2995" s="5">
        <v>17</v>
      </c>
      <c r="G2995" s="12">
        <f>SUM($D$7:D2995)</f>
        <v>10608053.131000029</v>
      </c>
      <c r="H2995" s="11">
        <f t="shared" si="46"/>
        <v>0.99450331424369298</v>
      </c>
    </row>
    <row r="2996" spans="1:8" ht="15" customHeight="1" x14ac:dyDescent="0.25">
      <c r="A2996" s="5">
        <v>2990</v>
      </c>
      <c r="B2996" s="10" t="s">
        <v>5889</v>
      </c>
      <c r="C2996" s="10" t="s">
        <v>5890</v>
      </c>
      <c r="D2996" s="7">
        <v>147.88</v>
      </c>
      <c r="E2996" s="5">
        <v>36</v>
      </c>
      <c r="F2996" s="5">
        <v>11</v>
      </c>
      <c r="G2996" s="12">
        <f>SUM($D$7:D2996)</f>
        <v>10608201.01100003</v>
      </c>
      <c r="H2996" s="11">
        <f t="shared" si="46"/>
        <v>0.99451717797045747</v>
      </c>
    </row>
    <row r="2997" spans="1:8" ht="15" customHeight="1" x14ac:dyDescent="0.25">
      <c r="A2997" s="5">
        <v>2991</v>
      </c>
      <c r="B2997" s="10" t="s">
        <v>5891</v>
      </c>
      <c r="C2997" s="10" t="s">
        <v>5892</v>
      </c>
      <c r="D2997" s="7">
        <v>146.91</v>
      </c>
      <c r="E2997" s="5">
        <v>175</v>
      </c>
      <c r="F2997" s="5">
        <v>32</v>
      </c>
      <c r="G2997" s="12">
        <f>SUM($D$7:D2997)</f>
        <v>10608347.92100003</v>
      </c>
      <c r="H2997" s="11">
        <f t="shared" si="46"/>
        <v>0.9945309507598743</v>
      </c>
    </row>
    <row r="2998" spans="1:8" ht="15" customHeight="1" x14ac:dyDescent="0.25">
      <c r="A2998" s="5">
        <v>2992</v>
      </c>
      <c r="B2998" s="10" t="s">
        <v>5893</v>
      </c>
      <c r="C2998" s="10" t="s">
        <v>5894</v>
      </c>
      <c r="D2998" s="7">
        <v>146.85</v>
      </c>
      <c r="E2998" s="5">
        <v>43</v>
      </c>
      <c r="F2998" s="5">
        <v>21</v>
      </c>
      <c r="G2998" s="12">
        <f>SUM($D$7:D2998)</f>
        <v>10608494.77100003</v>
      </c>
      <c r="H2998" s="11">
        <f t="shared" si="46"/>
        <v>0.99454471792430055</v>
      </c>
    </row>
    <row r="2999" spans="1:8" ht="15" customHeight="1" x14ac:dyDescent="0.25">
      <c r="A2999" s="5">
        <v>2993</v>
      </c>
      <c r="B2999" s="10" t="s">
        <v>5895</v>
      </c>
      <c r="C2999" s="10" t="s">
        <v>5896</v>
      </c>
      <c r="D2999" s="7">
        <v>146.6</v>
      </c>
      <c r="E2999" s="5">
        <v>64</v>
      </c>
      <c r="F2999" s="5">
        <v>20</v>
      </c>
      <c r="G2999" s="12">
        <f>SUM($D$7:D2999)</f>
        <v>10608641.371000029</v>
      </c>
      <c r="H2999" s="11">
        <f t="shared" si="46"/>
        <v>0.99455846165126605</v>
      </c>
    </row>
    <row r="3000" spans="1:8" ht="15" customHeight="1" x14ac:dyDescent="0.25">
      <c r="A3000" s="5">
        <v>2994</v>
      </c>
      <c r="B3000" s="10" t="s">
        <v>5897</v>
      </c>
      <c r="C3000" s="10" t="s">
        <v>5898</v>
      </c>
      <c r="D3000" s="7">
        <v>146.43</v>
      </c>
      <c r="E3000" s="5">
        <v>87</v>
      </c>
      <c r="F3000" s="5">
        <v>25</v>
      </c>
      <c r="G3000" s="12">
        <f>SUM($D$7:D3000)</f>
        <v>10608787.801000029</v>
      </c>
      <c r="H3000" s="11">
        <f t="shared" si="46"/>
        <v>0.9945721894407582</v>
      </c>
    </row>
    <row r="3001" spans="1:8" ht="15" customHeight="1" x14ac:dyDescent="0.25">
      <c r="A3001" s="5">
        <v>2995</v>
      </c>
      <c r="B3001" s="10" t="s">
        <v>5899</v>
      </c>
      <c r="C3001" s="10" t="s">
        <v>5900</v>
      </c>
      <c r="D3001" s="7">
        <v>146.08000000000001</v>
      </c>
      <c r="E3001" s="5">
        <v>44</v>
      </c>
      <c r="F3001" s="5">
        <v>25</v>
      </c>
      <c r="G3001" s="12">
        <f>SUM($D$7:D3001)</f>
        <v>10608933.881000029</v>
      </c>
      <c r="H3001" s="11">
        <f t="shared" si="46"/>
        <v>0.99458588441780538</v>
      </c>
    </row>
    <row r="3002" spans="1:8" ht="15" customHeight="1" x14ac:dyDescent="0.25">
      <c r="A3002" s="5">
        <v>2996</v>
      </c>
      <c r="B3002" s="10" t="s">
        <v>5901</v>
      </c>
      <c r="C3002" s="10" t="s">
        <v>5902</v>
      </c>
      <c r="D3002" s="7">
        <v>146.05000000000001</v>
      </c>
      <c r="E3002" s="5">
        <v>46</v>
      </c>
      <c r="F3002" s="5">
        <v>28</v>
      </c>
      <c r="G3002" s="12">
        <f>SUM($D$7:D3002)</f>
        <v>10609079.93100003</v>
      </c>
      <c r="H3002" s="11">
        <f t="shared" si="46"/>
        <v>0.99459957658235743</v>
      </c>
    </row>
    <row r="3003" spans="1:8" ht="15" customHeight="1" x14ac:dyDescent="0.25">
      <c r="A3003" s="5">
        <v>2997</v>
      </c>
      <c r="B3003" s="10" t="s">
        <v>1854</v>
      </c>
      <c r="C3003" s="10" t="s">
        <v>5903</v>
      </c>
      <c r="D3003" s="7">
        <v>145.76</v>
      </c>
      <c r="E3003" s="5">
        <v>131</v>
      </c>
      <c r="F3003" s="5">
        <v>6</v>
      </c>
      <c r="G3003" s="12">
        <f>SUM($D$7:D3003)</f>
        <v>10609225.691000029</v>
      </c>
      <c r="H3003" s="11">
        <f t="shared" si="46"/>
        <v>0.99461324155945485</v>
      </c>
    </row>
    <row r="3004" spans="1:8" ht="15" customHeight="1" x14ac:dyDescent="0.25">
      <c r="A3004" s="5">
        <v>2998</v>
      </c>
      <c r="B3004" s="10" t="s">
        <v>5904</v>
      </c>
      <c r="C3004" s="10" t="s">
        <v>5905</v>
      </c>
      <c r="D3004" s="7">
        <v>145.52000000000001</v>
      </c>
      <c r="E3004" s="5">
        <v>64</v>
      </c>
      <c r="F3004" s="5">
        <v>45</v>
      </c>
      <c r="G3004" s="12">
        <f>SUM($D$7:D3004)</f>
        <v>10609371.211000029</v>
      </c>
      <c r="H3004" s="11">
        <f t="shared" si="46"/>
        <v>0.99462688403659005</v>
      </c>
    </row>
    <row r="3005" spans="1:8" ht="15" customHeight="1" x14ac:dyDescent="0.25">
      <c r="A3005" s="5">
        <v>2999</v>
      </c>
      <c r="B3005" s="10" t="s">
        <v>5906</v>
      </c>
      <c r="C3005" s="10" t="s">
        <v>5907</v>
      </c>
      <c r="D3005" s="7">
        <v>145.5</v>
      </c>
      <c r="E3005" s="5">
        <v>60</v>
      </c>
      <c r="F3005" s="5">
        <v>26</v>
      </c>
      <c r="G3005" s="12">
        <f>SUM($D$7:D3005)</f>
        <v>10609516.711000029</v>
      </c>
      <c r="H3005" s="11">
        <f t="shared" si="46"/>
        <v>0.99464052463872843</v>
      </c>
    </row>
    <row r="3006" spans="1:8" ht="15" customHeight="1" x14ac:dyDescent="0.25">
      <c r="A3006" s="5">
        <v>3000</v>
      </c>
      <c r="B3006" s="10" t="s">
        <v>5908</v>
      </c>
      <c r="C3006" s="10" t="s">
        <v>5909</v>
      </c>
      <c r="D3006" s="7">
        <v>145.35</v>
      </c>
      <c r="E3006" s="5">
        <v>57</v>
      </c>
      <c r="F3006" s="5">
        <v>30</v>
      </c>
      <c r="G3006" s="12">
        <f>SUM($D$7:D3006)</f>
        <v>10609662.061000029</v>
      </c>
      <c r="H3006" s="11">
        <f t="shared" si="46"/>
        <v>0.99465415117839029</v>
      </c>
    </row>
    <row r="3007" spans="1:8" ht="15" customHeight="1" x14ac:dyDescent="0.25">
      <c r="A3007" s="5">
        <v>3001</v>
      </c>
      <c r="B3007" s="10" t="s">
        <v>5910</v>
      </c>
      <c r="C3007" s="10" t="s">
        <v>5911</v>
      </c>
      <c r="D3007" s="7">
        <v>145.16999999999999</v>
      </c>
      <c r="E3007" s="5">
        <v>159</v>
      </c>
      <c r="F3007" s="5">
        <v>14</v>
      </c>
      <c r="G3007" s="12">
        <f>SUM($D$7:D3007)</f>
        <v>10609807.231000029</v>
      </c>
      <c r="H3007" s="11">
        <f t="shared" si="46"/>
        <v>0.99466776084308051</v>
      </c>
    </row>
    <row r="3008" spans="1:8" ht="15" customHeight="1" x14ac:dyDescent="0.25">
      <c r="A3008" s="5">
        <v>3002</v>
      </c>
      <c r="B3008" s="10" t="s">
        <v>5912</v>
      </c>
      <c r="C3008" s="10" t="s">
        <v>5913</v>
      </c>
      <c r="D3008" s="7">
        <v>144.52000000000001</v>
      </c>
      <c r="E3008" s="5">
        <v>146</v>
      </c>
      <c r="F3008" s="5">
        <v>10</v>
      </c>
      <c r="G3008" s="12">
        <f>SUM($D$7:D3008)</f>
        <v>10609951.751000028</v>
      </c>
      <c r="H3008" s="11">
        <f t="shared" si="46"/>
        <v>0.99468130957037282</v>
      </c>
    </row>
    <row r="3009" spans="1:8" ht="15" customHeight="1" x14ac:dyDescent="0.25">
      <c r="A3009" s="5">
        <v>3003</v>
      </c>
      <c r="B3009" s="10" t="s">
        <v>5914</v>
      </c>
      <c r="C3009" s="10" t="s">
        <v>5915</v>
      </c>
      <c r="D3009" s="7">
        <v>144.43</v>
      </c>
      <c r="E3009" s="5">
        <v>47</v>
      </c>
      <c r="F3009" s="5">
        <v>13</v>
      </c>
      <c r="G3009" s="12">
        <f>SUM($D$7:D3009)</f>
        <v>10610096.181000028</v>
      </c>
      <c r="H3009" s="11">
        <f t="shared" si="46"/>
        <v>0.9946948498601792</v>
      </c>
    </row>
    <row r="3010" spans="1:8" ht="15" customHeight="1" x14ac:dyDescent="0.25">
      <c r="A3010" s="5">
        <v>3004</v>
      </c>
      <c r="B3010" s="10" t="s">
        <v>5916</v>
      </c>
      <c r="C3010" s="10" t="s">
        <v>5917</v>
      </c>
      <c r="D3010" s="7">
        <v>144.29</v>
      </c>
      <c r="E3010" s="5">
        <v>167</v>
      </c>
      <c r="F3010" s="5">
        <v>33</v>
      </c>
      <c r="G3010" s="12">
        <f>SUM($D$7:D3010)</f>
        <v>10610240.471000027</v>
      </c>
      <c r="H3010" s="11">
        <f t="shared" si="46"/>
        <v>0.99470837702500758</v>
      </c>
    </row>
    <row r="3011" spans="1:8" ht="15" customHeight="1" x14ac:dyDescent="0.25">
      <c r="A3011" s="5">
        <v>3005</v>
      </c>
      <c r="B3011" s="10" t="s">
        <v>5918</v>
      </c>
      <c r="C3011" s="10" t="s">
        <v>5919</v>
      </c>
      <c r="D3011" s="7">
        <v>144.03</v>
      </c>
      <c r="E3011" s="5">
        <v>164</v>
      </c>
      <c r="F3011" s="5">
        <v>33</v>
      </c>
      <c r="G3011" s="12">
        <f>SUM($D$7:D3011)</f>
        <v>10610384.501000026</v>
      </c>
      <c r="H3011" s="11">
        <f t="shared" si="46"/>
        <v>0.99472187981487692</v>
      </c>
    </row>
    <row r="3012" spans="1:8" ht="15" customHeight="1" x14ac:dyDescent="0.25">
      <c r="A3012" s="5">
        <v>3006</v>
      </c>
      <c r="B3012" s="10" t="s">
        <v>5920</v>
      </c>
      <c r="C3012" s="10" t="s">
        <v>5921</v>
      </c>
      <c r="D3012" s="7">
        <v>143.75</v>
      </c>
      <c r="E3012" s="5">
        <v>115</v>
      </c>
      <c r="F3012" s="5">
        <v>25</v>
      </c>
      <c r="G3012" s="12">
        <f>SUM($D$7:D3012)</f>
        <v>10610528.251000026</v>
      </c>
      <c r="H3012" s="11">
        <f t="shared" si="46"/>
        <v>0.99473535635479016</v>
      </c>
    </row>
    <row r="3013" spans="1:8" ht="15" customHeight="1" x14ac:dyDescent="0.25">
      <c r="A3013" s="5">
        <v>3007</v>
      </c>
      <c r="B3013" s="10" t="s">
        <v>5922</v>
      </c>
      <c r="C3013" s="10" t="s">
        <v>5923</v>
      </c>
      <c r="D3013" s="7">
        <v>143.44</v>
      </c>
      <c r="E3013" s="5">
        <v>88</v>
      </c>
      <c r="F3013" s="5">
        <v>25</v>
      </c>
      <c r="G3013" s="12">
        <f>SUM($D$7:D3013)</f>
        <v>10610671.691000026</v>
      </c>
      <c r="H3013" s="11">
        <f t="shared" si="46"/>
        <v>0.99474880383225217</v>
      </c>
    </row>
    <row r="3014" spans="1:8" ht="15" customHeight="1" x14ac:dyDescent="0.25">
      <c r="A3014" s="5">
        <v>3008</v>
      </c>
      <c r="B3014" s="10" t="s">
        <v>5924</v>
      </c>
      <c r="C3014" s="10" t="s">
        <v>4117</v>
      </c>
      <c r="D3014" s="7">
        <v>142.47</v>
      </c>
      <c r="E3014" s="5">
        <v>141</v>
      </c>
      <c r="F3014" s="5">
        <v>15</v>
      </c>
      <c r="G3014" s="12">
        <f>SUM($D$7:D3014)</f>
        <v>10610814.161000026</v>
      </c>
      <c r="H3014" s="11">
        <f t="shared" si="46"/>
        <v>0.99476216037236664</v>
      </c>
    </row>
    <row r="3015" spans="1:8" ht="15" customHeight="1" x14ac:dyDescent="0.25">
      <c r="A3015" s="5">
        <v>3009</v>
      </c>
      <c r="B3015" s="10" t="s">
        <v>5925</v>
      </c>
      <c r="C3015" s="10" t="s">
        <v>5926</v>
      </c>
      <c r="D3015" s="7">
        <v>141.94999999999999</v>
      </c>
      <c r="E3015" s="5">
        <v>337</v>
      </c>
      <c r="F3015" s="5">
        <v>22</v>
      </c>
      <c r="G3015" s="12">
        <f>SUM($D$7:D3015)</f>
        <v>10610956.111000026</v>
      </c>
      <c r="H3015" s="11">
        <f t="shared" ref="H3015:H3078" si="47">G3015/SUM($D$7:$D$4167)</f>
        <v>0.99477546816256279</v>
      </c>
    </row>
    <row r="3016" spans="1:8" ht="15" customHeight="1" x14ac:dyDescent="0.25">
      <c r="A3016" s="5">
        <v>3010</v>
      </c>
      <c r="B3016" s="10" t="s">
        <v>5927</v>
      </c>
      <c r="C3016" s="10" t="s">
        <v>5928</v>
      </c>
      <c r="D3016" s="7">
        <v>141.24</v>
      </c>
      <c r="E3016" s="5">
        <v>86</v>
      </c>
      <c r="F3016" s="5">
        <v>44</v>
      </c>
      <c r="G3016" s="12">
        <f>SUM($D$7:D3016)</f>
        <v>10611097.351000026</v>
      </c>
      <c r="H3016" s="11">
        <f t="shared" si="47"/>
        <v>0.99478870939037045</v>
      </c>
    </row>
    <row r="3017" spans="1:8" ht="15" customHeight="1" x14ac:dyDescent="0.25">
      <c r="A3017" s="5">
        <v>3011</v>
      </c>
      <c r="B3017" s="10" t="s">
        <v>5929</v>
      </c>
      <c r="C3017" s="10" t="s">
        <v>5930</v>
      </c>
      <c r="D3017" s="7">
        <v>141.15</v>
      </c>
      <c r="E3017" s="5">
        <v>44</v>
      </c>
      <c r="F3017" s="5">
        <v>33</v>
      </c>
      <c r="G3017" s="12">
        <f>SUM($D$7:D3017)</f>
        <v>10611238.501000026</v>
      </c>
      <c r="H3017" s="11">
        <f t="shared" si="47"/>
        <v>0.9948019421806924</v>
      </c>
    </row>
    <row r="3018" spans="1:8" ht="15" customHeight="1" x14ac:dyDescent="0.25">
      <c r="A3018" s="5">
        <v>3012</v>
      </c>
      <c r="B3018" s="10" t="s">
        <v>5931</v>
      </c>
      <c r="C3018" s="10" t="s">
        <v>4314</v>
      </c>
      <c r="D3018" s="7">
        <v>141.11000000000001</v>
      </c>
      <c r="E3018" s="5">
        <v>17</v>
      </c>
      <c r="F3018" s="5">
        <v>12</v>
      </c>
      <c r="G3018" s="12">
        <f>SUM($D$7:D3018)</f>
        <v>10611379.611000026</v>
      </c>
      <c r="H3018" s="11">
        <f t="shared" si="47"/>
        <v>0.99481517122102037</v>
      </c>
    </row>
    <row r="3019" spans="1:8" ht="15" customHeight="1" x14ac:dyDescent="0.25">
      <c r="A3019" s="5">
        <v>3013</v>
      </c>
      <c r="B3019" s="10" t="s">
        <v>5932</v>
      </c>
      <c r="C3019" s="10" t="s">
        <v>5933</v>
      </c>
      <c r="D3019" s="7">
        <v>141.1</v>
      </c>
      <c r="E3019" s="5">
        <v>170</v>
      </c>
      <c r="F3019" s="5">
        <v>17</v>
      </c>
      <c r="G3019" s="12">
        <f>SUM($D$7:D3019)</f>
        <v>10611520.711000025</v>
      </c>
      <c r="H3019" s="11">
        <f t="shared" si="47"/>
        <v>0.99482839932385003</v>
      </c>
    </row>
    <row r="3020" spans="1:8" ht="15" customHeight="1" x14ac:dyDescent="0.25">
      <c r="A3020" s="5">
        <v>3014</v>
      </c>
      <c r="B3020" s="10" t="s">
        <v>5934</v>
      </c>
      <c r="C3020" s="10" t="s">
        <v>5935</v>
      </c>
      <c r="D3020" s="7">
        <v>140.97999999999999</v>
      </c>
      <c r="E3020" s="5">
        <v>38</v>
      </c>
      <c r="F3020" s="5">
        <v>15</v>
      </c>
      <c r="G3020" s="12">
        <f>SUM($D$7:D3020)</f>
        <v>10611661.691000026</v>
      </c>
      <c r="H3020" s="11">
        <f t="shared" si="47"/>
        <v>0.99484161617669864</v>
      </c>
    </row>
    <row r="3021" spans="1:8" ht="15" customHeight="1" x14ac:dyDescent="0.25">
      <c r="A3021" s="5">
        <v>3015</v>
      </c>
      <c r="B3021" s="10" t="s">
        <v>5936</v>
      </c>
      <c r="C3021" s="10" t="s">
        <v>5937</v>
      </c>
      <c r="D3021" s="7">
        <v>140.52000000000001</v>
      </c>
      <c r="E3021" s="5">
        <v>1166</v>
      </c>
      <c r="F3021" s="5">
        <v>33</v>
      </c>
      <c r="G3021" s="12">
        <f>SUM($D$7:D3021)</f>
        <v>10611802.211000025</v>
      </c>
      <c r="H3021" s="11">
        <f t="shared" si="47"/>
        <v>0.99485478990461951</v>
      </c>
    </row>
    <row r="3022" spans="1:8" ht="15" customHeight="1" x14ac:dyDescent="0.25">
      <c r="A3022" s="5">
        <v>3016</v>
      </c>
      <c r="B3022" s="10" t="s">
        <v>5938</v>
      </c>
      <c r="C3022" s="10" t="s">
        <v>5939</v>
      </c>
      <c r="D3022" s="7">
        <v>140.33000000000001</v>
      </c>
      <c r="E3022" s="5">
        <v>85</v>
      </c>
      <c r="F3022" s="5">
        <v>37</v>
      </c>
      <c r="G3022" s="12">
        <f>SUM($D$7:D3022)</f>
        <v>10611942.541000025</v>
      </c>
      <c r="H3022" s="11">
        <f t="shared" si="47"/>
        <v>0.99486794582007021</v>
      </c>
    </row>
    <row r="3023" spans="1:8" ht="15" customHeight="1" x14ac:dyDescent="0.25">
      <c r="A3023" s="5">
        <v>3017</v>
      </c>
      <c r="B3023" s="10" t="s">
        <v>5940</v>
      </c>
      <c r="C3023" s="10" t="s">
        <v>5941</v>
      </c>
      <c r="D3023" s="7">
        <v>140.02000000000001</v>
      </c>
      <c r="E3023" s="5">
        <v>110</v>
      </c>
      <c r="F3023" s="5">
        <v>20</v>
      </c>
      <c r="G3023" s="12">
        <f>SUM($D$7:D3023)</f>
        <v>10612082.561000025</v>
      </c>
      <c r="H3023" s="11">
        <f t="shared" si="47"/>
        <v>0.99488107267306947</v>
      </c>
    </row>
    <row r="3024" spans="1:8" ht="15" customHeight="1" x14ac:dyDescent="0.25">
      <c r="A3024" s="5">
        <v>3018</v>
      </c>
      <c r="B3024" s="10" t="s">
        <v>5942</v>
      </c>
      <c r="C3024" s="10" t="s">
        <v>5943</v>
      </c>
      <c r="D3024" s="7">
        <v>139.86000000000001</v>
      </c>
      <c r="E3024" s="5">
        <v>13</v>
      </c>
      <c r="F3024" s="5">
        <v>3</v>
      </c>
      <c r="G3024" s="12">
        <f>SUM($D$7:D3024)</f>
        <v>10612222.421000024</v>
      </c>
      <c r="H3024" s="11">
        <f t="shared" si="47"/>
        <v>0.99489418452609402</v>
      </c>
    </row>
    <row r="3025" spans="1:8" ht="15" customHeight="1" x14ac:dyDescent="0.25">
      <c r="A3025" s="5">
        <v>3019</v>
      </c>
      <c r="B3025" s="10" t="s">
        <v>1313</v>
      </c>
      <c r="C3025" s="10" t="s">
        <v>5944</v>
      </c>
      <c r="D3025" s="7">
        <v>139.78</v>
      </c>
      <c r="E3025" s="5">
        <v>67</v>
      </c>
      <c r="F3025" s="5">
        <v>33</v>
      </c>
      <c r="G3025" s="12">
        <f>SUM($D$7:D3025)</f>
        <v>10612362.201000024</v>
      </c>
      <c r="H3025" s="11">
        <f t="shared" si="47"/>
        <v>0.99490728887913105</v>
      </c>
    </row>
    <row r="3026" spans="1:8" ht="15" customHeight="1" x14ac:dyDescent="0.25">
      <c r="A3026" s="5">
        <v>3020</v>
      </c>
      <c r="B3026" s="10" t="s">
        <v>1435</v>
      </c>
      <c r="C3026" s="10" t="s">
        <v>5945</v>
      </c>
      <c r="D3026" s="7">
        <v>139.68</v>
      </c>
      <c r="E3026" s="5">
        <v>24</v>
      </c>
      <c r="F3026" s="5">
        <v>5</v>
      </c>
      <c r="G3026" s="12">
        <f>SUM($D$7:D3026)</f>
        <v>10612501.881000023</v>
      </c>
      <c r="H3026" s="11">
        <f t="shared" si="47"/>
        <v>0.99492038385718384</v>
      </c>
    </row>
    <row r="3027" spans="1:8" ht="15" customHeight="1" x14ac:dyDescent="0.25">
      <c r="A3027" s="5">
        <v>3021</v>
      </c>
      <c r="B3027" s="10" t="s">
        <v>5946</v>
      </c>
      <c r="C3027" s="10" t="s">
        <v>5947</v>
      </c>
      <c r="D3027" s="7">
        <v>139.4</v>
      </c>
      <c r="E3027" s="5">
        <v>13</v>
      </c>
      <c r="F3027" s="5">
        <v>8</v>
      </c>
      <c r="G3027" s="12">
        <f>SUM($D$7:D3027)</f>
        <v>10612641.281000024</v>
      </c>
      <c r="H3027" s="11">
        <f t="shared" si="47"/>
        <v>0.99493345258528065</v>
      </c>
    </row>
    <row r="3028" spans="1:8" ht="15" customHeight="1" x14ac:dyDescent="0.25">
      <c r="A3028" s="5">
        <v>3022</v>
      </c>
      <c r="B3028" s="10" t="s">
        <v>5948</v>
      </c>
      <c r="C3028" s="10" t="s">
        <v>5949</v>
      </c>
      <c r="D3028" s="7">
        <v>138.81</v>
      </c>
      <c r="E3028" s="5">
        <v>61</v>
      </c>
      <c r="F3028" s="5">
        <v>20</v>
      </c>
      <c r="G3028" s="12">
        <f>SUM($D$7:D3028)</f>
        <v>10612780.091000024</v>
      </c>
      <c r="H3028" s="11">
        <f t="shared" si="47"/>
        <v>0.99494646600097025</v>
      </c>
    </row>
    <row r="3029" spans="1:8" ht="15" customHeight="1" x14ac:dyDescent="0.25">
      <c r="A3029" s="5">
        <v>3023</v>
      </c>
      <c r="B3029" s="10" t="s">
        <v>5950</v>
      </c>
      <c r="C3029" s="10" t="s">
        <v>5951</v>
      </c>
      <c r="D3029" s="7">
        <v>138.76</v>
      </c>
      <c r="E3029" s="5">
        <v>172</v>
      </c>
      <c r="F3029" s="5">
        <v>12</v>
      </c>
      <c r="G3029" s="12">
        <f>SUM($D$7:D3029)</f>
        <v>10612918.851000024</v>
      </c>
      <c r="H3029" s="11">
        <f t="shared" si="47"/>
        <v>0.99495947472916757</v>
      </c>
    </row>
    <row r="3030" spans="1:8" ht="15" customHeight="1" x14ac:dyDescent="0.25">
      <c r="A3030" s="5">
        <v>3024</v>
      </c>
      <c r="B3030" s="10" t="s">
        <v>5952</v>
      </c>
      <c r="C3030" s="10" t="s">
        <v>5953</v>
      </c>
      <c r="D3030" s="7">
        <v>138.6</v>
      </c>
      <c r="E3030" s="5">
        <v>28</v>
      </c>
      <c r="F3030" s="5">
        <v>10</v>
      </c>
      <c r="G3030" s="12">
        <f>SUM($D$7:D3030)</f>
        <v>10613057.451000024</v>
      </c>
      <c r="H3030" s="11">
        <f t="shared" si="47"/>
        <v>0.99497246845739007</v>
      </c>
    </row>
    <row r="3031" spans="1:8" ht="15" customHeight="1" x14ac:dyDescent="0.25">
      <c r="A3031" s="5">
        <v>3025</v>
      </c>
      <c r="B3031" s="10" t="s">
        <v>5954</v>
      </c>
      <c r="C3031" s="10" t="s">
        <v>5955</v>
      </c>
      <c r="D3031" s="7">
        <v>138.44999999999999</v>
      </c>
      <c r="E3031" s="5">
        <v>71</v>
      </c>
      <c r="F3031" s="5">
        <v>9</v>
      </c>
      <c r="G3031" s="12">
        <f>SUM($D$7:D3031)</f>
        <v>10613195.901000023</v>
      </c>
      <c r="H3031" s="11">
        <f t="shared" si="47"/>
        <v>0.99498544812313605</v>
      </c>
    </row>
    <row r="3032" spans="1:8" ht="15" customHeight="1" x14ac:dyDescent="0.25">
      <c r="A3032" s="5">
        <v>3026</v>
      </c>
      <c r="B3032" s="10" t="s">
        <v>5956</v>
      </c>
      <c r="C3032" s="10" t="s">
        <v>5196</v>
      </c>
      <c r="D3032" s="7">
        <v>138.30000000000001</v>
      </c>
      <c r="E3032" s="5">
        <v>159</v>
      </c>
      <c r="F3032" s="5">
        <v>30</v>
      </c>
      <c r="G3032" s="12">
        <f>SUM($D$7:D3032)</f>
        <v>10613334.201000024</v>
      </c>
      <c r="H3032" s="11">
        <f t="shared" si="47"/>
        <v>0.99499841372640574</v>
      </c>
    </row>
    <row r="3033" spans="1:8" ht="15" customHeight="1" x14ac:dyDescent="0.25">
      <c r="A3033" s="5">
        <v>3027</v>
      </c>
      <c r="B3033" s="10" t="s">
        <v>5957</v>
      </c>
      <c r="C3033" s="10" t="s">
        <v>5958</v>
      </c>
      <c r="D3033" s="7">
        <v>138.11000000000001</v>
      </c>
      <c r="E3033" s="5">
        <v>63</v>
      </c>
      <c r="F3033" s="5">
        <v>19</v>
      </c>
      <c r="G3033" s="12">
        <f>SUM($D$7:D3033)</f>
        <v>10613472.311000023</v>
      </c>
      <c r="H3033" s="11">
        <f t="shared" si="47"/>
        <v>0.99501136151720526</v>
      </c>
    </row>
    <row r="3034" spans="1:8" ht="15" customHeight="1" x14ac:dyDescent="0.25">
      <c r="A3034" s="5">
        <v>3028</v>
      </c>
      <c r="B3034" s="10" t="s">
        <v>5959</v>
      </c>
      <c r="C3034" s="10" t="s">
        <v>5960</v>
      </c>
      <c r="D3034" s="7">
        <v>137.69999999999999</v>
      </c>
      <c r="E3034" s="5">
        <v>162</v>
      </c>
      <c r="F3034" s="5">
        <v>42</v>
      </c>
      <c r="G3034" s="12">
        <f>SUM($D$7:D3034)</f>
        <v>10613610.011000022</v>
      </c>
      <c r="H3034" s="11">
        <f t="shared" si="47"/>
        <v>0.99502427087056911</v>
      </c>
    </row>
    <row r="3035" spans="1:8" ht="15" customHeight="1" x14ac:dyDescent="0.25">
      <c r="A3035" s="5">
        <v>3029</v>
      </c>
      <c r="B3035" s="10" t="s">
        <v>5961</v>
      </c>
      <c r="C3035" s="10" t="s">
        <v>5962</v>
      </c>
      <c r="D3035" s="7">
        <v>137.63</v>
      </c>
      <c r="E3035" s="5">
        <v>15</v>
      </c>
      <c r="F3035" s="5">
        <v>14</v>
      </c>
      <c r="G3035" s="12">
        <f>SUM($D$7:D3035)</f>
        <v>10613747.641000023</v>
      </c>
      <c r="H3035" s="11">
        <f t="shared" si="47"/>
        <v>0.99503717366144406</v>
      </c>
    </row>
    <row r="3036" spans="1:8" ht="15" customHeight="1" x14ac:dyDescent="0.25">
      <c r="A3036" s="5">
        <v>3030</v>
      </c>
      <c r="B3036" s="10" t="s">
        <v>2317</v>
      </c>
      <c r="C3036" s="10" t="s">
        <v>5963</v>
      </c>
      <c r="D3036" s="7">
        <v>137.59</v>
      </c>
      <c r="E3036" s="5">
        <v>139</v>
      </c>
      <c r="F3036" s="5">
        <v>27</v>
      </c>
      <c r="G3036" s="12">
        <f>SUM($D$7:D3036)</f>
        <v>10613885.231000023</v>
      </c>
      <c r="H3036" s="11">
        <f t="shared" si="47"/>
        <v>0.99505007270232526</v>
      </c>
    </row>
    <row r="3037" spans="1:8" ht="15" customHeight="1" x14ac:dyDescent="0.25">
      <c r="A3037" s="5">
        <v>3031</v>
      </c>
      <c r="B3037" s="10" t="s">
        <v>5964</v>
      </c>
      <c r="C3037" s="10" t="s">
        <v>5965</v>
      </c>
      <c r="D3037" s="7">
        <v>137.22</v>
      </c>
      <c r="E3037" s="5">
        <v>80</v>
      </c>
      <c r="F3037" s="5">
        <v>5</v>
      </c>
      <c r="G3037" s="12">
        <f>SUM($D$7:D3037)</f>
        <v>10614022.451000024</v>
      </c>
      <c r="H3037" s="11">
        <f t="shared" si="47"/>
        <v>0.99506293705576465</v>
      </c>
    </row>
    <row r="3038" spans="1:8" ht="15" customHeight="1" x14ac:dyDescent="0.25">
      <c r="A3038" s="5">
        <v>3032</v>
      </c>
      <c r="B3038" s="10" t="s">
        <v>5966</v>
      </c>
      <c r="C3038" s="10" t="s">
        <v>5967</v>
      </c>
      <c r="D3038" s="7">
        <v>136.25</v>
      </c>
      <c r="E3038" s="5">
        <v>109</v>
      </c>
      <c r="F3038" s="5">
        <v>6</v>
      </c>
      <c r="G3038" s="12">
        <f>SUM($D$7:D3038)</f>
        <v>10614158.701000024</v>
      </c>
      <c r="H3038" s="11">
        <f t="shared" si="47"/>
        <v>0.9950757104718565</v>
      </c>
    </row>
    <row r="3039" spans="1:8" ht="15" customHeight="1" x14ac:dyDescent="0.25">
      <c r="A3039" s="5">
        <v>3033</v>
      </c>
      <c r="B3039" s="10" t="s">
        <v>5968</v>
      </c>
      <c r="C3039" s="10" t="s">
        <v>3966</v>
      </c>
      <c r="D3039" s="7">
        <v>134.91999999999999</v>
      </c>
      <c r="E3039" s="5">
        <v>18</v>
      </c>
      <c r="F3039" s="5">
        <v>16</v>
      </c>
      <c r="G3039" s="12">
        <f>SUM($D$7:D3039)</f>
        <v>10614293.621000024</v>
      </c>
      <c r="H3039" s="11">
        <f t="shared" si="47"/>
        <v>0.99508835920065719</v>
      </c>
    </row>
    <row r="3040" spans="1:8" ht="15" customHeight="1" x14ac:dyDescent="0.25">
      <c r="A3040" s="5">
        <v>3034</v>
      </c>
      <c r="B3040" s="10" t="s">
        <v>5969</v>
      </c>
      <c r="C3040" s="10" t="s">
        <v>5970</v>
      </c>
      <c r="D3040" s="7">
        <v>134.69999999999999</v>
      </c>
      <c r="E3040" s="5">
        <v>27</v>
      </c>
      <c r="F3040" s="5">
        <v>18</v>
      </c>
      <c r="G3040" s="12">
        <f>SUM($D$7:D3040)</f>
        <v>10614428.321000023</v>
      </c>
      <c r="H3040" s="11">
        <f t="shared" si="47"/>
        <v>0.99510098730449237</v>
      </c>
    </row>
    <row r="3041" spans="1:8" ht="15" customHeight="1" x14ac:dyDescent="0.25">
      <c r="A3041" s="5">
        <v>3035</v>
      </c>
      <c r="B3041" s="10" t="s">
        <v>5971</v>
      </c>
      <c r="C3041" s="10" t="s">
        <v>5972</v>
      </c>
      <c r="D3041" s="7">
        <v>134.53</v>
      </c>
      <c r="E3041" s="5">
        <v>54</v>
      </c>
      <c r="F3041" s="5">
        <v>31</v>
      </c>
      <c r="G3041" s="12">
        <f>SUM($D$7:D3041)</f>
        <v>10614562.851000022</v>
      </c>
      <c r="H3041" s="11">
        <f t="shared" si="47"/>
        <v>0.99511359947085432</v>
      </c>
    </row>
    <row r="3042" spans="1:8" ht="15" customHeight="1" x14ac:dyDescent="0.25">
      <c r="A3042" s="5">
        <v>3036</v>
      </c>
      <c r="B3042" s="10" t="s">
        <v>5973</v>
      </c>
      <c r="C3042" s="10" t="s">
        <v>5974</v>
      </c>
      <c r="D3042" s="7">
        <v>134.49</v>
      </c>
      <c r="E3042" s="5">
        <v>119</v>
      </c>
      <c r="F3042" s="5">
        <v>50</v>
      </c>
      <c r="G3042" s="12">
        <f>SUM($D$7:D3042)</f>
        <v>10614697.341000022</v>
      </c>
      <c r="H3042" s="11">
        <f t="shared" si="47"/>
        <v>0.99512620788722261</v>
      </c>
    </row>
    <row r="3043" spans="1:8" ht="15" customHeight="1" x14ac:dyDescent="0.25">
      <c r="A3043" s="5">
        <v>3037</v>
      </c>
      <c r="B3043" s="10" t="s">
        <v>5975</v>
      </c>
      <c r="C3043" s="10" t="s">
        <v>5976</v>
      </c>
      <c r="D3043" s="7">
        <v>134.16</v>
      </c>
      <c r="E3043" s="5">
        <v>16</v>
      </c>
      <c r="F3043" s="5">
        <v>14</v>
      </c>
      <c r="G3043" s="12">
        <f>SUM($D$7:D3043)</f>
        <v>10614831.501000023</v>
      </c>
      <c r="H3043" s="11">
        <f t="shared" si="47"/>
        <v>0.99513878536614286</v>
      </c>
    </row>
    <row r="3044" spans="1:8" ht="15" customHeight="1" x14ac:dyDescent="0.25">
      <c r="A3044" s="5">
        <v>3038</v>
      </c>
      <c r="B3044" s="10" t="s">
        <v>5977</v>
      </c>
      <c r="C3044" s="10" t="s">
        <v>5978</v>
      </c>
      <c r="D3044" s="7">
        <v>133.75</v>
      </c>
      <c r="E3044" s="5">
        <v>107</v>
      </c>
      <c r="F3044" s="5">
        <v>26</v>
      </c>
      <c r="G3044" s="12">
        <f>SUM($D$7:D3044)</f>
        <v>10614965.251000023</v>
      </c>
      <c r="H3044" s="11">
        <f t="shared" si="47"/>
        <v>0.99515132440762744</v>
      </c>
    </row>
    <row r="3045" spans="1:8" ht="15" customHeight="1" x14ac:dyDescent="0.25">
      <c r="A3045" s="5">
        <v>3039</v>
      </c>
      <c r="B3045" s="10" t="s">
        <v>5979</v>
      </c>
      <c r="C3045" s="10" t="s">
        <v>5854</v>
      </c>
      <c r="D3045" s="7">
        <v>133.34</v>
      </c>
      <c r="E3045" s="5">
        <v>219</v>
      </c>
      <c r="F3045" s="5">
        <v>27</v>
      </c>
      <c r="G3045" s="12">
        <f>SUM($D$7:D3045)</f>
        <v>10615098.591000022</v>
      </c>
      <c r="H3045" s="11">
        <f t="shared" si="47"/>
        <v>0.99516382501167633</v>
      </c>
    </row>
    <row r="3046" spans="1:8" ht="15" customHeight="1" x14ac:dyDescent="0.25">
      <c r="A3046" s="5">
        <v>3040</v>
      </c>
      <c r="B3046" s="10" t="s">
        <v>5980</v>
      </c>
      <c r="C3046" s="10" t="s">
        <v>5981</v>
      </c>
      <c r="D3046" s="7">
        <v>133.22999999999999</v>
      </c>
      <c r="E3046" s="5">
        <v>68</v>
      </c>
      <c r="F3046" s="5">
        <v>23</v>
      </c>
      <c r="G3046" s="12">
        <f>SUM($D$7:D3046)</f>
        <v>10615231.821000023</v>
      </c>
      <c r="H3046" s="11">
        <f t="shared" si="47"/>
        <v>0.99517631530324269</v>
      </c>
    </row>
    <row r="3047" spans="1:8" ht="15" customHeight="1" x14ac:dyDescent="0.25">
      <c r="A3047" s="5">
        <v>3041</v>
      </c>
      <c r="B3047" s="10" t="s">
        <v>5982</v>
      </c>
      <c r="C3047" s="10" t="s">
        <v>5983</v>
      </c>
      <c r="D3047" s="7">
        <v>132.72</v>
      </c>
      <c r="E3047" s="5">
        <v>168</v>
      </c>
      <c r="F3047" s="5">
        <v>8</v>
      </c>
      <c r="G3047" s="12">
        <f>SUM($D$7:D3047)</f>
        <v>10615364.541000023</v>
      </c>
      <c r="H3047" s="11">
        <f t="shared" si="47"/>
        <v>0.99518875778238913</v>
      </c>
    </row>
    <row r="3048" spans="1:8" ht="15" customHeight="1" x14ac:dyDescent="0.25">
      <c r="A3048" s="5">
        <v>3042</v>
      </c>
      <c r="B3048" s="10" t="s">
        <v>5984</v>
      </c>
      <c r="C3048" s="10" t="s">
        <v>5985</v>
      </c>
      <c r="D3048" s="7">
        <v>132.69999999999999</v>
      </c>
      <c r="E3048" s="5">
        <v>53</v>
      </c>
      <c r="F3048" s="5">
        <v>37</v>
      </c>
      <c r="G3048" s="12">
        <f>SUM($D$7:D3048)</f>
        <v>10615497.241000023</v>
      </c>
      <c r="H3048" s="11">
        <f t="shared" si="47"/>
        <v>0.99520119838653864</v>
      </c>
    </row>
    <row r="3049" spans="1:8" ht="15" customHeight="1" x14ac:dyDescent="0.25">
      <c r="A3049" s="5">
        <v>3043</v>
      </c>
      <c r="B3049" s="10" t="s">
        <v>5986</v>
      </c>
      <c r="C3049" s="10" t="s">
        <v>5987</v>
      </c>
      <c r="D3049" s="7">
        <v>132.5</v>
      </c>
      <c r="E3049" s="5">
        <v>106</v>
      </c>
      <c r="F3049" s="5">
        <v>8</v>
      </c>
      <c r="G3049" s="12">
        <f>SUM($D$7:D3049)</f>
        <v>10615629.741000023</v>
      </c>
      <c r="H3049" s="11">
        <f t="shared" si="47"/>
        <v>0.99521362024071958</v>
      </c>
    </row>
    <row r="3050" spans="1:8" ht="15" customHeight="1" x14ac:dyDescent="0.25">
      <c r="A3050" s="5">
        <v>3044</v>
      </c>
      <c r="B3050" s="10" t="s">
        <v>5988</v>
      </c>
      <c r="C3050" s="10" t="s">
        <v>5989</v>
      </c>
      <c r="D3050" s="7">
        <v>132.44</v>
      </c>
      <c r="E3050" s="5">
        <v>318</v>
      </c>
      <c r="F3050" s="5">
        <v>38</v>
      </c>
      <c r="G3050" s="12">
        <f>SUM($D$7:D3050)</f>
        <v>10615762.181000022</v>
      </c>
      <c r="H3050" s="11">
        <f t="shared" si="47"/>
        <v>0.99522603646990992</v>
      </c>
    </row>
    <row r="3051" spans="1:8" ht="15" customHeight="1" x14ac:dyDescent="0.25">
      <c r="A3051" s="5">
        <v>3045</v>
      </c>
      <c r="B3051" s="10" t="s">
        <v>5990</v>
      </c>
      <c r="C3051" s="10" t="s">
        <v>5991</v>
      </c>
      <c r="D3051" s="7">
        <v>132.05000000000001</v>
      </c>
      <c r="E3051" s="5">
        <v>107</v>
      </c>
      <c r="F3051" s="5">
        <v>8</v>
      </c>
      <c r="G3051" s="12">
        <f>SUM($D$7:D3051)</f>
        <v>10615894.231000023</v>
      </c>
      <c r="H3051" s="11">
        <f t="shared" si="47"/>
        <v>0.99523841613666164</v>
      </c>
    </row>
    <row r="3052" spans="1:8" ht="15" customHeight="1" x14ac:dyDescent="0.25">
      <c r="A3052" s="5">
        <v>3046</v>
      </c>
      <c r="B3052" s="10" t="s">
        <v>1331</v>
      </c>
      <c r="C3052" s="10" t="s">
        <v>5992</v>
      </c>
      <c r="D3052" s="7">
        <v>132</v>
      </c>
      <c r="E3052" s="5">
        <v>16</v>
      </c>
      <c r="F3052" s="5">
        <v>4</v>
      </c>
      <c r="G3052" s="12">
        <f>SUM($D$7:D3052)</f>
        <v>10616026.231000023</v>
      </c>
      <c r="H3052" s="11">
        <f t="shared" si="47"/>
        <v>0.99525079111592119</v>
      </c>
    </row>
    <row r="3053" spans="1:8" ht="15" customHeight="1" x14ac:dyDescent="0.25">
      <c r="A3053" s="5">
        <v>3047</v>
      </c>
      <c r="B3053" s="10" t="s">
        <v>2223</v>
      </c>
      <c r="C3053" s="10" t="s">
        <v>5993</v>
      </c>
      <c r="D3053" s="7">
        <v>132</v>
      </c>
      <c r="E3053" s="5">
        <v>16</v>
      </c>
      <c r="F3053" s="5">
        <v>6</v>
      </c>
      <c r="G3053" s="12">
        <f>SUM($D$7:D3053)</f>
        <v>10616158.231000023</v>
      </c>
      <c r="H3053" s="11">
        <f t="shared" si="47"/>
        <v>0.99526316609518073</v>
      </c>
    </row>
    <row r="3054" spans="1:8" ht="15" customHeight="1" x14ac:dyDescent="0.25">
      <c r="A3054" s="5">
        <v>3048</v>
      </c>
      <c r="B3054" s="10" t="s">
        <v>5994</v>
      </c>
      <c r="C3054" s="10" t="s">
        <v>3321</v>
      </c>
      <c r="D3054" s="7">
        <v>131.81</v>
      </c>
      <c r="E3054" s="5">
        <v>40</v>
      </c>
      <c r="F3054" s="5">
        <v>29</v>
      </c>
      <c r="G3054" s="12">
        <f>SUM($D$7:D3054)</f>
        <v>10616290.041000023</v>
      </c>
      <c r="H3054" s="11">
        <f t="shared" si="47"/>
        <v>0.99527552326197022</v>
      </c>
    </row>
    <row r="3055" spans="1:8" ht="15" customHeight="1" x14ac:dyDescent="0.25">
      <c r="A3055" s="5">
        <v>3049</v>
      </c>
      <c r="B3055" s="10" t="s">
        <v>5995</v>
      </c>
      <c r="C3055" s="10" t="s">
        <v>5996</v>
      </c>
      <c r="D3055" s="7">
        <v>131.03</v>
      </c>
      <c r="E3055" s="5">
        <v>31</v>
      </c>
      <c r="F3055" s="5">
        <v>13</v>
      </c>
      <c r="G3055" s="12">
        <f>SUM($D$7:D3055)</f>
        <v>10616421.071000023</v>
      </c>
      <c r="H3055" s="11">
        <f t="shared" si="47"/>
        <v>0.99528780730388211</v>
      </c>
    </row>
    <row r="3056" spans="1:8" ht="15" customHeight="1" x14ac:dyDescent="0.25">
      <c r="A3056" s="5">
        <v>3050</v>
      </c>
      <c r="B3056" s="10" t="s">
        <v>5997</v>
      </c>
      <c r="C3056" s="10" t="s">
        <v>5998</v>
      </c>
      <c r="D3056" s="7">
        <v>130.66999999999999</v>
      </c>
      <c r="E3056" s="5">
        <v>27</v>
      </c>
      <c r="F3056" s="5">
        <v>14</v>
      </c>
      <c r="G3056" s="12">
        <f>SUM($D$7:D3056)</f>
        <v>10616551.741000023</v>
      </c>
      <c r="H3056" s="11">
        <f t="shared" si="47"/>
        <v>0.99530005759585061</v>
      </c>
    </row>
    <row r="3057" spans="1:8" ht="15" customHeight="1" x14ac:dyDescent="0.25">
      <c r="A3057" s="5">
        <v>3051</v>
      </c>
      <c r="B3057" s="10" t="s">
        <v>5999</v>
      </c>
      <c r="C3057" s="10" t="s">
        <v>6000</v>
      </c>
      <c r="D3057" s="7">
        <v>130.51</v>
      </c>
      <c r="E3057" s="5">
        <v>99</v>
      </c>
      <c r="F3057" s="5">
        <v>10</v>
      </c>
      <c r="G3057" s="12">
        <f>SUM($D$7:D3057)</f>
        <v>10616682.251000023</v>
      </c>
      <c r="H3057" s="11">
        <f t="shared" si="47"/>
        <v>0.99531229288784417</v>
      </c>
    </row>
    <row r="3058" spans="1:8" ht="15" customHeight="1" x14ac:dyDescent="0.25">
      <c r="A3058" s="5">
        <v>3052</v>
      </c>
      <c r="B3058" s="10" t="s">
        <v>6001</v>
      </c>
      <c r="C3058" s="10" t="s">
        <v>2527</v>
      </c>
      <c r="D3058" s="7">
        <v>130.47999999999999</v>
      </c>
      <c r="E3058" s="5">
        <v>53</v>
      </c>
      <c r="F3058" s="5">
        <v>40</v>
      </c>
      <c r="G3058" s="12">
        <f>SUM($D$7:D3058)</f>
        <v>10616812.731000023</v>
      </c>
      <c r="H3058" s="11">
        <f t="shared" si="47"/>
        <v>0.99532452536734262</v>
      </c>
    </row>
    <row r="3059" spans="1:8" ht="15" customHeight="1" x14ac:dyDescent="0.25">
      <c r="A3059" s="5">
        <v>3053</v>
      </c>
      <c r="B3059" s="10" t="s">
        <v>6002</v>
      </c>
      <c r="C3059" s="10" t="s">
        <v>6003</v>
      </c>
      <c r="D3059" s="7">
        <v>130.27000000000001</v>
      </c>
      <c r="E3059" s="5">
        <v>159</v>
      </c>
      <c r="F3059" s="5">
        <v>17</v>
      </c>
      <c r="G3059" s="12">
        <f>SUM($D$7:D3059)</f>
        <v>10616943.001000023</v>
      </c>
      <c r="H3059" s="11">
        <f t="shared" si="47"/>
        <v>0.99533673815937396</v>
      </c>
    </row>
    <row r="3060" spans="1:8" ht="15" customHeight="1" x14ac:dyDescent="0.25">
      <c r="A3060" s="5">
        <v>3054</v>
      </c>
      <c r="B3060" s="10" t="s">
        <v>6004</v>
      </c>
      <c r="C3060" s="10" t="s">
        <v>6005</v>
      </c>
      <c r="D3060" s="7">
        <v>129.85</v>
      </c>
      <c r="E3060" s="5">
        <v>21</v>
      </c>
      <c r="F3060" s="5">
        <v>14</v>
      </c>
      <c r="G3060" s="12">
        <f>SUM($D$7:D3060)</f>
        <v>10617072.851000022</v>
      </c>
      <c r="H3060" s="11">
        <f t="shared" si="47"/>
        <v>0.99534891157647121</v>
      </c>
    </row>
    <row r="3061" spans="1:8" ht="15" customHeight="1" x14ac:dyDescent="0.25">
      <c r="A3061" s="5">
        <v>3055</v>
      </c>
      <c r="B3061" s="10" t="s">
        <v>3700</v>
      </c>
      <c r="C3061" s="10" t="s">
        <v>6006</v>
      </c>
      <c r="D3061" s="7">
        <v>129.80000000000001</v>
      </c>
      <c r="E3061" s="5">
        <v>44</v>
      </c>
      <c r="F3061" s="5">
        <v>14</v>
      </c>
      <c r="G3061" s="12">
        <f>SUM($D$7:D3061)</f>
        <v>10617202.651000023</v>
      </c>
      <c r="H3061" s="11">
        <f t="shared" si="47"/>
        <v>0.99536108030607651</v>
      </c>
    </row>
    <row r="3062" spans="1:8" ht="15" customHeight="1" x14ac:dyDescent="0.25">
      <c r="A3062" s="5">
        <v>3056</v>
      </c>
      <c r="B3062" s="10" t="s">
        <v>6007</v>
      </c>
      <c r="C3062" s="10" t="s">
        <v>6008</v>
      </c>
      <c r="D3062" s="7">
        <v>129.63</v>
      </c>
      <c r="E3062" s="5">
        <v>43</v>
      </c>
      <c r="F3062" s="5">
        <v>14</v>
      </c>
      <c r="G3062" s="12">
        <f>SUM($D$7:D3062)</f>
        <v>10617332.281000024</v>
      </c>
      <c r="H3062" s="11">
        <f t="shared" si="47"/>
        <v>0.99537323309820858</v>
      </c>
    </row>
    <row r="3063" spans="1:8" ht="15" customHeight="1" x14ac:dyDescent="0.25">
      <c r="A3063" s="5">
        <v>3057</v>
      </c>
      <c r="B3063" s="10" t="s">
        <v>6009</v>
      </c>
      <c r="C3063" s="10" t="s">
        <v>409</v>
      </c>
      <c r="D3063" s="7">
        <v>129.47999999999999</v>
      </c>
      <c r="E3063" s="5">
        <v>12</v>
      </c>
      <c r="F3063" s="5">
        <v>9</v>
      </c>
      <c r="G3063" s="12">
        <f>SUM($D$7:D3063)</f>
        <v>10617461.761000024</v>
      </c>
      <c r="H3063" s="11">
        <f t="shared" si="47"/>
        <v>0.99538537182786402</v>
      </c>
    </row>
    <row r="3064" spans="1:8" ht="15" customHeight="1" x14ac:dyDescent="0.25">
      <c r="A3064" s="5">
        <v>3058</v>
      </c>
      <c r="B3064" s="10" t="s">
        <v>6010</v>
      </c>
      <c r="C3064" s="10" t="s">
        <v>6011</v>
      </c>
      <c r="D3064" s="7">
        <v>129.47</v>
      </c>
      <c r="E3064" s="5">
        <v>81</v>
      </c>
      <c r="F3064" s="5">
        <v>19</v>
      </c>
      <c r="G3064" s="12">
        <f>SUM($D$7:D3064)</f>
        <v>10617591.231000025</v>
      </c>
      <c r="H3064" s="11">
        <f t="shared" si="47"/>
        <v>0.99539750962002116</v>
      </c>
    </row>
    <row r="3065" spans="1:8" ht="15" customHeight="1" x14ac:dyDescent="0.25">
      <c r="A3065" s="5">
        <v>3059</v>
      </c>
      <c r="B3065" s="10" t="s">
        <v>6012</v>
      </c>
      <c r="C3065" s="10" t="s">
        <v>6013</v>
      </c>
      <c r="D3065" s="7">
        <v>128.63</v>
      </c>
      <c r="E3065" s="5">
        <v>881</v>
      </c>
      <c r="F3065" s="5">
        <v>72</v>
      </c>
      <c r="G3065" s="12">
        <f>SUM($D$7:D3065)</f>
        <v>10617719.861000026</v>
      </c>
      <c r="H3065" s="11">
        <f t="shared" si="47"/>
        <v>0.99540956866231034</v>
      </c>
    </row>
    <row r="3066" spans="1:8" ht="15" customHeight="1" x14ac:dyDescent="0.25">
      <c r="A3066" s="5">
        <v>3060</v>
      </c>
      <c r="B3066" s="10" t="s">
        <v>6014</v>
      </c>
      <c r="C3066" s="10" t="s">
        <v>6015</v>
      </c>
      <c r="D3066" s="7">
        <v>128.4</v>
      </c>
      <c r="E3066" s="5">
        <v>276</v>
      </c>
      <c r="F3066" s="5">
        <v>8</v>
      </c>
      <c r="G3066" s="12">
        <f>SUM($D$7:D3066)</f>
        <v>10617848.261000026</v>
      </c>
      <c r="H3066" s="11">
        <f t="shared" si="47"/>
        <v>0.99542160614213548</v>
      </c>
    </row>
    <row r="3067" spans="1:8" ht="15" customHeight="1" x14ac:dyDescent="0.25">
      <c r="A3067" s="5">
        <v>3061</v>
      </c>
      <c r="B3067" s="10" t="s">
        <v>6016</v>
      </c>
      <c r="C3067" s="10" t="s">
        <v>6017</v>
      </c>
      <c r="D3067" s="7">
        <v>128.33000000000001</v>
      </c>
      <c r="E3067" s="5">
        <v>57</v>
      </c>
      <c r="F3067" s="5">
        <v>5</v>
      </c>
      <c r="G3067" s="12">
        <f>SUM($D$7:D3067)</f>
        <v>10617976.591000026</v>
      </c>
      <c r="H3067" s="11">
        <f t="shared" si="47"/>
        <v>0.99543363705947174</v>
      </c>
    </row>
    <row r="3068" spans="1:8" ht="15" customHeight="1" x14ac:dyDescent="0.25">
      <c r="A3068" s="5">
        <v>3062</v>
      </c>
      <c r="B3068" s="10" t="s">
        <v>6018</v>
      </c>
      <c r="C3068" s="10" t="s">
        <v>6019</v>
      </c>
      <c r="D3068" s="7">
        <v>128.13999999999999</v>
      </c>
      <c r="E3068" s="5">
        <v>57</v>
      </c>
      <c r="F3068" s="5">
        <v>13</v>
      </c>
      <c r="G3068" s="12">
        <f>SUM($D$7:D3068)</f>
        <v>10618104.731000027</v>
      </c>
      <c r="H3068" s="11">
        <f t="shared" si="47"/>
        <v>0.99544565016433784</v>
      </c>
    </row>
    <row r="3069" spans="1:8" ht="15" customHeight="1" x14ac:dyDescent="0.25">
      <c r="A3069" s="5">
        <v>3063</v>
      </c>
      <c r="B3069" s="10" t="s">
        <v>6020</v>
      </c>
      <c r="C3069" s="10" t="s">
        <v>6021</v>
      </c>
      <c r="D3069" s="7">
        <v>127.57</v>
      </c>
      <c r="E3069" s="5">
        <v>113</v>
      </c>
      <c r="F3069" s="5">
        <v>9</v>
      </c>
      <c r="G3069" s="12">
        <f>SUM($D$7:D3069)</f>
        <v>10618232.301000027</v>
      </c>
      <c r="H3069" s="11">
        <f t="shared" si="47"/>
        <v>0.99545760983179343</v>
      </c>
    </row>
    <row r="3070" spans="1:8" ht="15" customHeight="1" x14ac:dyDescent="0.25">
      <c r="A3070" s="5">
        <v>3064</v>
      </c>
      <c r="B3070" s="10" t="s">
        <v>6022</v>
      </c>
      <c r="C3070" s="10" t="s">
        <v>6023</v>
      </c>
      <c r="D3070" s="7">
        <v>127.24</v>
      </c>
      <c r="E3070" s="5">
        <v>17</v>
      </c>
      <c r="F3070" s="5">
        <v>9</v>
      </c>
      <c r="G3070" s="12">
        <f>SUM($D$7:D3070)</f>
        <v>10618359.541000027</v>
      </c>
      <c r="H3070" s="11">
        <f t="shared" si="47"/>
        <v>0.99546953856180087</v>
      </c>
    </row>
    <row r="3071" spans="1:8" ht="15" customHeight="1" x14ac:dyDescent="0.25">
      <c r="A3071" s="5">
        <v>3065</v>
      </c>
      <c r="B3071" s="10" t="s">
        <v>6024</v>
      </c>
      <c r="C3071" s="10" t="s">
        <v>6025</v>
      </c>
      <c r="D3071" s="7">
        <v>127.05</v>
      </c>
      <c r="E3071" s="5">
        <v>77</v>
      </c>
      <c r="F3071" s="5">
        <v>10</v>
      </c>
      <c r="G3071" s="12">
        <f>SUM($D$7:D3071)</f>
        <v>10618486.591000028</v>
      </c>
      <c r="H3071" s="11">
        <f t="shared" si="47"/>
        <v>0.99548144947933825</v>
      </c>
    </row>
    <row r="3072" spans="1:8" ht="15" customHeight="1" x14ac:dyDescent="0.25">
      <c r="A3072" s="5">
        <v>3066</v>
      </c>
      <c r="B3072" s="10" t="s">
        <v>6026</v>
      </c>
      <c r="C3072" s="10" t="s">
        <v>6027</v>
      </c>
      <c r="D3072" s="7">
        <v>126.98</v>
      </c>
      <c r="E3072" s="5">
        <v>265</v>
      </c>
      <c r="F3072" s="5">
        <v>47</v>
      </c>
      <c r="G3072" s="12">
        <f>SUM($D$7:D3072)</f>
        <v>10618613.571000028</v>
      </c>
      <c r="H3072" s="11">
        <f t="shared" si="47"/>
        <v>0.99549335383438664</v>
      </c>
    </row>
    <row r="3073" spans="1:8" ht="15" customHeight="1" x14ac:dyDescent="0.25">
      <c r="A3073" s="5">
        <v>3067</v>
      </c>
      <c r="B3073" s="10" t="s">
        <v>6028</v>
      </c>
      <c r="C3073" s="10" t="s">
        <v>6029</v>
      </c>
      <c r="D3073" s="7">
        <v>126.78</v>
      </c>
      <c r="E3073" s="5">
        <v>78</v>
      </c>
      <c r="F3073" s="5">
        <v>23</v>
      </c>
      <c r="G3073" s="12">
        <f>SUM($D$7:D3073)</f>
        <v>10618740.351000028</v>
      </c>
      <c r="H3073" s="11">
        <f t="shared" si="47"/>
        <v>0.99550523943946623</v>
      </c>
    </row>
    <row r="3074" spans="1:8" ht="15" customHeight="1" x14ac:dyDescent="0.25">
      <c r="A3074" s="5">
        <v>3068</v>
      </c>
      <c r="B3074" s="10" t="s">
        <v>6030</v>
      </c>
      <c r="C3074" s="10" t="s">
        <v>6031</v>
      </c>
      <c r="D3074" s="7">
        <v>126.75</v>
      </c>
      <c r="E3074" s="5">
        <v>65</v>
      </c>
      <c r="F3074" s="5">
        <v>6</v>
      </c>
      <c r="G3074" s="12">
        <f>SUM($D$7:D3074)</f>
        <v>10618867.101000028</v>
      </c>
      <c r="H3074" s="11">
        <f t="shared" si="47"/>
        <v>0.99551712223205069</v>
      </c>
    </row>
    <row r="3075" spans="1:8" ht="15" customHeight="1" x14ac:dyDescent="0.25">
      <c r="A3075" s="5">
        <v>3069</v>
      </c>
      <c r="B3075" s="10" t="s">
        <v>2170</v>
      </c>
      <c r="C3075" s="10" t="s">
        <v>6032</v>
      </c>
      <c r="D3075" s="7">
        <v>126.7</v>
      </c>
      <c r="E3075" s="5">
        <v>11</v>
      </c>
      <c r="F3075" s="5">
        <v>3</v>
      </c>
      <c r="G3075" s="12">
        <f>SUM($D$7:D3075)</f>
        <v>10618993.801000027</v>
      </c>
      <c r="H3075" s="11">
        <f t="shared" si="47"/>
        <v>0.99552900033714298</v>
      </c>
    </row>
    <row r="3076" spans="1:8" ht="15" customHeight="1" x14ac:dyDescent="0.25">
      <c r="A3076" s="5">
        <v>3070</v>
      </c>
      <c r="B3076" s="10" t="s">
        <v>6033</v>
      </c>
      <c r="C3076" s="10" t="s">
        <v>6034</v>
      </c>
      <c r="D3076" s="7">
        <v>126.65</v>
      </c>
      <c r="E3076" s="5">
        <v>7</v>
      </c>
      <c r="F3076" s="5">
        <v>5</v>
      </c>
      <c r="G3076" s="12">
        <f>SUM($D$7:D3076)</f>
        <v>10619120.451000027</v>
      </c>
      <c r="H3076" s="11">
        <f t="shared" si="47"/>
        <v>0.99554087375474309</v>
      </c>
    </row>
    <row r="3077" spans="1:8" ht="15" customHeight="1" x14ac:dyDescent="0.25">
      <c r="A3077" s="5">
        <v>3071</v>
      </c>
      <c r="B3077" s="10" t="s">
        <v>6035</v>
      </c>
      <c r="C3077" s="10" t="s">
        <v>6036</v>
      </c>
      <c r="D3077" s="7">
        <v>126.64</v>
      </c>
      <c r="E3077" s="5">
        <v>20</v>
      </c>
      <c r="F3077" s="5">
        <v>10</v>
      </c>
      <c r="G3077" s="12">
        <f>SUM($D$7:D3077)</f>
        <v>10619247.091000028</v>
      </c>
      <c r="H3077" s="11">
        <f t="shared" si="47"/>
        <v>0.99555274623484491</v>
      </c>
    </row>
    <row r="3078" spans="1:8" ht="15" customHeight="1" x14ac:dyDescent="0.25">
      <c r="A3078" s="5">
        <v>3072</v>
      </c>
      <c r="B3078" s="10" t="s">
        <v>6037</v>
      </c>
      <c r="C3078" s="10" t="s">
        <v>6038</v>
      </c>
      <c r="D3078" s="7">
        <v>125.72</v>
      </c>
      <c r="E3078" s="5">
        <v>60</v>
      </c>
      <c r="F3078" s="5">
        <v>14</v>
      </c>
      <c r="G3078" s="12">
        <f>SUM($D$7:D3078)</f>
        <v>10619372.811000029</v>
      </c>
      <c r="H3078" s="11">
        <f t="shared" si="47"/>
        <v>0.99556453246509125</v>
      </c>
    </row>
    <row r="3079" spans="1:8" ht="15" customHeight="1" x14ac:dyDescent="0.25">
      <c r="A3079" s="5">
        <v>3073</v>
      </c>
      <c r="B3079" s="10" t="s">
        <v>6039</v>
      </c>
      <c r="C3079" s="10" t="s">
        <v>1609</v>
      </c>
      <c r="D3079" s="7">
        <v>125.33</v>
      </c>
      <c r="E3079" s="5">
        <v>5</v>
      </c>
      <c r="F3079" s="5">
        <v>3</v>
      </c>
      <c r="G3079" s="12">
        <f>SUM($D$7:D3079)</f>
        <v>10619498.141000029</v>
      </c>
      <c r="H3079" s="11">
        <f t="shared" ref="H3079:H3142" si="48">G3079/SUM($D$7:$D$4167)</f>
        <v>0.99557628213289884</v>
      </c>
    </row>
    <row r="3080" spans="1:8" ht="15" customHeight="1" x14ac:dyDescent="0.25">
      <c r="A3080" s="5">
        <v>3074</v>
      </c>
      <c r="B3080" s="10" t="s">
        <v>1554</v>
      </c>
      <c r="C3080" s="10" t="s">
        <v>6040</v>
      </c>
      <c r="D3080" s="7">
        <v>125</v>
      </c>
      <c r="E3080" s="5">
        <v>10</v>
      </c>
      <c r="F3080" s="5">
        <v>4</v>
      </c>
      <c r="G3080" s="12">
        <f>SUM($D$7:D3080)</f>
        <v>10619623.141000029</v>
      </c>
      <c r="H3080" s="11">
        <f t="shared" si="48"/>
        <v>0.99558800086325827</v>
      </c>
    </row>
    <row r="3081" spans="1:8" ht="15" customHeight="1" x14ac:dyDescent="0.25">
      <c r="A3081" s="5">
        <v>3075</v>
      </c>
      <c r="B3081" s="10" t="s">
        <v>6041</v>
      </c>
      <c r="C3081" s="10" t="s">
        <v>6042</v>
      </c>
      <c r="D3081" s="7">
        <v>124.98</v>
      </c>
      <c r="E3081" s="5">
        <v>76</v>
      </c>
      <c r="F3081" s="5">
        <v>21</v>
      </c>
      <c r="G3081" s="12">
        <f>SUM($D$7:D3081)</f>
        <v>10619748.121000029</v>
      </c>
      <c r="H3081" s="11">
        <f t="shared" si="48"/>
        <v>0.99559971771862077</v>
      </c>
    </row>
    <row r="3082" spans="1:8" ht="15" customHeight="1" x14ac:dyDescent="0.25">
      <c r="A3082" s="5">
        <v>3076</v>
      </c>
      <c r="B3082" s="10" t="s">
        <v>6043</v>
      </c>
      <c r="C3082" s="10" t="s">
        <v>6044</v>
      </c>
      <c r="D3082" s="7">
        <v>123.66</v>
      </c>
      <c r="E3082" s="5">
        <v>54</v>
      </c>
      <c r="F3082" s="5">
        <v>19</v>
      </c>
      <c r="G3082" s="12">
        <f>SUM($D$7:D3082)</f>
        <v>10619871.781000029</v>
      </c>
      <c r="H3082" s="11">
        <f t="shared" si="48"/>
        <v>0.99561131082419074</v>
      </c>
    </row>
    <row r="3083" spans="1:8" ht="15" customHeight="1" x14ac:dyDescent="0.25">
      <c r="A3083" s="5">
        <v>3077</v>
      </c>
      <c r="B3083" s="10" t="s">
        <v>6045</v>
      </c>
      <c r="C3083" s="10" t="s">
        <v>6046</v>
      </c>
      <c r="D3083" s="7">
        <v>123.47</v>
      </c>
      <c r="E3083" s="5">
        <v>92</v>
      </c>
      <c r="F3083" s="5">
        <v>13</v>
      </c>
      <c r="G3083" s="12">
        <f>SUM($D$7:D3083)</f>
        <v>10619995.25100003</v>
      </c>
      <c r="H3083" s="11">
        <f t="shared" si="48"/>
        <v>0.99562288611729066</v>
      </c>
    </row>
    <row r="3084" spans="1:8" ht="15" customHeight="1" x14ac:dyDescent="0.25">
      <c r="A3084" s="5">
        <v>3078</v>
      </c>
      <c r="B3084" s="10" t="s">
        <v>6047</v>
      </c>
      <c r="C3084" s="10" t="s">
        <v>6048</v>
      </c>
      <c r="D3084" s="7">
        <v>123.3</v>
      </c>
      <c r="E3084" s="5">
        <v>72</v>
      </c>
      <c r="F3084" s="5">
        <v>13</v>
      </c>
      <c r="G3084" s="12">
        <f>SUM($D$7:D3084)</f>
        <v>10620118.551000031</v>
      </c>
      <c r="H3084" s="11">
        <f t="shared" si="48"/>
        <v>0.99563444547291724</v>
      </c>
    </row>
    <row r="3085" spans="1:8" ht="15" customHeight="1" x14ac:dyDescent="0.25">
      <c r="A3085" s="5">
        <v>3079</v>
      </c>
      <c r="B3085" s="10" t="s">
        <v>4120</v>
      </c>
      <c r="C3085" s="10" t="s">
        <v>6049</v>
      </c>
      <c r="D3085" s="7">
        <v>123.2</v>
      </c>
      <c r="E3085" s="5">
        <v>32</v>
      </c>
      <c r="F3085" s="5">
        <v>2</v>
      </c>
      <c r="G3085" s="12">
        <f>SUM($D$7:D3085)</f>
        <v>10620241.75100003</v>
      </c>
      <c r="H3085" s="11">
        <f t="shared" si="48"/>
        <v>0.99564599545355936</v>
      </c>
    </row>
    <row r="3086" spans="1:8" ht="15" customHeight="1" x14ac:dyDescent="0.25">
      <c r="A3086" s="5">
        <v>3080</v>
      </c>
      <c r="B3086" s="10" t="s">
        <v>6050</v>
      </c>
      <c r="C3086" s="10" t="s">
        <v>6051</v>
      </c>
      <c r="D3086" s="7">
        <v>123.12</v>
      </c>
      <c r="E3086" s="5">
        <v>324</v>
      </c>
      <c r="F3086" s="5">
        <v>7</v>
      </c>
      <c r="G3086" s="12">
        <f>SUM($D$7:D3086)</f>
        <v>10620364.871000029</v>
      </c>
      <c r="H3086" s="11">
        <f t="shared" si="48"/>
        <v>0.99565753793421419</v>
      </c>
    </row>
    <row r="3087" spans="1:8" ht="15" customHeight="1" x14ac:dyDescent="0.25">
      <c r="A3087" s="5">
        <v>3081</v>
      </c>
      <c r="B3087" s="10" t="s">
        <v>4719</v>
      </c>
      <c r="C3087" s="10" t="s">
        <v>6052</v>
      </c>
      <c r="D3087" s="7">
        <v>122.85</v>
      </c>
      <c r="E3087" s="5">
        <v>27</v>
      </c>
      <c r="F3087" s="5">
        <v>2</v>
      </c>
      <c r="G3087" s="12">
        <f>SUM($D$7:D3087)</f>
        <v>10620487.721000029</v>
      </c>
      <c r="H3087" s="11">
        <f t="shared" si="48"/>
        <v>0.99566905510241133</v>
      </c>
    </row>
    <row r="3088" spans="1:8" ht="15" customHeight="1" x14ac:dyDescent="0.25">
      <c r="A3088" s="5">
        <v>3082</v>
      </c>
      <c r="B3088" s="10" t="s">
        <v>6053</v>
      </c>
      <c r="C3088" s="10" t="s">
        <v>6054</v>
      </c>
      <c r="D3088" s="7">
        <v>122.84</v>
      </c>
      <c r="E3088" s="5">
        <v>19</v>
      </c>
      <c r="F3088" s="5">
        <v>10</v>
      </c>
      <c r="G3088" s="12">
        <f>SUM($D$7:D3088)</f>
        <v>10620610.561000029</v>
      </c>
      <c r="H3088" s="11">
        <f t="shared" si="48"/>
        <v>0.99568057133311016</v>
      </c>
    </row>
    <row r="3089" spans="1:8" ht="15" customHeight="1" x14ac:dyDescent="0.25">
      <c r="A3089" s="5">
        <v>3083</v>
      </c>
      <c r="B3089" s="10" t="s">
        <v>6055</v>
      </c>
      <c r="C3089" s="10" t="s">
        <v>6056</v>
      </c>
      <c r="D3089" s="7">
        <v>122.64</v>
      </c>
      <c r="E3089" s="5">
        <v>20</v>
      </c>
      <c r="F3089" s="5">
        <v>14</v>
      </c>
      <c r="G3089" s="12">
        <f>SUM($D$7:D3089)</f>
        <v>10620733.201000029</v>
      </c>
      <c r="H3089" s="11">
        <f t="shared" si="48"/>
        <v>0.99569206881384043</v>
      </c>
    </row>
    <row r="3090" spans="1:8" ht="15" customHeight="1" x14ac:dyDescent="0.25">
      <c r="A3090" s="5">
        <v>3084</v>
      </c>
      <c r="B3090" s="10" t="s">
        <v>6057</v>
      </c>
      <c r="C3090" s="10" t="s">
        <v>6058</v>
      </c>
      <c r="D3090" s="7">
        <v>122.08</v>
      </c>
      <c r="E3090" s="5">
        <v>146</v>
      </c>
      <c r="F3090" s="5">
        <v>50</v>
      </c>
      <c r="G3090" s="12">
        <f>SUM($D$7:D3090)</f>
        <v>10620855.281000029</v>
      </c>
      <c r="H3090" s="11">
        <f t="shared" si="48"/>
        <v>0.9957035137946586</v>
      </c>
    </row>
    <row r="3091" spans="1:8" ht="15" customHeight="1" x14ac:dyDescent="0.25">
      <c r="A3091" s="5">
        <v>3085</v>
      </c>
      <c r="B3091" s="10" t="s">
        <v>6059</v>
      </c>
      <c r="C3091" s="10" t="s">
        <v>6060</v>
      </c>
      <c r="D3091" s="7">
        <v>121.38</v>
      </c>
      <c r="E3091" s="5">
        <v>57</v>
      </c>
      <c r="F3091" s="5">
        <v>20</v>
      </c>
      <c r="G3091" s="12">
        <f>SUM($D$7:D3091)</f>
        <v>10620976.66100003</v>
      </c>
      <c r="H3091" s="11">
        <f t="shared" si="48"/>
        <v>0.99571489315058692</v>
      </c>
    </row>
    <row r="3092" spans="1:8" ht="15" customHeight="1" x14ac:dyDescent="0.25">
      <c r="A3092" s="5">
        <v>3086</v>
      </c>
      <c r="B3092" s="10" t="s">
        <v>6061</v>
      </c>
      <c r="C3092" s="10" t="s">
        <v>6062</v>
      </c>
      <c r="D3092" s="7">
        <v>120.99</v>
      </c>
      <c r="E3092" s="5">
        <v>21</v>
      </c>
      <c r="F3092" s="5">
        <v>17</v>
      </c>
      <c r="G3092" s="12">
        <f>SUM($D$7:D3092)</f>
        <v>10621097.65100003</v>
      </c>
      <c r="H3092" s="11">
        <f t="shared" si="48"/>
        <v>0.99572623594407639</v>
      </c>
    </row>
    <row r="3093" spans="1:8" ht="15" customHeight="1" x14ac:dyDescent="0.25">
      <c r="A3093" s="5">
        <v>3087</v>
      </c>
      <c r="B3093" s="10" t="s">
        <v>6063</v>
      </c>
      <c r="C3093" s="10" t="s">
        <v>6064</v>
      </c>
      <c r="D3093" s="7">
        <v>120.65</v>
      </c>
      <c r="E3093" s="5">
        <v>19</v>
      </c>
      <c r="F3093" s="5">
        <v>11</v>
      </c>
      <c r="G3093" s="12">
        <f>SUM($D$7:D3093)</f>
        <v>10621218.301000031</v>
      </c>
      <c r="H3093" s="11">
        <f t="shared" si="48"/>
        <v>0.99573754686261928</v>
      </c>
    </row>
    <row r="3094" spans="1:8" ht="15" customHeight="1" x14ac:dyDescent="0.25">
      <c r="A3094" s="5">
        <v>3088</v>
      </c>
      <c r="B3094" s="10" t="s">
        <v>6065</v>
      </c>
      <c r="C3094" s="10" t="s">
        <v>6066</v>
      </c>
      <c r="D3094" s="7">
        <v>120.34</v>
      </c>
      <c r="E3094" s="5">
        <v>32</v>
      </c>
      <c r="F3094" s="5">
        <v>17</v>
      </c>
      <c r="G3094" s="12">
        <f>SUM($D$7:D3094)</f>
        <v>10621338.641000031</v>
      </c>
      <c r="H3094" s="11">
        <f t="shared" si="48"/>
        <v>0.99574882871871095</v>
      </c>
    </row>
    <row r="3095" spans="1:8" ht="15" customHeight="1" x14ac:dyDescent="0.25">
      <c r="A3095" s="5">
        <v>3089</v>
      </c>
      <c r="B3095" s="10" t="s">
        <v>6067</v>
      </c>
      <c r="C3095" s="10" t="s">
        <v>6068</v>
      </c>
      <c r="D3095" s="7">
        <v>120.08</v>
      </c>
      <c r="E3095" s="5">
        <v>32</v>
      </c>
      <c r="F3095" s="5">
        <v>11</v>
      </c>
      <c r="G3095" s="12">
        <f>SUM($D$7:D3095)</f>
        <v>10621458.721000031</v>
      </c>
      <c r="H3095" s="11">
        <f t="shared" si="48"/>
        <v>0.99576008619984335</v>
      </c>
    </row>
    <row r="3096" spans="1:8" ht="15" customHeight="1" x14ac:dyDescent="0.25">
      <c r="A3096" s="5">
        <v>3090</v>
      </c>
      <c r="B3096" s="10" t="s">
        <v>2125</v>
      </c>
      <c r="C3096" s="10" t="s">
        <v>6069</v>
      </c>
      <c r="D3096" s="7">
        <v>120</v>
      </c>
      <c r="E3096" s="5">
        <v>96</v>
      </c>
      <c r="F3096" s="5">
        <v>6</v>
      </c>
      <c r="G3096" s="12">
        <f>SUM($D$7:D3096)</f>
        <v>10621578.721000031</v>
      </c>
      <c r="H3096" s="11">
        <f t="shared" si="48"/>
        <v>0.99577133618098845</v>
      </c>
    </row>
    <row r="3097" spans="1:8" ht="15" customHeight="1" x14ac:dyDescent="0.25">
      <c r="A3097" s="5">
        <v>3091</v>
      </c>
      <c r="B3097" s="10" t="s">
        <v>6070</v>
      </c>
      <c r="C3097" s="10" t="s">
        <v>6071</v>
      </c>
      <c r="D3097" s="7">
        <v>120</v>
      </c>
      <c r="E3097" s="5">
        <v>96</v>
      </c>
      <c r="F3097" s="5">
        <v>16</v>
      </c>
      <c r="G3097" s="12">
        <f>SUM($D$7:D3097)</f>
        <v>10621698.721000031</v>
      </c>
      <c r="H3097" s="11">
        <f t="shared" si="48"/>
        <v>0.99578258616213344</v>
      </c>
    </row>
    <row r="3098" spans="1:8" ht="15" customHeight="1" x14ac:dyDescent="0.25">
      <c r="A3098" s="5">
        <v>3092</v>
      </c>
      <c r="B3098" s="10" t="s">
        <v>6072</v>
      </c>
      <c r="C3098" s="10" t="s">
        <v>6073</v>
      </c>
      <c r="D3098" s="7">
        <v>119.91</v>
      </c>
      <c r="E3098" s="5">
        <v>24</v>
      </c>
      <c r="F3098" s="5">
        <v>21</v>
      </c>
      <c r="G3098" s="12">
        <f>SUM($D$7:D3098)</f>
        <v>10621818.631000031</v>
      </c>
      <c r="H3098" s="11">
        <f t="shared" si="48"/>
        <v>0.99579382770579261</v>
      </c>
    </row>
    <row r="3099" spans="1:8" ht="15" customHeight="1" x14ac:dyDescent="0.25">
      <c r="A3099" s="5">
        <v>3093</v>
      </c>
      <c r="B3099" s="10" t="s">
        <v>6074</v>
      </c>
      <c r="C3099" s="10" t="s">
        <v>6075</v>
      </c>
      <c r="D3099" s="7">
        <v>119.89</v>
      </c>
      <c r="E3099" s="5">
        <v>12</v>
      </c>
      <c r="F3099" s="5">
        <v>11</v>
      </c>
      <c r="G3099" s="12">
        <f>SUM($D$7:D3099)</f>
        <v>10621938.521000031</v>
      </c>
      <c r="H3099" s="11">
        <f t="shared" si="48"/>
        <v>0.99580506737445496</v>
      </c>
    </row>
    <row r="3100" spans="1:8" ht="15" customHeight="1" x14ac:dyDescent="0.25">
      <c r="A3100" s="5">
        <v>3094</v>
      </c>
      <c r="B3100" s="10" t="s">
        <v>6076</v>
      </c>
      <c r="C3100" s="10" t="s">
        <v>6077</v>
      </c>
      <c r="D3100" s="7">
        <v>119.84</v>
      </c>
      <c r="E3100" s="5">
        <v>32</v>
      </c>
      <c r="F3100" s="5">
        <v>24</v>
      </c>
      <c r="G3100" s="12">
        <f>SUM($D$7:D3100)</f>
        <v>10622058.361000031</v>
      </c>
      <c r="H3100" s="11">
        <f t="shared" si="48"/>
        <v>0.99581630235562513</v>
      </c>
    </row>
    <row r="3101" spans="1:8" ht="15" customHeight="1" x14ac:dyDescent="0.25">
      <c r="A3101" s="5">
        <v>3095</v>
      </c>
      <c r="B3101" s="10" t="s">
        <v>6078</v>
      </c>
      <c r="C3101" s="10" t="s">
        <v>6079</v>
      </c>
      <c r="D3101" s="7">
        <v>119.65</v>
      </c>
      <c r="E3101" s="5">
        <v>86</v>
      </c>
      <c r="F3101" s="5">
        <v>19</v>
      </c>
      <c r="G3101" s="12">
        <f>SUM($D$7:D3101)</f>
        <v>10622178.011000032</v>
      </c>
      <c r="H3101" s="11">
        <f t="shared" si="48"/>
        <v>0.99582751952432524</v>
      </c>
    </row>
    <row r="3102" spans="1:8" ht="15" customHeight="1" x14ac:dyDescent="0.25">
      <c r="A3102" s="5">
        <v>3096</v>
      </c>
      <c r="B3102" s="10" t="s">
        <v>471</v>
      </c>
      <c r="C3102" s="10" t="s">
        <v>6080</v>
      </c>
      <c r="D3102" s="7">
        <v>119.63</v>
      </c>
      <c r="E3102" s="5">
        <v>71</v>
      </c>
      <c r="F3102" s="5">
        <v>5</v>
      </c>
      <c r="G3102" s="12">
        <f>SUM($D$7:D3102)</f>
        <v>10622297.641000032</v>
      </c>
      <c r="H3102" s="11">
        <f t="shared" si="48"/>
        <v>0.99583873481802843</v>
      </c>
    </row>
    <row r="3103" spans="1:8" ht="15" customHeight="1" x14ac:dyDescent="0.25">
      <c r="A3103" s="5">
        <v>3097</v>
      </c>
      <c r="B3103" s="10" t="s">
        <v>6081</v>
      </c>
      <c r="C3103" s="10" t="s">
        <v>6082</v>
      </c>
      <c r="D3103" s="7">
        <v>119.23</v>
      </c>
      <c r="E3103" s="5">
        <v>24</v>
      </c>
      <c r="F3103" s="5">
        <v>11</v>
      </c>
      <c r="G3103" s="12">
        <f>SUM($D$7:D3103)</f>
        <v>10622416.871000033</v>
      </c>
      <c r="H3103" s="11">
        <f t="shared" si="48"/>
        <v>0.99584991261179456</v>
      </c>
    </row>
    <row r="3104" spans="1:8" ht="15" customHeight="1" x14ac:dyDescent="0.25">
      <c r="A3104" s="5">
        <v>3098</v>
      </c>
      <c r="B3104" s="10" t="s">
        <v>6083</v>
      </c>
      <c r="C3104" s="10" t="s">
        <v>6084</v>
      </c>
      <c r="D3104" s="7">
        <v>119.09</v>
      </c>
      <c r="E3104" s="5">
        <v>303</v>
      </c>
      <c r="F3104" s="5">
        <v>22</v>
      </c>
      <c r="G3104" s="12">
        <f>SUM($D$7:D3104)</f>
        <v>10622535.961000033</v>
      </c>
      <c r="H3104" s="11">
        <f t="shared" si="48"/>
        <v>0.99586107728058249</v>
      </c>
    </row>
    <row r="3105" spans="1:8" ht="15" customHeight="1" x14ac:dyDescent="0.25">
      <c r="A3105" s="5">
        <v>3099</v>
      </c>
      <c r="B3105" s="10" t="s">
        <v>6085</v>
      </c>
      <c r="C3105" s="10" t="s">
        <v>6086</v>
      </c>
      <c r="D3105" s="7">
        <v>119.03</v>
      </c>
      <c r="E3105" s="5">
        <v>98</v>
      </c>
      <c r="F3105" s="5">
        <v>30</v>
      </c>
      <c r="G3105" s="12">
        <f>SUM($D$7:D3105)</f>
        <v>10622654.991000032</v>
      </c>
      <c r="H3105" s="11">
        <f t="shared" si="48"/>
        <v>0.99587223632437993</v>
      </c>
    </row>
    <row r="3106" spans="1:8" ht="15" customHeight="1" x14ac:dyDescent="0.25">
      <c r="A3106" s="5">
        <v>3100</v>
      </c>
      <c r="B3106" s="10" t="s">
        <v>6087</v>
      </c>
      <c r="C3106" s="10" t="s">
        <v>6088</v>
      </c>
      <c r="D3106" s="7">
        <v>119</v>
      </c>
      <c r="E3106" s="5">
        <v>20</v>
      </c>
      <c r="F3106" s="5">
        <v>11</v>
      </c>
      <c r="G3106" s="12">
        <f>SUM($D$7:D3106)</f>
        <v>10622773.991000032</v>
      </c>
      <c r="H3106" s="11">
        <f t="shared" si="48"/>
        <v>0.99588339255568203</v>
      </c>
    </row>
    <row r="3107" spans="1:8" ht="15" customHeight="1" x14ac:dyDescent="0.25">
      <c r="A3107" s="5">
        <v>3101</v>
      </c>
      <c r="B3107" s="10" t="s">
        <v>2416</v>
      </c>
      <c r="C3107" s="10" t="s">
        <v>6089</v>
      </c>
      <c r="D3107" s="7">
        <v>118.95</v>
      </c>
      <c r="E3107" s="5">
        <v>61</v>
      </c>
      <c r="F3107" s="5">
        <v>6</v>
      </c>
      <c r="G3107" s="12">
        <f>SUM($D$7:D3107)</f>
        <v>10622892.941000031</v>
      </c>
      <c r="H3107" s="11">
        <f t="shared" si="48"/>
        <v>0.99589454409949196</v>
      </c>
    </row>
    <row r="3108" spans="1:8" ht="15" customHeight="1" x14ac:dyDescent="0.25">
      <c r="A3108" s="5">
        <v>3102</v>
      </c>
      <c r="B3108" s="10" t="s">
        <v>2676</v>
      </c>
      <c r="C3108" s="10" t="s">
        <v>6090</v>
      </c>
      <c r="D3108" s="7">
        <v>118.92</v>
      </c>
      <c r="E3108" s="5">
        <v>156</v>
      </c>
      <c r="F3108" s="5">
        <v>5</v>
      </c>
      <c r="G3108" s="12">
        <f>SUM($D$7:D3108)</f>
        <v>10623011.861000031</v>
      </c>
      <c r="H3108" s="11">
        <f t="shared" si="48"/>
        <v>0.99590569283080677</v>
      </c>
    </row>
    <row r="3109" spans="1:8" ht="15" customHeight="1" x14ac:dyDescent="0.25">
      <c r="A3109" s="5">
        <v>3103</v>
      </c>
      <c r="B3109" s="10" t="s">
        <v>6091</v>
      </c>
      <c r="C3109" s="10" t="s">
        <v>3511</v>
      </c>
      <c r="D3109" s="7">
        <v>118.86</v>
      </c>
      <c r="E3109" s="5">
        <v>36</v>
      </c>
      <c r="F3109" s="5">
        <v>14</v>
      </c>
      <c r="G3109" s="12">
        <f>SUM($D$7:D3109)</f>
        <v>10623130.721000031</v>
      </c>
      <c r="H3109" s="11">
        <f t="shared" si="48"/>
        <v>0.99591683593713087</v>
      </c>
    </row>
    <row r="3110" spans="1:8" ht="15" customHeight="1" x14ac:dyDescent="0.25">
      <c r="A3110" s="5">
        <v>3104</v>
      </c>
      <c r="B3110" s="10" t="s">
        <v>6092</v>
      </c>
      <c r="C3110" s="10" t="s">
        <v>6093</v>
      </c>
      <c r="D3110" s="7">
        <v>118.73</v>
      </c>
      <c r="E3110" s="5">
        <v>39</v>
      </c>
      <c r="F3110" s="5">
        <v>22</v>
      </c>
      <c r="G3110" s="12">
        <f>SUM($D$7:D3110)</f>
        <v>10623249.451000031</v>
      </c>
      <c r="H3110" s="11">
        <f t="shared" si="48"/>
        <v>0.9959279668559754</v>
      </c>
    </row>
    <row r="3111" spans="1:8" ht="15" customHeight="1" x14ac:dyDescent="0.25">
      <c r="A3111" s="5">
        <v>3105</v>
      </c>
      <c r="B3111" s="10" t="s">
        <v>6094</v>
      </c>
      <c r="C3111" s="10" t="s">
        <v>6095</v>
      </c>
      <c r="D3111" s="7">
        <v>118.73</v>
      </c>
      <c r="E3111" s="5">
        <v>125</v>
      </c>
      <c r="F3111" s="5">
        <v>14</v>
      </c>
      <c r="G3111" s="12">
        <f>SUM($D$7:D3111)</f>
        <v>10623368.181000032</v>
      </c>
      <c r="H3111" s="11">
        <f t="shared" si="48"/>
        <v>0.99593909777482004</v>
      </c>
    </row>
    <row r="3112" spans="1:8" ht="15" customHeight="1" x14ac:dyDescent="0.25">
      <c r="A3112" s="5">
        <v>3106</v>
      </c>
      <c r="B3112" s="10" t="s">
        <v>6096</v>
      </c>
      <c r="C3112" s="10" t="s">
        <v>6097</v>
      </c>
      <c r="D3112" s="7">
        <v>118.21</v>
      </c>
      <c r="E3112" s="5">
        <v>283</v>
      </c>
      <c r="F3112" s="5">
        <v>24</v>
      </c>
      <c r="G3112" s="12">
        <f>SUM($D$7:D3112)</f>
        <v>10623486.391000032</v>
      </c>
      <c r="H3112" s="11">
        <f t="shared" si="48"/>
        <v>0.99595017994374646</v>
      </c>
    </row>
    <row r="3113" spans="1:8" ht="15" customHeight="1" x14ac:dyDescent="0.25">
      <c r="A3113" s="5">
        <v>3107</v>
      </c>
      <c r="B3113" s="10" t="s">
        <v>6098</v>
      </c>
      <c r="C3113" s="10" t="s">
        <v>6099</v>
      </c>
      <c r="D3113" s="7">
        <v>117.73</v>
      </c>
      <c r="E3113" s="5">
        <v>13</v>
      </c>
      <c r="F3113" s="5">
        <v>9</v>
      </c>
      <c r="G3113" s="12">
        <f>SUM($D$7:D3113)</f>
        <v>10623604.121000033</v>
      </c>
      <c r="H3113" s="11">
        <f t="shared" si="48"/>
        <v>0.99596121711274821</v>
      </c>
    </row>
    <row r="3114" spans="1:8" ht="15" customHeight="1" x14ac:dyDescent="0.25">
      <c r="A3114" s="5">
        <v>3108</v>
      </c>
      <c r="B3114" s="10" t="s">
        <v>6100</v>
      </c>
      <c r="C3114" s="10" t="s">
        <v>6101</v>
      </c>
      <c r="D3114" s="7">
        <v>117.57</v>
      </c>
      <c r="E3114" s="5">
        <v>78</v>
      </c>
      <c r="F3114" s="5">
        <v>15</v>
      </c>
      <c r="G3114" s="12">
        <f>SUM($D$7:D3114)</f>
        <v>10623721.691000033</v>
      </c>
      <c r="H3114" s="11">
        <f t="shared" si="48"/>
        <v>0.99597223928177503</v>
      </c>
    </row>
    <row r="3115" spans="1:8" ht="15" customHeight="1" x14ac:dyDescent="0.25">
      <c r="A3115" s="5">
        <v>3109</v>
      </c>
      <c r="B3115" s="10" t="s">
        <v>6102</v>
      </c>
      <c r="C3115" s="10" t="s">
        <v>6103</v>
      </c>
      <c r="D3115" s="7">
        <v>117.24</v>
      </c>
      <c r="E3115" s="5">
        <v>40</v>
      </c>
      <c r="F3115" s="5">
        <v>23</v>
      </c>
      <c r="G3115" s="12">
        <f>SUM($D$7:D3115)</f>
        <v>10623838.931000033</v>
      </c>
      <c r="H3115" s="11">
        <f t="shared" si="48"/>
        <v>0.9959832305133538</v>
      </c>
    </row>
    <row r="3116" spans="1:8" ht="15" customHeight="1" x14ac:dyDescent="0.25">
      <c r="A3116" s="5">
        <v>3110</v>
      </c>
      <c r="B3116" s="10" t="s">
        <v>6104</v>
      </c>
      <c r="C3116" s="10" t="s">
        <v>6105</v>
      </c>
      <c r="D3116" s="7">
        <v>117</v>
      </c>
      <c r="E3116" s="5">
        <v>60</v>
      </c>
      <c r="F3116" s="5">
        <v>14</v>
      </c>
      <c r="G3116" s="12">
        <f>SUM($D$7:D3116)</f>
        <v>10623955.931000033</v>
      </c>
      <c r="H3116" s="11">
        <f t="shared" si="48"/>
        <v>0.99599419924497012</v>
      </c>
    </row>
    <row r="3117" spans="1:8" ht="15" customHeight="1" x14ac:dyDescent="0.25">
      <c r="A3117" s="5">
        <v>3111</v>
      </c>
      <c r="B3117" s="10" t="s">
        <v>2576</v>
      </c>
      <c r="C3117" s="10" t="s">
        <v>2304</v>
      </c>
      <c r="D3117" s="7">
        <v>117</v>
      </c>
      <c r="E3117" s="5">
        <v>60</v>
      </c>
      <c r="F3117" s="5">
        <v>7</v>
      </c>
      <c r="G3117" s="12">
        <f>SUM($D$7:D3117)</f>
        <v>10624072.931000033</v>
      </c>
      <c r="H3117" s="11">
        <f t="shared" si="48"/>
        <v>0.99600516797658656</v>
      </c>
    </row>
    <row r="3118" spans="1:8" ht="15" customHeight="1" x14ac:dyDescent="0.25">
      <c r="A3118" s="5">
        <v>3112</v>
      </c>
      <c r="B3118" s="10" t="s">
        <v>6106</v>
      </c>
      <c r="C3118" s="10" t="s">
        <v>6107</v>
      </c>
      <c r="D3118" s="7">
        <v>116.82</v>
      </c>
      <c r="E3118" s="5">
        <v>62</v>
      </c>
      <c r="F3118" s="5">
        <v>21</v>
      </c>
      <c r="G3118" s="12">
        <f>SUM($D$7:D3118)</f>
        <v>10624189.751000034</v>
      </c>
      <c r="H3118" s="11">
        <f t="shared" si="48"/>
        <v>0.99601611983323135</v>
      </c>
    </row>
    <row r="3119" spans="1:8" ht="15" customHeight="1" x14ac:dyDescent="0.25">
      <c r="A3119" s="5">
        <v>3113</v>
      </c>
      <c r="B3119" s="10" t="s">
        <v>6108</v>
      </c>
      <c r="C3119" s="10" t="s">
        <v>6109</v>
      </c>
      <c r="D3119" s="7">
        <v>116.59</v>
      </c>
      <c r="E3119" s="5">
        <v>323</v>
      </c>
      <c r="F3119" s="5">
        <v>30</v>
      </c>
      <c r="G3119" s="12">
        <f>SUM($D$7:D3119)</f>
        <v>10624306.341000034</v>
      </c>
      <c r="H3119" s="11">
        <f t="shared" si="48"/>
        <v>0.99602705012741211</v>
      </c>
    </row>
    <row r="3120" spans="1:8" ht="15" customHeight="1" x14ac:dyDescent="0.25">
      <c r="A3120" s="5">
        <v>3114</v>
      </c>
      <c r="B3120" s="10" t="s">
        <v>6110</v>
      </c>
      <c r="C3120" s="10" t="s">
        <v>6111</v>
      </c>
      <c r="D3120" s="7">
        <v>116.45</v>
      </c>
      <c r="E3120" s="5">
        <v>137</v>
      </c>
      <c r="F3120" s="5">
        <v>20</v>
      </c>
      <c r="G3120" s="12">
        <f>SUM($D$7:D3120)</f>
        <v>10624422.791000033</v>
      </c>
      <c r="H3120" s="11">
        <f t="shared" si="48"/>
        <v>0.99603796729661487</v>
      </c>
    </row>
    <row r="3121" spans="1:8" ht="15" customHeight="1" x14ac:dyDescent="0.25">
      <c r="A3121" s="5">
        <v>3115</v>
      </c>
      <c r="B3121" s="10" t="s">
        <v>6112</v>
      </c>
      <c r="C3121" s="10" t="s">
        <v>6113</v>
      </c>
      <c r="D3121" s="7">
        <v>116.33</v>
      </c>
      <c r="E3121" s="5">
        <v>325</v>
      </c>
      <c r="F3121" s="5">
        <v>18</v>
      </c>
      <c r="G3121" s="12">
        <f>SUM($D$7:D3121)</f>
        <v>10624539.121000033</v>
      </c>
      <c r="H3121" s="11">
        <f t="shared" si="48"/>
        <v>0.99604887321583657</v>
      </c>
    </row>
    <row r="3122" spans="1:8" ht="15" customHeight="1" x14ac:dyDescent="0.25">
      <c r="A3122" s="5">
        <v>3116</v>
      </c>
      <c r="B3122" s="10" t="s">
        <v>6114</v>
      </c>
      <c r="C3122" s="10" t="s">
        <v>6115</v>
      </c>
      <c r="D3122" s="7">
        <v>116.06</v>
      </c>
      <c r="E3122" s="5">
        <v>34</v>
      </c>
      <c r="F3122" s="5">
        <v>11</v>
      </c>
      <c r="G3122" s="12">
        <f>SUM($D$7:D3122)</f>
        <v>10624655.181000033</v>
      </c>
      <c r="H3122" s="11">
        <f t="shared" si="48"/>
        <v>0.9960597538226007</v>
      </c>
    </row>
    <row r="3123" spans="1:8" ht="15" customHeight="1" x14ac:dyDescent="0.25">
      <c r="A3123" s="5">
        <v>3117</v>
      </c>
      <c r="B3123" s="10" t="s">
        <v>6116</v>
      </c>
      <c r="C3123" s="10" t="s">
        <v>6117</v>
      </c>
      <c r="D3123" s="7">
        <v>115.5</v>
      </c>
      <c r="E3123" s="5">
        <v>55</v>
      </c>
      <c r="F3123" s="5">
        <v>8</v>
      </c>
      <c r="G3123" s="12">
        <f>SUM($D$7:D3123)</f>
        <v>10624770.681000033</v>
      </c>
      <c r="H3123" s="11">
        <f t="shared" si="48"/>
        <v>0.99607058192945275</v>
      </c>
    </row>
    <row r="3124" spans="1:8" ht="15" customHeight="1" x14ac:dyDescent="0.25">
      <c r="A3124" s="5">
        <v>3118</v>
      </c>
      <c r="B3124" s="10" t="s">
        <v>6118</v>
      </c>
      <c r="C3124" s="10" t="s">
        <v>6119</v>
      </c>
      <c r="D3124" s="7">
        <v>115.3</v>
      </c>
      <c r="E3124" s="5">
        <v>479</v>
      </c>
      <c r="F3124" s="5">
        <v>13</v>
      </c>
      <c r="G3124" s="12">
        <f>SUM($D$7:D3124)</f>
        <v>10624885.981000034</v>
      </c>
      <c r="H3124" s="11">
        <f t="shared" si="48"/>
        <v>0.99608139128633644</v>
      </c>
    </row>
    <row r="3125" spans="1:8" ht="15" customHeight="1" x14ac:dyDescent="0.25">
      <c r="A3125" s="5">
        <v>3119</v>
      </c>
      <c r="B3125" s="10" t="s">
        <v>6120</v>
      </c>
      <c r="C3125" s="10" t="s">
        <v>6121</v>
      </c>
      <c r="D3125" s="7">
        <v>114.48</v>
      </c>
      <c r="E3125" s="5">
        <v>9</v>
      </c>
      <c r="F3125" s="5">
        <v>6</v>
      </c>
      <c r="G3125" s="12">
        <f>SUM($D$7:D3125)</f>
        <v>10625000.461000035</v>
      </c>
      <c r="H3125" s="11">
        <f t="shared" si="48"/>
        <v>0.99609212376834877</v>
      </c>
    </row>
    <row r="3126" spans="1:8" ht="15" customHeight="1" x14ac:dyDescent="0.25">
      <c r="A3126" s="5">
        <v>3120</v>
      </c>
      <c r="B3126" s="10" t="s">
        <v>918</v>
      </c>
      <c r="C3126" s="10" t="s">
        <v>6122</v>
      </c>
      <c r="D3126" s="7">
        <v>114.15</v>
      </c>
      <c r="E3126" s="5">
        <v>21</v>
      </c>
      <c r="F3126" s="5">
        <v>3</v>
      </c>
      <c r="G3126" s="12">
        <f>SUM($D$7:D3126)</f>
        <v>10625114.611000035</v>
      </c>
      <c r="H3126" s="11">
        <f t="shared" si="48"/>
        <v>0.99610282531291305</v>
      </c>
    </row>
    <row r="3127" spans="1:8" ht="15" customHeight="1" x14ac:dyDescent="0.25">
      <c r="A3127" s="5">
        <v>3121</v>
      </c>
      <c r="B3127" s="10" t="s">
        <v>6123</v>
      </c>
      <c r="C3127" s="10" t="s">
        <v>6124</v>
      </c>
      <c r="D3127" s="7">
        <v>113.97</v>
      </c>
      <c r="E3127" s="5">
        <v>39</v>
      </c>
      <c r="F3127" s="5">
        <v>31</v>
      </c>
      <c r="G3127" s="12">
        <f>SUM($D$7:D3127)</f>
        <v>10625228.581000036</v>
      </c>
      <c r="H3127" s="11">
        <f t="shared" si="48"/>
        <v>0.99611350998250558</v>
      </c>
    </row>
    <row r="3128" spans="1:8" ht="15" customHeight="1" x14ac:dyDescent="0.25">
      <c r="A3128" s="5">
        <v>3122</v>
      </c>
      <c r="B3128" s="10" t="s">
        <v>6125</v>
      </c>
      <c r="C3128" s="10" t="s">
        <v>6126</v>
      </c>
      <c r="D3128" s="7">
        <v>113.64</v>
      </c>
      <c r="E3128" s="5">
        <v>827</v>
      </c>
      <c r="F3128" s="5">
        <v>28</v>
      </c>
      <c r="G3128" s="12">
        <f>SUM($D$7:D3128)</f>
        <v>10625342.221000036</v>
      </c>
      <c r="H3128" s="11">
        <f t="shared" si="48"/>
        <v>0.99612416371464996</v>
      </c>
    </row>
    <row r="3129" spans="1:8" ht="15" customHeight="1" x14ac:dyDescent="0.25">
      <c r="A3129" s="5">
        <v>3123</v>
      </c>
      <c r="B3129" s="10" t="s">
        <v>6127</v>
      </c>
      <c r="C3129" s="10" t="s">
        <v>6128</v>
      </c>
      <c r="D3129" s="7">
        <v>113.41</v>
      </c>
      <c r="E3129" s="5">
        <v>127</v>
      </c>
      <c r="F3129" s="5">
        <v>26</v>
      </c>
      <c r="G3129" s="12">
        <f>SUM($D$7:D3129)</f>
        <v>10625455.631000036</v>
      </c>
      <c r="H3129" s="11">
        <f t="shared" si="48"/>
        <v>0.99613479588433052</v>
      </c>
    </row>
    <row r="3130" spans="1:8" ht="15" customHeight="1" x14ac:dyDescent="0.25">
      <c r="A3130" s="5">
        <v>3124</v>
      </c>
      <c r="B3130" s="10" t="s">
        <v>6129</v>
      </c>
      <c r="C3130" s="10" t="s">
        <v>5651</v>
      </c>
      <c r="D3130" s="7">
        <v>113.21</v>
      </c>
      <c r="E3130" s="5">
        <v>75</v>
      </c>
      <c r="F3130" s="5">
        <v>18</v>
      </c>
      <c r="G3130" s="12">
        <f>SUM($D$7:D3130)</f>
        <v>10625568.841000037</v>
      </c>
      <c r="H3130" s="11">
        <f t="shared" si="48"/>
        <v>0.9961454093040425</v>
      </c>
    </row>
    <row r="3131" spans="1:8" ht="15" customHeight="1" x14ac:dyDescent="0.25">
      <c r="A3131" s="5">
        <v>3125</v>
      </c>
      <c r="B3131" s="10" t="s">
        <v>6130</v>
      </c>
      <c r="C3131" s="10" t="s">
        <v>6131</v>
      </c>
      <c r="D3131" s="7">
        <v>113.05</v>
      </c>
      <c r="E3131" s="5">
        <v>49</v>
      </c>
      <c r="F3131" s="5">
        <v>11</v>
      </c>
      <c r="G3131" s="12">
        <f>SUM($D$7:D3131)</f>
        <v>10625681.891000038</v>
      </c>
      <c r="H3131" s="11">
        <f t="shared" si="48"/>
        <v>0.99615600772377955</v>
      </c>
    </row>
    <row r="3132" spans="1:8" ht="15" customHeight="1" x14ac:dyDescent="0.25">
      <c r="A3132" s="5">
        <v>3126</v>
      </c>
      <c r="B3132" s="10" t="s">
        <v>6132</v>
      </c>
      <c r="C3132" s="10" t="s">
        <v>6133</v>
      </c>
      <c r="D3132" s="7">
        <v>112.81</v>
      </c>
      <c r="E3132" s="5">
        <v>101</v>
      </c>
      <c r="F3132" s="5">
        <v>37</v>
      </c>
      <c r="G3132" s="12">
        <f>SUM($D$7:D3132)</f>
        <v>10625794.701000039</v>
      </c>
      <c r="H3132" s="11">
        <f t="shared" si="48"/>
        <v>0.99616658364355437</v>
      </c>
    </row>
    <row r="3133" spans="1:8" ht="15" customHeight="1" x14ac:dyDescent="0.25">
      <c r="A3133" s="5">
        <v>3127</v>
      </c>
      <c r="B3133" s="10" t="s">
        <v>6134</v>
      </c>
      <c r="C3133" s="10" t="s">
        <v>6135</v>
      </c>
      <c r="D3133" s="7">
        <v>112.48</v>
      </c>
      <c r="E3133" s="5">
        <v>80</v>
      </c>
      <c r="F3133" s="5">
        <v>14</v>
      </c>
      <c r="G3133" s="12">
        <f>SUM($D$7:D3133)</f>
        <v>10625907.181000039</v>
      </c>
      <c r="H3133" s="11">
        <f t="shared" si="48"/>
        <v>0.99617712862588104</v>
      </c>
    </row>
    <row r="3134" spans="1:8" ht="15" customHeight="1" x14ac:dyDescent="0.25">
      <c r="A3134" s="5">
        <v>3128</v>
      </c>
      <c r="B3134" s="10" t="s">
        <v>6136</v>
      </c>
      <c r="C3134" s="10" t="s">
        <v>6137</v>
      </c>
      <c r="D3134" s="7">
        <v>112.26</v>
      </c>
      <c r="E3134" s="5">
        <v>30</v>
      </c>
      <c r="F3134" s="5">
        <v>16</v>
      </c>
      <c r="G3134" s="12">
        <f>SUM($D$7:D3134)</f>
        <v>10626019.441000039</v>
      </c>
      <c r="H3134" s="11">
        <f t="shared" si="48"/>
        <v>0.99618765298324219</v>
      </c>
    </row>
    <row r="3135" spans="1:8" ht="15" customHeight="1" x14ac:dyDescent="0.25">
      <c r="A3135" s="5">
        <v>3129</v>
      </c>
      <c r="B3135" s="10" t="s">
        <v>6138</v>
      </c>
      <c r="C3135" s="10" t="s">
        <v>6139</v>
      </c>
      <c r="D3135" s="7">
        <v>112.21</v>
      </c>
      <c r="E3135" s="5">
        <v>45</v>
      </c>
      <c r="F3135" s="5">
        <v>26</v>
      </c>
      <c r="G3135" s="12">
        <f>SUM($D$7:D3135)</f>
        <v>10626131.65100004</v>
      </c>
      <c r="H3135" s="11">
        <f t="shared" si="48"/>
        <v>0.99619817265311128</v>
      </c>
    </row>
    <row r="3136" spans="1:8" ht="15" customHeight="1" x14ac:dyDescent="0.25">
      <c r="A3136" s="5">
        <v>3130</v>
      </c>
      <c r="B3136" s="10" t="s">
        <v>6140</v>
      </c>
      <c r="C3136" s="10" t="s">
        <v>6141</v>
      </c>
      <c r="D3136" s="7">
        <v>111.86</v>
      </c>
      <c r="E3136" s="5">
        <v>125</v>
      </c>
      <c r="F3136" s="5">
        <v>32</v>
      </c>
      <c r="G3136" s="12">
        <f>SUM($D$7:D3136)</f>
        <v>10626243.511000039</v>
      </c>
      <c r="H3136" s="11">
        <f t="shared" si="48"/>
        <v>0.99620865951053528</v>
      </c>
    </row>
    <row r="3137" spans="1:8" ht="15" customHeight="1" x14ac:dyDescent="0.25">
      <c r="A3137" s="5">
        <v>3131</v>
      </c>
      <c r="B3137" s="10" t="s">
        <v>6142</v>
      </c>
      <c r="C3137" s="10" t="s">
        <v>6143</v>
      </c>
      <c r="D3137" s="7">
        <v>111.66</v>
      </c>
      <c r="E3137" s="5">
        <v>130</v>
      </c>
      <c r="F3137" s="5">
        <v>56</v>
      </c>
      <c r="G3137" s="12">
        <f>SUM($D$7:D3137)</f>
        <v>10626355.171000039</v>
      </c>
      <c r="H3137" s="11">
        <f t="shared" si="48"/>
        <v>0.99621912761799081</v>
      </c>
    </row>
    <row r="3138" spans="1:8" ht="15" customHeight="1" x14ac:dyDescent="0.25">
      <c r="A3138" s="5">
        <v>3132</v>
      </c>
      <c r="B3138" s="10" t="s">
        <v>6144</v>
      </c>
      <c r="C3138" s="10" t="s">
        <v>6145</v>
      </c>
      <c r="D3138" s="7">
        <v>110.95</v>
      </c>
      <c r="E3138" s="5">
        <v>14</v>
      </c>
      <c r="F3138" s="5">
        <v>11</v>
      </c>
      <c r="G3138" s="12">
        <f>SUM($D$7:D3138)</f>
        <v>10626466.121000038</v>
      </c>
      <c r="H3138" s="11">
        <f t="shared" si="48"/>
        <v>0.99622952916305774</v>
      </c>
    </row>
    <row r="3139" spans="1:8" ht="15" customHeight="1" x14ac:dyDescent="0.25">
      <c r="A3139" s="5">
        <v>3133</v>
      </c>
      <c r="B3139" s="10" t="s">
        <v>6146</v>
      </c>
      <c r="C3139" s="10" t="s">
        <v>6147</v>
      </c>
      <c r="D3139" s="7">
        <v>110.09</v>
      </c>
      <c r="E3139" s="5">
        <v>26</v>
      </c>
      <c r="F3139" s="5">
        <v>10</v>
      </c>
      <c r="G3139" s="12">
        <f>SUM($D$7:D3139)</f>
        <v>10626576.211000038</v>
      </c>
      <c r="H3139" s="11">
        <f t="shared" si="48"/>
        <v>0.99623985008325988</v>
      </c>
    </row>
    <row r="3140" spans="1:8" ht="15" customHeight="1" x14ac:dyDescent="0.25">
      <c r="A3140" s="5">
        <v>3134</v>
      </c>
      <c r="B3140" s="10" t="s">
        <v>6148</v>
      </c>
      <c r="C3140" s="10" t="s">
        <v>6149</v>
      </c>
      <c r="D3140" s="7">
        <v>110.03</v>
      </c>
      <c r="E3140" s="5">
        <v>95</v>
      </c>
      <c r="F3140" s="5">
        <v>19</v>
      </c>
      <c r="G3140" s="12">
        <f>SUM($D$7:D3140)</f>
        <v>10626686.241000038</v>
      </c>
      <c r="H3140" s="11">
        <f t="shared" si="48"/>
        <v>0.99625016537847133</v>
      </c>
    </row>
    <row r="3141" spans="1:8" ht="15" customHeight="1" x14ac:dyDescent="0.25">
      <c r="A3141" s="5">
        <v>3135</v>
      </c>
      <c r="B3141" s="10" t="s">
        <v>6150</v>
      </c>
      <c r="C3141" s="10" t="s">
        <v>6151</v>
      </c>
      <c r="D3141" s="7">
        <v>109.96</v>
      </c>
      <c r="E3141" s="5">
        <v>92</v>
      </c>
      <c r="F3141" s="5">
        <v>16</v>
      </c>
      <c r="G3141" s="12">
        <f>SUM($D$7:D3141)</f>
        <v>10626796.201000039</v>
      </c>
      <c r="H3141" s="11">
        <f t="shared" si="48"/>
        <v>0.99626047411119401</v>
      </c>
    </row>
    <row r="3142" spans="1:8" ht="15" customHeight="1" x14ac:dyDescent="0.25">
      <c r="A3142" s="5">
        <v>3136</v>
      </c>
      <c r="B3142" s="10" t="s">
        <v>6152</v>
      </c>
      <c r="C3142" s="10" t="s">
        <v>6153</v>
      </c>
      <c r="D3142" s="7">
        <v>109.94</v>
      </c>
      <c r="E3142" s="5">
        <v>50</v>
      </c>
      <c r="F3142" s="5">
        <v>8</v>
      </c>
      <c r="G3142" s="12">
        <f>SUM($D$7:D3142)</f>
        <v>10626906.141000038</v>
      </c>
      <c r="H3142" s="11">
        <f t="shared" si="48"/>
        <v>0.99627078096891963</v>
      </c>
    </row>
    <row r="3143" spans="1:8" ht="15" customHeight="1" x14ac:dyDescent="0.25">
      <c r="A3143" s="5">
        <v>3137</v>
      </c>
      <c r="B3143" s="10" t="s">
        <v>6154</v>
      </c>
      <c r="C3143" s="10" t="s">
        <v>6155</v>
      </c>
      <c r="D3143" s="7">
        <v>109.65</v>
      </c>
      <c r="E3143" s="5">
        <v>43</v>
      </c>
      <c r="F3143" s="5">
        <v>7</v>
      </c>
      <c r="G3143" s="12">
        <f>SUM($D$7:D3143)</f>
        <v>10627015.791000038</v>
      </c>
      <c r="H3143" s="11">
        <f t="shared" ref="H3143:H3206" si="49">G3143/SUM($D$7:$D$4167)</f>
        <v>0.99628106063919097</v>
      </c>
    </row>
    <row r="3144" spans="1:8" ht="15" customHeight="1" x14ac:dyDescent="0.25">
      <c r="A3144" s="5">
        <v>3138</v>
      </c>
      <c r="B3144" s="10" t="s">
        <v>6156</v>
      </c>
      <c r="C3144" s="10" t="s">
        <v>6157</v>
      </c>
      <c r="D3144" s="7">
        <v>109.54</v>
      </c>
      <c r="E3144" s="5">
        <v>11</v>
      </c>
      <c r="F3144" s="5">
        <v>8</v>
      </c>
      <c r="G3144" s="12">
        <f>SUM($D$7:D3144)</f>
        <v>10627125.331000037</v>
      </c>
      <c r="H3144" s="11">
        <f t="shared" si="49"/>
        <v>0.99629132999697945</v>
      </c>
    </row>
    <row r="3145" spans="1:8" ht="15" customHeight="1" x14ac:dyDescent="0.25">
      <c r="A3145" s="5">
        <v>3139</v>
      </c>
      <c r="B3145" s="10" t="s">
        <v>6158</v>
      </c>
      <c r="C3145" s="10" t="s">
        <v>6159</v>
      </c>
      <c r="D3145" s="7">
        <v>109.48</v>
      </c>
      <c r="E3145" s="5">
        <v>22</v>
      </c>
      <c r="F3145" s="5">
        <v>14</v>
      </c>
      <c r="G3145" s="12">
        <f>SUM($D$7:D3145)</f>
        <v>10627234.811000038</v>
      </c>
      <c r="H3145" s="11">
        <f t="shared" si="49"/>
        <v>0.99630159372977745</v>
      </c>
    </row>
    <row r="3146" spans="1:8" ht="15" customHeight="1" x14ac:dyDescent="0.25">
      <c r="A3146" s="5">
        <v>3140</v>
      </c>
      <c r="B3146" s="10" t="s">
        <v>6160</v>
      </c>
      <c r="C3146" s="10" t="s">
        <v>6161</v>
      </c>
      <c r="D3146" s="7">
        <v>109.23</v>
      </c>
      <c r="E3146" s="5">
        <v>25</v>
      </c>
      <c r="F3146" s="5">
        <v>16</v>
      </c>
      <c r="G3146" s="12">
        <f>SUM($D$7:D3146)</f>
        <v>10627344.041000038</v>
      </c>
      <c r="H3146" s="11">
        <f t="shared" si="49"/>
        <v>0.9963118340251147</v>
      </c>
    </row>
    <row r="3147" spans="1:8" ht="15" customHeight="1" x14ac:dyDescent="0.25">
      <c r="A3147" s="5">
        <v>3141</v>
      </c>
      <c r="B3147" s="10" t="s">
        <v>6162</v>
      </c>
      <c r="C3147" s="10" t="s">
        <v>6163</v>
      </c>
      <c r="D3147" s="7">
        <v>108.71</v>
      </c>
      <c r="E3147" s="5">
        <v>33</v>
      </c>
      <c r="F3147" s="5">
        <v>15</v>
      </c>
      <c r="G3147" s="12">
        <f>SUM($D$7:D3147)</f>
        <v>10627452.751000039</v>
      </c>
      <c r="H3147" s="11">
        <f t="shared" si="49"/>
        <v>0.99632202557053384</v>
      </c>
    </row>
    <row r="3148" spans="1:8" ht="15" customHeight="1" x14ac:dyDescent="0.25">
      <c r="A3148" s="5">
        <v>3142</v>
      </c>
      <c r="B3148" s="10" t="s">
        <v>3213</v>
      </c>
      <c r="C3148" s="10" t="s">
        <v>6164</v>
      </c>
      <c r="D3148" s="7">
        <v>107.9</v>
      </c>
      <c r="E3148" s="5">
        <v>26</v>
      </c>
      <c r="F3148" s="5">
        <v>6</v>
      </c>
      <c r="G3148" s="12">
        <f>SUM($D$7:D3148)</f>
        <v>10627560.65100004</v>
      </c>
      <c r="H3148" s="11">
        <f t="shared" si="49"/>
        <v>0.99633214117858004</v>
      </c>
    </row>
    <row r="3149" spans="1:8" ht="15" customHeight="1" x14ac:dyDescent="0.25">
      <c r="A3149" s="5">
        <v>3143</v>
      </c>
      <c r="B3149" s="10" t="s">
        <v>6165</v>
      </c>
      <c r="C3149" s="10" t="s">
        <v>6166</v>
      </c>
      <c r="D3149" s="7">
        <v>107.75</v>
      </c>
      <c r="E3149" s="5">
        <v>75</v>
      </c>
      <c r="F3149" s="5">
        <v>33</v>
      </c>
      <c r="G3149" s="12">
        <f>SUM($D$7:D3149)</f>
        <v>10627668.40100004</v>
      </c>
      <c r="H3149" s="11">
        <f t="shared" si="49"/>
        <v>0.99634224272414984</v>
      </c>
    </row>
    <row r="3150" spans="1:8" ht="15" customHeight="1" x14ac:dyDescent="0.25">
      <c r="A3150" s="5">
        <v>3144</v>
      </c>
      <c r="B3150" s="10" t="s">
        <v>6167</v>
      </c>
      <c r="C3150" s="10" t="s">
        <v>6168</v>
      </c>
      <c r="D3150" s="7">
        <v>107.72</v>
      </c>
      <c r="E3150" s="5">
        <v>106</v>
      </c>
      <c r="F3150" s="5">
        <v>20</v>
      </c>
      <c r="G3150" s="12">
        <f>SUM($D$7:D3150)</f>
        <v>10627776.12100004</v>
      </c>
      <c r="H3150" s="11">
        <f t="shared" si="49"/>
        <v>0.99635234145722451</v>
      </c>
    </row>
    <row r="3151" spans="1:8" ht="15" customHeight="1" x14ac:dyDescent="0.25">
      <c r="A3151" s="5">
        <v>3145</v>
      </c>
      <c r="B3151" s="10" t="s">
        <v>6169</v>
      </c>
      <c r="C3151" s="10" t="s">
        <v>6170</v>
      </c>
      <c r="D3151" s="7">
        <v>107.45</v>
      </c>
      <c r="E3151" s="5">
        <v>109</v>
      </c>
      <c r="F3151" s="5">
        <v>10</v>
      </c>
      <c r="G3151" s="12">
        <f>SUM($D$7:D3151)</f>
        <v>10627883.57100004</v>
      </c>
      <c r="H3151" s="11">
        <f t="shared" si="49"/>
        <v>0.99636241487784138</v>
      </c>
    </row>
    <row r="3152" spans="1:8" ht="15" customHeight="1" x14ac:dyDescent="0.25">
      <c r="A3152" s="5">
        <v>3146</v>
      </c>
      <c r="B3152" s="10" t="s">
        <v>6171</v>
      </c>
      <c r="C3152" s="10" t="s">
        <v>6172</v>
      </c>
      <c r="D3152" s="7">
        <v>107.31</v>
      </c>
      <c r="E3152" s="5">
        <v>80</v>
      </c>
      <c r="F3152" s="5">
        <v>15</v>
      </c>
      <c r="G3152" s="12">
        <f>SUM($D$7:D3152)</f>
        <v>10627990.88100004</v>
      </c>
      <c r="H3152" s="11">
        <f t="shared" si="49"/>
        <v>0.99637247517348038</v>
      </c>
    </row>
    <row r="3153" spans="1:8" ht="15" customHeight="1" x14ac:dyDescent="0.25">
      <c r="A3153" s="5">
        <v>3147</v>
      </c>
      <c r="B3153" s="10" t="s">
        <v>6173</v>
      </c>
      <c r="C3153" s="10" t="s">
        <v>6174</v>
      </c>
      <c r="D3153" s="7">
        <v>107.1</v>
      </c>
      <c r="E3153" s="5">
        <v>51</v>
      </c>
      <c r="F3153" s="5">
        <v>23</v>
      </c>
      <c r="G3153" s="12">
        <f>SUM($D$7:D3153)</f>
        <v>10628097.98100004</v>
      </c>
      <c r="H3153" s="11">
        <f t="shared" si="49"/>
        <v>0.99638251578165227</v>
      </c>
    </row>
    <row r="3154" spans="1:8" ht="15" customHeight="1" x14ac:dyDescent="0.25">
      <c r="A3154" s="5">
        <v>3148</v>
      </c>
      <c r="B3154" s="10" t="s">
        <v>6175</v>
      </c>
      <c r="C3154" s="10" t="s">
        <v>6176</v>
      </c>
      <c r="D3154" s="7">
        <v>107.07</v>
      </c>
      <c r="E3154" s="5">
        <v>43</v>
      </c>
      <c r="F3154" s="5">
        <v>16</v>
      </c>
      <c r="G3154" s="12">
        <f>SUM($D$7:D3154)</f>
        <v>10628205.05100004</v>
      </c>
      <c r="H3154" s="11">
        <f t="shared" si="49"/>
        <v>0.99639255357732892</v>
      </c>
    </row>
    <row r="3155" spans="1:8" ht="15" customHeight="1" x14ac:dyDescent="0.25">
      <c r="A3155" s="5">
        <v>3149</v>
      </c>
      <c r="B3155" s="10" t="s">
        <v>4617</v>
      </c>
      <c r="C3155" s="10" t="s">
        <v>6177</v>
      </c>
      <c r="D3155" s="7">
        <v>106.98</v>
      </c>
      <c r="E3155" s="5">
        <v>42</v>
      </c>
      <c r="F3155" s="5">
        <v>2</v>
      </c>
      <c r="G3155" s="12">
        <f>SUM($D$7:D3155)</f>
        <v>10628312.03100004</v>
      </c>
      <c r="H3155" s="11">
        <f t="shared" si="49"/>
        <v>0.99640258293551975</v>
      </c>
    </row>
    <row r="3156" spans="1:8" ht="15" customHeight="1" x14ac:dyDescent="0.25">
      <c r="A3156" s="5">
        <v>3150</v>
      </c>
      <c r="B3156" s="10" t="s">
        <v>6178</v>
      </c>
      <c r="C3156" s="10" t="s">
        <v>6179</v>
      </c>
      <c r="D3156" s="7">
        <v>106.97</v>
      </c>
      <c r="E3156" s="5">
        <v>266</v>
      </c>
      <c r="F3156" s="5">
        <v>19</v>
      </c>
      <c r="G3156" s="12">
        <f>SUM($D$7:D3156)</f>
        <v>10628419.001000041</v>
      </c>
      <c r="H3156" s="11">
        <f t="shared" si="49"/>
        <v>0.99641261135621217</v>
      </c>
    </row>
    <row r="3157" spans="1:8" ht="15" customHeight="1" x14ac:dyDescent="0.25">
      <c r="A3157" s="5">
        <v>3151</v>
      </c>
      <c r="B3157" s="10" t="s">
        <v>6180</v>
      </c>
      <c r="C3157" s="10" t="s">
        <v>6181</v>
      </c>
      <c r="D3157" s="7">
        <v>106.81</v>
      </c>
      <c r="E3157" s="5">
        <v>270</v>
      </c>
      <c r="F3157" s="5">
        <v>24</v>
      </c>
      <c r="G3157" s="12">
        <f>SUM($D$7:D3157)</f>
        <v>10628525.811000042</v>
      </c>
      <c r="H3157" s="11">
        <f t="shared" si="49"/>
        <v>0.99642262477692978</v>
      </c>
    </row>
    <row r="3158" spans="1:8" ht="15" customHeight="1" x14ac:dyDescent="0.25">
      <c r="A3158" s="5">
        <v>3152</v>
      </c>
      <c r="B3158" s="10" t="s">
        <v>6182</v>
      </c>
      <c r="C3158" s="10" t="s">
        <v>6183</v>
      </c>
      <c r="D3158" s="7">
        <v>106.24</v>
      </c>
      <c r="E3158" s="5">
        <v>115</v>
      </c>
      <c r="F3158" s="5">
        <v>10</v>
      </c>
      <c r="G3158" s="12">
        <f>SUM($D$7:D3158)</f>
        <v>10628632.051000042</v>
      </c>
      <c r="H3158" s="11">
        <f t="shared" si="49"/>
        <v>0.99643258476023688</v>
      </c>
    </row>
    <row r="3159" spans="1:8" ht="15" customHeight="1" x14ac:dyDescent="0.25">
      <c r="A3159" s="5">
        <v>3153</v>
      </c>
      <c r="B3159" s="10" t="s">
        <v>6184</v>
      </c>
      <c r="C3159" s="10" t="s">
        <v>6185</v>
      </c>
      <c r="D3159" s="7">
        <v>105.91</v>
      </c>
      <c r="E3159" s="5">
        <v>73</v>
      </c>
      <c r="F3159" s="5">
        <v>33</v>
      </c>
      <c r="G3159" s="12">
        <f>SUM($D$7:D3159)</f>
        <v>10628737.961000042</v>
      </c>
      <c r="H3159" s="11">
        <f t="shared" si="49"/>
        <v>0.99644251380609583</v>
      </c>
    </row>
    <row r="3160" spans="1:8" ht="15" customHeight="1" x14ac:dyDescent="0.25">
      <c r="A3160" s="5">
        <v>3154</v>
      </c>
      <c r="B3160" s="10" t="s">
        <v>6186</v>
      </c>
      <c r="C3160" s="10" t="s">
        <v>6187</v>
      </c>
      <c r="D3160" s="7">
        <v>105.73</v>
      </c>
      <c r="E3160" s="5">
        <v>38</v>
      </c>
      <c r="F3160" s="5">
        <v>13</v>
      </c>
      <c r="G3160" s="12">
        <f>SUM($D$7:D3160)</f>
        <v>10628843.691000042</v>
      </c>
      <c r="H3160" s="11">
        <f t="shared" si="49"/>
        <v>0.99645242597698303</v>
      </c>
    </row>
    <row r="3161" spans="1:8" ht="15" customHeight="1" x14ac:dyDescent="0.25">
      <c r="A3161" s="5">
        <v>3155</v>
      </c>
      <c r="B3161" s="10" t="s">
        <v>6188</v>
      </c>
      <c r="C3161" s="10" t="s">
        <v>6189</v>
      </c>
      <c r="D3161" s="7">
        <v>105.71</v>
      </c>
      <c r="E3161" s="5">
        <v>17</v>
      </c>
      <c r="F3161" s="5">
        <v>7</v>
      </c>
      <c r="G3161" s="12">
        <f>SUM($D$7:D3161)</f>
        <v>10628949.401000043</v>
      </c>
      <c r="H3161" s="11">
        <f t="shared" si="49"/>
        <v>0.99646233627287339</v>
      </c>
    </row>
    <row r="3162" spans="1:8" ht="15" customHeight="1" x14ac:dyDescent="0.25">
      <c r="A3162" s="5">
        <v>3156</v>
      </c>
      <c r="B3162" s="10" t="s">
        <v>6190</v>
      </c>
      <c r="C3162" s="10" t="s">
        <v>2557</v>
      </c>
      <c r="D3162" s="7">
        <v>105.28</v>
      </c>
      <c r="E3162" s="5">
        <v>32</v>
      </c>
      <c r="F3162" s="5">
        <v>21</v>
      </c>
      <c r="G3162" s="12">
        <f>SUM($D$7:D3162)</f>
        <v>10629054.681000043</v>
      </c>
      <c r="H3162" s="11">
        <f t="shared" si="49"/>
        <v>0.99647220625633126</v>
      </c>
    </row>
    <row r="3163" spans="1:8" ht="15" customHeight="1" x14ac:dyDescent="0.25">
      <c r="A3163" s="5">
        <v>3157</v>
      </c>
      <c r="B3163" s="10" t="s">
        <v>6191</v>
      </c>
      <c r="C3163" s="10" t="s">
        <v>6192</v>
      </c>
      <c r="D3163" s="7">
        <v>105</v>
      </c>
      <c r="E3163" s="5">
        <v>14</v>
      </c>
      <c r="F3163" s="5">
        <v>14</v>
      </c>
      <c r="G3163" s="12">
        <f>SUM($D$7:D3163)</f>
        <v>10629159.681000043</v>
      </c>
      <c r="H3163" s="11">
        <f t="shared" si="49"/>
        <v>0.99648204998983325</v>
      </c>
    </row>
    <row r="3164" spans="1:8" ht="15" customHeight="1" x14ac:dyDescent="0.25">
      <c r="A3164" s="5">
        <v>3158</v>
      </c>
      <c r="B3164" s="10" t="s">
        <v>6193</v>
      </c>
      <c r="C3164" s="10" t="s">
        <v>6194</v>
      </c>
      <c r="D3164" s="7">
        <v>105</v>
      </c>
      <c r="E3164" s="5">
        <v>250</v>
      </c>
      <c r="F3164" s="5">
        <v>7</v>
      </c>
      <c r="G3164" s="12">
        <f>SUM($D$7:D3164)</f>
        <v>10629264.681000043</v>
      </c>
      <c r="H3164" s="11">
        <f t="shared" si="49"/>
        <v>0.99649189372333513</v>
      </c>
    </row>
    <row r="3165" spans="1:8" ht="15" customHeight="1" x14ac:dyDescent="0.25">
      <c r="A3165" s="5">
        <v>3159</v>
      </c>
      <c r="B3165" s="10" t="s">
        <v>6195</v>
      </c>
      <c r="C3165" s="10" t="s">
        <v>6196</v>
      </c>
      <c r="D3165" s="7">
        <v>104.84</v>
      </c>
      <c r="E3165" s="5">
        <v>72</v>
      </c>
      <c r="F3165" s="5">
        <v>15</v>
      </c>
      <c r="G3165" s="12">
        <f>SUM($D$7:D3165)</f>
        <v>10629369.521000043</v>
      </c>
      <c r="H3165" s="11">
        <f t="shared" si="49"/>
        <v>0.99650172245686208</v>
      </c>
    </row>
    <row r="3166" spans="1:8" ht="15" customHeight="1" x14ac:dyDescent="0.25">
      <c r="A3166" s="5">
        <v>3160</v>
      </c>
      <c r="B3166" s="10" t="s">
        <v>6197</v>
      </c>
      <c r="C3166" s="10" t="s">
        <v>6198</v>
      </c>
      <c r="D3166" s="7">
        <v>104.84</v>
      </c>
      <c r="E3166" s="5">
        <v>71</v>
      </c>
      <c r="F3166" s="5">
        <v>14</v>
      </c>
      <c r="G3166" s="12">
        <f>SUM($D$7:D3166)</f>
        <v>10629474.361000042</v>
      </c>
      <c r="H3166" s="11">
        <f t="shared" si="49"/>
        <v>0.99651155119038914</v>
      </c>
    </row>
    <row r="3167" spans="1:8" ht="15" customHeight="1" x14ac:dyDescent="0.25">
      <c r="A3167" s="5">
        <v>3161</v>
      </c>
      <c r="B3167" s="10" t="s">
        <v>6199</v>
      </c>
      <c r="C3167" s="10" t="s">
        <v>6200</v>
      </c>
      <c r="D3167" s="7">
        <v>104.55</v>
      </c>
      <c r="E3167" s="5">
        <v>41</v>
      </c>
      <c r="F3167" s="5">
        <v>14</v>
      </c>
      <c r="G3167" s="12">
        <f>SUM($D$7:D3167)</f>
        <v>10629578.911000043</v>
      </c>
      <c r="H3167" s="11">
        <f t="shared" si="49"/>
        <v>0.99652135273646181</v>
      </c>
    </row>
    <row r="3168" spans="1:8" ht="15" customHeight="1" x14ac:dyDescent="0.25">
      <c r="A3168" s="5">
        <v>3162</v>
      </c>
      <c r="B3168" s="10" t="s">
        <v>6201</v>
      </c>
      <c r="C3168" s="10" t="s">
        <v>6202</v>
      </c>
      <c r="D3168" s="7">
        <v>104.44</v>
      </c>
      <c r="E3168" s="5">
        <v>423</v>
      </c>
      <c r="F3168" s="5">
        <v>39</v>
      </c>
      <c r="G3168" s="12">
        <f>SUM($D$7:D3168)</f>
        <v>10629683.351000043</v>
      </c>
      <c r="H3168" s="11">
        <f t="shared" si="49"/>
        <v>0.99653114397005171</v>
      </c>
    </row>
    <row r="3169" spans="1:8" ht="15" customHeight="1" x14ac:dyDescent="0.25">
      <c r="A3169" s="5">
        <v>3163</v>
      </c>
      <c r="B3169" s="10" t="s">
        <v>6203</v>
      </c>
      <c r="C3169" s="10" t="s">
        <v>6204</v>
      </c>
      <c r="D3169" s="7">
        <v>103.94</v>
      </c>
      <c r="E3169" s="5">
        <v>62</v>
      </c>
      <c r="F3169" s="5">
        <v>9</v>
      </c>
      <c r="G3169" s="12">
        <f>SUM($D$7:D3169)</f>
        <v>10629787.291000042</v>
      </c>
      <c r="H3169" s="11">
        <f t="shared" si="49"/>
        <v>0.99654088832872012</v>
      </c>
    </row>
    <row r="3170" spans="1:8" ht="15" customHeight="1" x14ac:dyDescent="0.25">
      <c r="A3170" s="5">
        <v>3164</v>
      </c>
      <c r="B3170" s="10" t="s">
        <v>6205</v>
      </c>
      <c r="C3170" s="10" t="s">
        <v>6206</v>
      </c>
      <c r="D3170" s="7">
        <v>103.65</v>
      </c>
      <c r="E3170" s="5">
        <v>181</v>
      </c>
      <c r="F3170" s="5">
        <v>53</v>
      </c>
      <c r="G3170" s="12">
        <f>SUM($D$7:D3170)</f>
        <v>10629890.941000042</v>
      </c>
      <c r="H3170" s="11">
        <f t="shared" si="49"/>
        <v>0.99655060549993413</v>
      </c>
    </row>
    <row r="3171" spans="1:8" ht="15" customHeight="1" x14ac:dyDescent="0.25">
      <c r="A3171" s="5">
        <v>3165</v>
      </c>
      <c r="B3171" s="10" t="s">
        <v>5187</v>
      </c>
      <c r="C3171" s="10" t="s">
        <v>6207</v>
      </c>
      <c r="D3171" s="7">
        <v>103.25</v>
      </c>
      <c r="E3171" s="5">
        <v>35</v>
      </c>
      <c r="F3171" s="5">
        <v>11</v>
      </c>
      <c r="G3171" s="12">
        <f>SUM($D$7:D3171)</f>
        <v>10629994.191000042</v>
      </c>
      <c r="H3171" s="11">
        <f t="shared" si="49"/>
        <v>0.99656028517121098</v>
      </c>
    </row>
    <row r="3172" spans="1:8" ht="15" customHeight="1" x14ac:dyDescent="0.25">
      <c r="A3172" s="5">
        <v>3166</v>
      </c>
      <c r="B3172" s="10" t="s">
        <v>6208</v>
      </c>
      <c r="C3172" s="10" t="s">
        <v>6209</v>
      </c>
      <c r="D3172" s="7">
        <v>103.13</v>
      </c>
      <c r="E3172" s="5">
        <v>21</v>
      </c>
      <c r="F3172" s="5">
        <v>8</v>
      </c>
      <c r="G3172" s="12">
        <f>SUM($D$7:D3172)</f>
        <v>10630097.321000043</v>
      </c>
      <c r="H3172" s="11">
        <f t="shared" si="49"/>
        <v>0.99656995359250677</v>
      </c>
    </row>
    <row r="3173" spans="1:8" ht="15" customHeight="1" x14ac:dyDescent="0.25">
      <c r="A3173" s="5">
        <v>3167</v>
      </c>
      <c r="B3173" s="10" t="s">
        <v>6210</v>
      </c>
      <c r="C3173" s="10" t="s">
        <v>6211</v>
      </c>
      <c r="D3173" s="7">
        <v>102.46</v>
      </c>
      <c r="E3173" s="5">
        <v>70</v>
      </c>
      <c r="F3173" s="5">
        <v>16</v>
      </c>
      <c r="G3173" s="12">
        <f>SUM($D$7:D3173)</f>
        <v>10630199.781000044</v>
      </c>
      <c r="H3173" s="11">
        <f t="shared" si="49"/>
        <v>0.99657955920140795</v>
      </c>
    </row>
    <row r="3174" spans="1:8" ht="15" customHeight="1" x14ac:dyDescent="0.25">
      <c r="A3174" s="5">
        <v>3168</v>
      </c>
      <c r="B3174" s="10" t="s">
        <v>6212</v>
      </c>
      <c r="C3174" s="10" t="s">
        <v>6213</v>
      </c>
      <c r="D3174" s="7">
        <v>102</v>
      </c>
      <c r="E3174" s="5">
        <v>8</v>
      </c>
      <c r="F3174" s="5">
        <v>5</v>
      </c>
      <c r="G3174" s="12">
        <f>SUM($D$7:D3174)</f>
        <v>10630301.781000044</v>
      </c>
      <c r="H3174" s="11">
        <f t="shared" si="49"/>
        <v>0.99658912168538116</v>
      </c>
    </row>
    <row r="3175" spans="1:8" ht="15" customHeight="1" x14ac:dyDescent="0.25">
      <c r="A3175" s="5">
        <v>3169</v>
      </c>
      <c r="B3175" s="10" t="s">
        <v>6214</v>
      </c>
      <c r="C3175" s="10" t="s">
        <v>6215</v>
      </c>
      <c r="D3175" s="7">
        <v>102</v>
      </c>
      <c r="E3175" s="5">
        <v>12</v>
      </c>
      <c r="F3175" s="5">
        <v>8</v>
      </c>
      <c r="G3175" s="12">
        <f>SUM($D$7:D3175)</f>
        <v>10630403.781000044</v>
      </c>
      <c r="H3175" s="11">
        <f t="shared" si="49"/>
        <v>0.99659868416935449</v>
      </c>
    </row>
    <row r="3176" spans="1:8" ht="15" customHeight="1" x14ac:dyDescent="0.25">
      <c r="A3176" s="5">
        <v>3170</v>
      </c>
      <c r="B3176" s="10" t="s">
        <v>1802</v>
      </c>
      <c r="C3176" s="10" t="s">
        <v>6216</v>
      </c>
      <c r="D3176" s="7">
        <v>101.53</v>
      </c>
      <c r="E3176" s="5">
        <v>11</v>
      </c>
      <c r="F3176" s="5">
        <v>8</v>
      </c>
      <c r="G3176" s="12">
        <f>SUM($D$7:D3176)</f>
        <v>10630505.311000044</v>
      </c>
      <c r="H3176" s="11">
        <f t="shared" si="49"/>
        <v>0.99660820259090155</v>
      </c>
    </row>
    <row r="3177" spans="1:8" ht="15" customHeight="1" x14ac:dyDescent="0.25">
      <c r="A3177" s="5">
        <v>3171</v>
      </c>
      <c r="B3177" s="10" t="s">
        <v>6217</v>
      </c>
      <c r="C3177" s="10" t="s">
        <v>6218</v>
      </c>
      <c r="D3177" s="7">
        <v>100.97</v>
      </c>
      <c r="E3177" s="5">
        <v>25</v>
      </c>
      <c r="F3177" s="5">
        <v>18</v>
      </c>
      <c r="G3177" s="12">
        <f>SUM($D$7:D3177)</f>
        <v>10630606.281000044</v>
      </c>
      <c r="H3177" s="11">
        <f t="shared" si="49"/>
        <v>0.99661766851253664</v>
      </c>
    </row>
    <row r="3178" spans="1:8" ht="15" customHeight="1" x14ac:dyDescent="0.25">
      <c r="A3178" s="5">
        <v>3172</v>
      </c>
      <c r="B3178" s="10" t="s">
        <v>6219</v>
      </c>
      <c r="C3178" s="10" t="s">
        <v>6220</v>
      </c>
      <c r="D3178" s="7">
        <v>100.86</v>
      </c>
      <c r="E3178" s="5">
        <v>30</v>
      </c>
      <c r="F3178" s="5">
        <v>9</v>
      </c>
      <c r="G3178" s="12">
        <f>SUM($D$7:D3178)</f>
        <v>10630707.141000044</v>
      </c>
      <c r="H3178" s="11">
        <f t="shared" si="49"/>
        <v>0.99662712412168908</v>
      </c>
    </row>
    <row r="3179" spans="1:8" ht="15" customHeight="1" x14ac:dyDescent="0.25">
      <c r="A3179" s="5">
        <v>3173</v>
      </c>
      <c r="B3179" s="10" t="s">
        <v>6221</v>
      </c>
      <c r="C3179" s="10" t="s">
        <v>6222</v>
      </c>
      <c r="D3179" s="7">
        <v>100.8</v>
      </c>
      <c r="E3179" s="5">
        <v>840</v>
      </c>
      <c r="F3179" s="5">
        <v>4</v>
      </c>
      <c r="G3179" s="12">
        <f>SUM($D$7:D3179)</f>
        <v>10630807.941000044</v>
      </c>
      <c r="H3179" s="11">
        <f t="shared" si="49"/>
        <v>0.99663657410585094</v>
      </c>
    </row>
    <row r="3180" spans="1:8" ht="15" customHeight="1" x14ac:dyDescent="0.25">
      <c r="A3180" s="5">
        <v>3174</v>
      </c>
      <c r="B3180" s="10" t="s">
        <v>6223</v>
      </c>
      <c r="C3180" s="10" t="s">
        <v>6224</v>
      </c>
      <c r="D3180" s="7">
        <v>100.76</v>
      </c>
      <c r="E3180" s="5">
        <v>119</v>
      </c>
      <c r="F3180" s="5">
        <v>15</v>
      </c>
      <c r="G3180" s="12">
        <f>SUM($D$7:D3180)</f>
        <v>10630908.701000044</v>
      </c>
      <c r="H3180" s="11">
        <f t="shared" si="49"/>
        <v>0.99664602034001903</v>
      </c>
    </row>
    <row r="3181" spans="1:8" ht="15" customHeight="1" x14ac:dyDescent="0.25">
      <c r="A3181" s="5">
        <v>3175</v>
      </c>
      <c r="B3181" s="10" t="s">
        <v>6225</v>
      </c>
      <c r="C3181" s="10" t="s">
        <v>6226</v>
      </c>
      <c r="D3181" s="7">
        <v>100.7</v>
      </c>
      <c r="E3181" s="5">
        <v>3</v>
      </c>
      <c r="F3181" s="5">
        <v>3</v>
      </c>
      <c r="G3181" s="12">
        <f>SUM($D$7:D3181)</f>
        <v>10631009.401000043</v>
      </c>
      <c r="H3181" s="11">
        <f t="shared" si="49"/>
        <v>0.99665546094919644</v>
      </c>
    </row>
    <row r="3182" spans="1:8" ht="15" customHeight="1" x14ac:dyDescent="0.25">
      <c r="A3182" s="5">
        <v>3176</v>
      </c>
      <c r="B3182" s="10" t="s">
        <v>6227</v>
      </c>
      <c r="C3182" s="10" t="s">
        <v>6228</v>
      </c>
      <c r="D3182" s="7">
        <v>100.66</v>
      </c>
      <c r="E3182" s="5">
        <v>16</v>
      </c>
      <c r="F3182" s="5">
        <v>9</v>
      </c>
      <c r="G3182" s="12">
        <f>SUM($D$7:D3182)</f>
        <v>10631110.061000044</v>
      </c>
      <c r="H3182" s="11">
        <f t="shared" si="49"/>
        <v>0.9966648978083803</v>
      </c>
    </row>
    <row r="3183" spans="1:8" ht="15" customHeight="1" x14ac:dyDescent="0.25">
      <c r="A3183" s="5">
        <v>3177</v>
      </c>
      <c r="B3183" s="10" t="s">
        <v>6229</v>
      </c>
      <c r="C3183" s="10" t="s">
        <v>6230</v>
      </c>
      <c r="D3183" s="7">
        <v>100.09</v>
      </c>
      <c r="E3183" s="5">
        <v>11</v>
      </c>
      <c r="F3183" s="5">
        <v>7</v>
      </c>
      <c r="G3183" s="12">
        <f>SUM($D$7:D3183)</f>
        <v>10631210.151000043</v>
      </c>
      <c r="H3183" s="11">
        <f t="shared" si="49"/>
        <v>0.99667428123015367</v>
      </c>
    </row>
    <row r="3184" spans="1:8" ht="15" customHeight="1" x14ac:dyDescent="0.25">
      <c r="A3184" s="5">
        <v>3178</v>
      </c>
      <c r="B3184" s="10" t="s">
        <v>6231</v>
      </c>
      <c r="C3184" s="10" t="s">
        <v>6232</v>
      </c>
      <c r="D3184" s="7">
        <v>99.6</v>
      </c>
      <c r="E3184" s="5">
        <v>20</v>
      </c>
      <c r="F3184" s="5">
        <v>15</v>
      </c>
      <c r="G3184" s="12">
        <f>SUM($D$7:D3184)</f>
        <v>10631309.751000043</v>
      </c>
      <c r="H3184" s="11">
        <f t="shared" si="49"/>
        <v>0.99668361871450406</v>
      </c>
    </row>
    <row r="3185" spans="1:8" ht="15" customHeight="1" x14ac:dyDescent="0.25">
      <c r="A3185" s="5">
        <v>3179</v>
      </c>
      <c r="B3185" s="10" t="s">
        <v>6233</v>
      </c>
      <c r="C3185" s="10" t="s">
        <v>6234</v>
      </c>
      <c r="D3185" s="7">
        <v>99.6</v>
      </c>
      <c r="E3185" s="5">
        <v>40</v>
      </c>
      <c r="F3185" s="5">
        <v>16</v>
      </c>
      <c r="G3185" s="12">
        <f>SUM($D$7:D3185)</f>
        <v>10631409.351000043</v>
      </c>
      <c r="H3185" s="11">
        <f t="shared" si="49"/>
        <v>0.99669295619885434</v>
      </c>
    </row>
    <row r="3186" spans="1:8" ht="15" customHeight="1" x14ac:dyDescent="0.25">
      <c r="A3186" s="5">
        <v>3180</v>
      </c>
      <c r="B3186" s="10" t="s">
        <v>6235</v>
      </c>
      <c r="C3186" s="10" t="s">
        <v>6236</v>
      </c>
      <c r="D3186" s="7">
        <v>99.29</v>
      </c>
      <c r="E3186" s="5">
        <v>172</v>
      </c>
      <c r="F3186" s="5">
        <v>25</v>
      </c>
      <c r="G3186" s="12">
        <f>SUM($D$7:D3186)</f>
        <v>10631508.641000042</v>
      </c>
      <c r="H3186" s="11">
        <f t="shared" si="49"/>
        <v>0.9967022646207534</v>
      </c>
    </row>
    <row r="3187" spans="1:8" ht="15" customHeight="1" x14ac:dyDescent="0.25">
      <c r="A3187" s="5">
        <v>3181</v>
      </c>
      <c r="B3187" s="10" t="s">
        <v>6237</v>
      </c>
      <c r="C3187" s="10" t="s">
        <v>6238</v>
      </c>
      <c r="D3187" s="7">
        <v>99.2</v>
      </c>
      <c r="E3187" s="5">
        <v>18</v>
      </c>
      <c r="F3187" s="5">
        <v>8</v>
      </c>
      <c r="G3187" s="12">
        <f>SUM($D$7:D3187)</f>
        <v>10631607.841000041</v>
      </c>
      <c r="H3187" s="11">
        <f t="shared" si="49"/>
        <v>0.99671156460516652</v>
      </c>
    </row>
    <row r="3188" spans="1:8" ht="15" customHeight="1" x14ac:dyDescent="0.25">
      <c r="A3188" s="5">
        <v>3182</v>
      </c>
      <c r="B3188" s="10" t="s">
        <v>4823</v>
      </c>
      <c r="C3188" s="10" t="s">
        <v>6239</v>
      </c>
      <c r="D3188" s="7">
        <v>99</v>
      </c>
      <c r="E3188" s="5">
        <v>12</v>
      </c>
      <c r="F3188" s="5">
        <v>4</v>
      </c>
      <c r="G3188" s="12">
        <f>SUM($D$7:D3188)</f>
        <v>10631706.841000041</v>
      </c>
      <c r="H3188" s="11">
        <f t="shared" si="49"/>
        <v>0.99672084583961118</v>
      </c>
    </row>
    <row r="3189" spans="1:8" ht="15" customHeight="1" x14ac:dyDescent="0.25">
      <c r="A3189" s="5">
        <v>3183</v>
      </c>
      <c r="B3189" s="10" t="s">
        <v>5883</v>
      </c>
      <c r="C3189" s="10" t="s">
        <v>6240</v>
      </c>
      <c r="D3189" s="7">
        <v>99</v>
      </c>
      <c r="E3189" s="5">
        <v>12</v>
      </c>
      <c r="F3189" s="5">
        <v>7</v>
      </c>
      <c r="G3189" s="12">
        <f>SUM($D$7:D3189)</f>
        <v>10631805.841000041</v>
      </c>
      <c r="H3189" s="11">
        <f t="shared" si="49"/>
        <v>0.99673012707405584</v>
      </c>
    </row>
    <row r="3190" spans="1:8" ht="15" customHeight="1" x14ac:dyDescent="0.25">
      <c r="A3190" s="5">
        <v>3184</v>
      </c>
      <c r="B3190" s="10" t="s">
        <v>1460</v>
      </c>
      <c r="C3190" s="10" t="s">
        <v>6241</v>
      </c>
      <c r="D3190" s="7">
        <v>99</v>
      </c>
      <c r="E3190" s="5">
        <v>60</v>
      </c>
      <c r="F3190" s="5">
        <v>5</v>
      </c>
      <c r="G3190" s="12">
        <f>SUM($D$7:D3190)</f>
        <v>10631904.841000041</v>
      </c>
      <c r="H3190" s="11">
        <f t="shared" si="49"/>
        <v>0.9967394083085005</v>
      </c>
    </row>
    <row r="3191" spans="1:8" ht="15" customHeight="1" x14ac:dyDescent="0.25">
      <c r="A3191" s="5">
        <v>3185</v>
      </c>
      <c r="B3191" s="10" t="s">
        <v>6242</v>
      </c>
      <c r="C3191" s="10" t="s">
        <v>5512</v>
      </c>
      <c r="D3191" s="7">
        <v>98.7</v>
      </c>
      <c r="E3191" s="5">
        <v>40</v>
      </c>
      <c r="F3191" s="5">
        <v>23</v>
      </c>
      <c r="G3191" s="12">
        <f>SUM($D$7:D3191)</f>
        <v>10632003.54100004</v>
      </c>
      <c r="H3191" s="11">
        <f t="shared" si="49"/>
        <v>0.99674866141799223</v>
      </c>
    </row>
    <row r="3192" spans="1:8" ht="15" customHeight="1" x14ac:dyDescent="0.25">
      <c r="A3192" s="5">
        <v>3186</v>
      </c>
      <c r="B3192" s="10" t="s">
        <v>6243</v>
      </c>
      <c r="C3192" s="10" t="s">
        <v>6244</v>
      </c>
      <c r="D3192" s="7">
        <v>98.63</v>
      </c>
      <c r="E3192" s="5">
        <v>46</v>
      </c>
      <c r="F3192" s="5">
        <v>19</v>
      </c>
      <c r="G3192" s="12">
        <f>SUM($D$7:D3192)</f>
        <v>10632102.171000041</v>
      </c>
      <c r="H3192" s="11">
        <f t="shared" si="49"/>
        <v>0.99675790796499508</v>
      </c>
    </row>
    <row r="3193" spans="1:8" ht="15" customHeight="1" x14ac:dyDescent="0.25">
      <c r="A3193" s="5">
        <v>3187</v>
      </c>
      <c r="B3193" s="10" t="s">
        <v>6245</v>
      </c>
      <c r="C3193" s="10" t="s">
        <v>6246</v>
      </c>
      <c r="D3193" s="7">
        <v>98.54</v>
      </c>
      <c r="E3193" s="5">
        <v>153</v>
      </c>
      <c r="F3193" s="5">
        <v>51</v>
      </c>
      <c r="G3193" s="12">
        <f>SUM($D$7:D3193)</f>
        <v>10632200.71100004</v>
      </c>
      <c r="H3193" s="11">
        <f t="shared" si="49"/>
        <v>0.99676714607451189</v>
      </c>
    </row>
    <row r="3194" spans="1:8" ht="15" customHeight="1" x14ac:dyDescent="0.25">
      <c r="A3194" s="5">
        <v>3188</v>
      </c>
      <c r="B3194" s="10" t="s">
        <v>6247</v>
      </c>
      <c r="C3194" s="10" t="s">
        <v>6248</v>
      </c>
      <c r="D3194" s="7">
        <v>98.07</v>
      </c>
      <c r="E3194" s="5">
        <v>39</v>
      </c>
      <c r="F3194" s="5">
        <v>17</v>
      </c>
      <c r="G3194" s="12">
        <f>SUM($D$7:D3194)</f>
        <v>10632298.78100004</v>
      </c>
      <c r="H3194" s="11">
        <f t="shared" si="49"/>
        <v>0.99677634012160277</v>
      </c>
    </row>
    <row r="3195" spans="1:8" ht="15" customHeight="1" x14ac:dyDescent="0.25">
      <c r="A3195" s="5">
        <v>3189</v>
      </c>
      <c r="B3195" s="10" t="s">
        <v>6249</v>
      </c>
      <c r="C3195" s="10" t="s">
        <v>6250</v>
      </c>
      <c r="D3195" s="7">
        <v>97.95</v>
      </c>
      <c r="E3195" s="5">
        <v>41</v>
      </c>
      <c r="F3195" s="5">
        <v>6</v>
      </c>
      <c r="G3195" s="12">
        <f>SUM($D$7:D3195)</f>
        <v>10632396.73100004</v>
      </c>
      <c r="H3195" s="11">
        <f t="shared" si="49"/>
        <v>0.99678552291871225</v>
      </c>
    </row>
    <row r="3196" spans="1:8" ht="15" customHeight="1" x14ac:dyDescent="0.25">
      <c r="A3196" s="5">
        <v>3190</v>
      </c>
      <c r="B3196" s="10" t="s">
        <v>6251</v>
      </c>
      <c r="C3196" s="10" t="s">
        <v>6252</v>
      </c>
      <c r="D3196" s="7">
        <v>97.13</v>
      </c>
      <c r="E3196" s="5">
        <v>35</v>
      </c>
      <c r="F3196" s="5">
        <v>22</v>
      </c>
      <c r="G3196" s="12">
        <f>SUM($D$7:D3196)</f>
        <v>10632493.861000041</v>
      </c>
      <c r="H3196" s="11">
        <f t="shared" si="49"/>
        <v>0.99679462884095082</v>
      </c>
    </row>
    <row r="3197" spans="1:8" ht="15" customHeight="1" x14ac:dyDescent="0.25">
      <c r="A3197" s="5">
        <v>3191</v>
      </c>
      <c r="B3197" s="10" t="s">
        <v>6253</v>
      </c>
      <c r="C3197" s="10" t="s">
        <v>6254</v>
      </c>
      <c r="D3197" s="7">
        <v>97.02</v>
      </c>
      <c r="E3197" s="5">
        <v>23</v>
      </c>
      <c r="F3197" s="5">
        <v>12</v>
      </c>
      <c r="G3197" s="12">
        <f>SUM($D$7:D3197)</f>
        <v>10632590.88100004</v>
      </c>
      <c r="H3197" s="11">
        <f t="shared" si="49"/>
        <v>0.99680372445070653</v>
      </c>
    </row>
    <row r="3198" spans="1:8" ht="15" customHeight="1" x14ac:dyDescent="0.25">
      <c r="A3198" s="5">
        <v>3192</v>
      </c>
      <c r="B3198" s="10" t="s">
        <v>6255</v>
      </c>
      <c r="C3198" s="10" t="s">
        <v>6256</v>
      </c>
      <c r="D3198" s="7">
        <v>96.89</v>
      </c>
      <c r="E3198" s="5">
        <v>137</v>
      </c>
      <c r="F3198" s="5">
        <v>11</v>
      </c>
      <c r="G3198" s="12">
        <f>SUM($D$7:D3198)</f>
        <v>10632687.771000041</v>
      </c>
      <c r="H3198" s="11">
        <f t="shared" si="49"/>
        <v>0.99681280787298276</v>
      </c>
    </row>
    <row r="3199" spans="1:8" ht="15" customHeight="1" x14ac:dyDescent="0.25">
      <c r="A3199" s="5">
        <v>3193</v>
      </c>
      <c r="B3199" s="10" t="s">
        <v>6257</v>
      </c>
      <c r="C3199" s="10" t="s">
        <v>6258</v>
      </c>
      <c r="D3199" s="7">
        <v>96.86</v>
      </c>
      <c r="E3199" s="5">
        <v>29</v>
      </c>
      <c r="F3199" s="5">
        <v>18</v>
      </c>
      <c r="G3199" s="12">
        <f>SUM($D$7:D3199)</f>
        <v>10632784.63100004</v>
      </c>
      <c r="H3199" s="11">
        <f t="shared" si="49"/>
        <v>0.99682188848276365</v>
      </c>
    </row>
    <row r="3200" spans="1:8" ht="15" customHeight="1" x14ac:dyDescent="0.25">
      <c r="A3200" s="5">
        <v>3194</v>
      </c>
      <c r="B3200" s="10" t="s">
        <v>6259</v>
      </c>
      <c r="C3200" s="10" t="s">
        <v>6260</v>
      </c>
      <c r="D3200" s="7">
        <v>96.6</v>
      </c>
      <c r="E3200" s="5">
        <v>46</v>
      </c>
      <c r="F3200" s="5">
        <v>5</v>
      </c>
      <c r="G3200" s="12">
        <f>SUM($D$7:D3200)</f>
        <v>10632881.23100004</v>
      </c>
      <c r="H3200" s="11">
        <f t="shared" si="49"/>
        <v>0.99683094471758538</v>
      </c>
    </row>
    <row r="3201" spans="1:8" ht="15" customHeight="1" x14ac:dyDescent="0.25">
      <c r="A3201" s="5">
        <v>3195</v>
      </c>
      <c r="B3201" s="10" t="s">
        <v>6261</v>
      </c>
      <c r="C3201" s="10" t="s">
        <v>6262</v>
      </c>
      <c r="D3201" s="7">
        <v>96.52</v>
      </c>
      <c r="E3201" s="5">
        <v>18</v>
      </c>
      <c r="F3201" s="5">
        <v>18</v>
      </c>
      <c r="G3201" s="12">
        <f>SUM($D$7:D3201)</f>
        <v>10632977.751000039</v>
      </c>
      <c r="H3201" s="11">
        <f t="shared" si="49"/>
        <v>0.99683999345241958</v>
      </c>
    </row>
    <row r="3202" spans="1:8" ht="15" customHeight="1" x14ac:dyDescent="0.25">
      <c r="A3202" s="5">
        <v>3196</v>
      </c>
      <c r="B3202" s="10" t="s">
        <v>6263</v>
      </c>
      <c r="C3202" s="10" t="s">
        <v>5672</v>
      </c>
      <c r="D3202" s="7">
        <v>95.94</v>
      </c>
      <c r="E3202" s="5">
        <v>39</v>
      </c>
      <c r="F3202" s="5">
        <v>25</v>
      </c>
      <c r="G3202" s="12">
        <f>SUM($D$7:D3202)</f>
        <v>10633073.691000039</v>
      </c>
      <c r="H3202" s="11">
        <f t="shared" si="49"/>
        <v>0.99684898781234499</v>
      </c>
    </row>
    <row r="3203" spans="1:8" ht="15" customHeight="1" x14ac:dyDescent="0.25">
      <c r="A3203" s="5">
        <v>3197</v>
      </c>
      <c r="B3203" s="10" t="s">
        <v>6264</v>
      </c>
      <c r="C3203" s="10" t="s">
        <v>6265</v>
      </c>
      <c r="D3203" s="7">
        <v>95.53</v>
      </c>
      <c r="E3203" s="5">
        <v>98</v>
      </c>
      <c r="F3203" s="5">
        <v>36</v>
      </c>
      <c r="G3203" s="12">
        <f>SUM($D$7:D3203)</f>
        <v>10633169.221000038</v>
      </c>
      <c r="H3203" s="11">
        <f t="shared" si="49"/>
        <v>0.99685794373483483</v>
      </c>
    </row>
    <row r="3204" spans="1:8" ht="15" customHeight="1" x14ac:dyDescent="0.25">
      <c r="A3204" s="5">
        <v>3198</v>
      </c>
      <c r="B3204" s="10" t="s">
        <v>6266</v>
      </c>
      <c r="C3204" s="10" t="s">
        <v>6267</v>
      </c>
      <c r="D3204" s="7">
        <v>95.42</v>
      </c>
      <c r="E3204" s="5">
        <v>38</v>
      </c>
      <c r="F3204" s="5">
        <v>21</v>
      </c>
      <c r="G3204" s="12">
        <f>SUM($D$7:D3204)</f>
        <v>10633264.641000038</v>
      </c>
      <c r="H3204" s="11">
        <f t="shared" si="49"/>
        <v>0.99686688934484202</v>
      </c>
    </row>
    <row r="3205" spans="1:8" ht="15" customHeight="1" x14ac:dyDescent="0.25">
      <c r="A3205" s="5">
        <v>3199</v>
      </c>
      <c r="B3205" s="10" t="s">
        <v>6268</v>
      </c>
      <c r="C3205" s="10" t="s">
        <v>6269</v>
      </c>
      <c r="D3205" s="7">
        <v>95.4</v>
      </c>
      <c r="E3205" s="5">
        <v>12</v>
      </c>
      <c r="F3205" s="5">
        <v>6</v>
      </c>
      <c r="G3205" s="12">
        <f>SUM($D$7:D3205)</f>
        <v>10633360.041000038</v>
      </c>
      <c r="H3205" s="11">
        <f t="shared" si="49"/>
        <v>0.99687583307985228</v>
      </c>
    </row>
    <row r="3206" spans="1:8" ht="15" customHeight="1" x14ac:dyDescent="0.25">
      <c r="A3206" s="5">
        <v>3200</v>
      </c>
      <c r="B3206" s="10" t="s">
        <v>6270</v>
      </c>
      <c r="C3206" s="10" t="s">
        <v>6271</v>
      </c>
      <c r="D3206" s="7">
        <v>95.35</v>
      </c>
      <c r="E3206" s="5">
        <v>12</v>
      </c>
      <c r="F3206" s="5">
        <v>5</v>
      </c>
      <c r="G3206" s="12">
        <f>SUM($D$7:D3206)</f>
        <v>10633455.391000038</v>
      </c>
      <c r="H3206" s="11">
        <f t="shared" si="49"/>
        <v>0.99688477212737048</v>
      </c>
    </row>
    <row r="3207" spans="1:8" ht="15" customHeight="1" x14ac:dyDescent="0.25">
      <c r="A3207" s="5">
        <v>3201</v>
      </c>
      <c r="B3207" s="10" t="s">
        <v>6272</v>
      </c>
      <c r="C3207" s="10" t="s">
        <v>6273</v>
      </c>
      <c r="D3207" s="7">
        <v>95.35</v>
      </c>
      <c r="E3207" s="5">
        <v>17</v>
      </c>
      <c r="F3207" s="5">
        <v>7</v>
      </c>
      <c r="G3207" s="12">
        <f>SUM($D$7:D3207)</f>
        <v>10633550.741000038</v>
      </c>
      <c r="H3207" s="11">
        <f t="shared" ref="H3207:H3270" si="50">G3207/SUM($D$7:$D$4167)</f>
        <v>0.99689371117488856</v>
      </c>
    </row>
    <row r="3208" spans="1:8" ht="15" customHeight="1" x14ac:dyDescent="0.25">
      <c r="A3208" s="5">
        <v>3202</v>
      </c>
      <c r="B3208" s="10" t="s">
        <v>6274</v>
      </c>
      <c r="C3208" s="10" t="s">
        <v>6275</v>
      </c>
      <c r="D3208" s="7">
        <v>95.25</v>
      </c>
      <c r="E3208" s="5">
        <v>8</v>
      </c>
      <c r="F3208" s="5">
        <v>8</v>
      </c>
      <c r="G3208" s="12">
        <f>SUM($D$7:D3208)</f>
        <v>10633645.991000038</v>
      </c>
      <c r="H3208" s="11">
        <f t="shared" si="50"/>
        <v>0.99690264084742242</v>
      </c>
    </row>
    <row r="3209" spans="1:8" ht="15" customHeight="1" x14ac:dyDescent="0.25">
      <c r="A3209" s="5">
        <v>3203</v>
      </c>
      <c r="B3209" s="10" t="s">
        <v>6276</v>
      </c>
      <c r="C3209" s="10" t="s">
        <v>6277</v>
      </c>
      <c r="D3209" s="7">
        <v>95.18</v>
      </c>
      <c r="E3209" s="5">
        <v>73</v>
      </c>
      <c r="F3209" s="5">
        <v>33</v>
      </c>
      <c r="G3209" s="12">
        <f>SUM($D$7:D3209)</f>
        <v>10633741.171000037</v>
      </c>
      <c r="H3209" s="11">
        <f t="shared" si="50"/>
        <v>0.99691156395746727</v>
      </c>
    </row>
    <row r="3210" spans="1:8" ht="15" customHeight="1" x14ac:dyDescent="0.25">
      <c r="A3210" s="5">
        <v>3204</v>
      </c>
      <c r="B3210" s="10" t="s">
        <v>6278</v>
      </c>
      <c r="C3210" s="10" t="s">
        <v>6279</v>
      </c>
      <c r="D3210" s="7">
        <v>95.1</v>
      </c>
      <c r="E3210" s="5">
        <v>52</v>
      </c>
      <c r="F3210" s="5">
        <v>8</v>
      </c>
      <c r="G3210" s="12">
        <f>SUM($D$7:D3210)</f>
        <v>10633836.271000037</v>
      </c>
      <c r="H3210" s="11">
        <f t="shared" si="50"/>
        <v>0.99692047956752472</v>
      </c>
    </row>
    <row r="3211" spans="1:8" ht="15" customHeight="1" x14ac:dyDescent="0.25">
      <c r="A3211" s="5">
        <v>3205</v>
      </c>
      <c r="B3211" s="10" t="s">
        <v>6280</v>
      </c>
      <c r="C3211" s="10" t="s">
        <v>4149</v>
      </c>
      <c r="D3211" s="7">
        <v>94.8</v>
      </c>
      <c r="E3211" s="5">
        <v>24</v>
      </c>
      <c r="F3211" s="5">
        <v>4</v>
      </c>
      <c r="G3211" s="12">
        <f>SUM($D$7:D3211)</f>
        <v>10633931.071000038</v>
      </c>
      <c r="H3211" s="11">
        <f t="shared" si="50"/>
        <v>0.99692936705262936</v>
      </c>
    </row>
    <row r="3212" spans="1:8" ht="15" customHeight="1" x14ac:dyDescent="0.25">
      <c r="A3212" s="5">
        <v>3206</v>
      </c>
      <c r="B3212" s="10" t="s">
        <v>6281</v>
      </c>
      <c r="C3212" s="10" t="s">
        <v>6282</v>
      </c>
      <c r="D3212" s="7">
        <v>94.43</v>
      </c>
      <c r="E3212" s="5">
        <v>19</v>
      </c>
      <c r="F3212" s="5">
        <v>13</v>
      </c>
      <c r="G3212" s="12">
        <f>SUM($D$7:D3212)</f>
        <v>10634025.501000037</v>
      </c>
      <c r="H3212" s="11">
        <f t="shared" si="50"/>
        <v>0.99693821985029196</v>
      </c>
    </row>
    <row r="3213" spans="1:8" ht="15" customHeight="1" x14ac:dyDescent="0.25">
      <c r="A3213" s="5">
        <v>3207</v>
      </c>
      <c r="B3213" s="10" t="s">
        <v>5515</v>
      </c>
      <c r="C3213" s="10" t="s">
        <v>6283</v>
      </c>
      <c r="D3213" s="7">
        <v>94.04</v>
      </c>
      <c r="E3213" s="5">
        <v>43</v>
      </c>
      <c r="F3213" s="5">
        <v>17</v>
      </c>
      <c r="G3213" s="12">
        <f>SUM($D$7:D3213)</f>
        <v>10634119.541000037</v>
      </c>
      <c r="H3213" s="11">
        <f t="shared" si="50"/>
        <v>0.99694703608551594</v>
      </c>
    </row>
    <row r="3214" spans="1:8" ht="15" customHeight="1" x14ac:dyDescent="0.25">
      <c r="A3214" s="5">
        <v>3208</v>
      </c>
      <c r="B3214" s="10" t="s">
        <v>3244</v>
      </c>
      <c r="C3214" s="10" t="s">
        <v>6284</v>
      </c>
      <c r="D3214" s="7">
        <v>93.75</v>
      </c>
      <c r="E3214" s="5">
        <v>25</v>
      </c>
      <c r="F3214" s="5">
        <v>4</v>
      </c>
      <c r="G3214" s="12">
        <f>SUM($D$7:D3214)</f>
        <v>10634213.291000037</v>
      </c>
      <c r="H3214" s="11">
        <f t="shared" si="50"/>
        <v>0.99695582513328551</v>
      </c>
    </row>
    <row r="3215" spans="1:8" ht="15" customHeight="1" x14ac:dyDescent="0.25">
      <c r="A3215" s="5">
        <v>3209</v>
      </c>
      <c r="B3215" s="10" t="s">
        <v>6285</v>
      </c>
      <c r="C3215" s="10" t="s">
        <v>4519</v>
      </c>
      <c r="D3215" s="7">
        <v>93.63</v>
      </c>
      <c r="E3215" s="5">
        <v>72</v>
      </c>
      <c r="F3215" s="5">
        <v>18</v>
      </c>
      <c r="G3215" s="12">
        <f>SUM($D$7:D3215)</f>
        <v>10634306.921000037</v>
      </c>
      <c r="H3215" s="11">
        <f t="shared" si="50"/>
        <v>0.99696460293107392</v>
      </c>
    </row>
    <row r="3216" spans="1:8" ht="15" customHeight="1" x14ac:dyDescent="0.25">
      <c r="A3216" s="5">
        <v>3210</v>
      </c>
      <c r="B3216" s="10" t="s">
        <v>6286</v>
      </c>
      <c r="C3216" s="10" t="s">
        <v>6287</v>
      </c>
      <c r="D3216" s="7">
        <v>93.19</v>
      </c>
      <c r="E3216" s="5">
        <v>33</v>
      </c>
      <c r="F3216" s="5">
        <v>20</v>
      </c>
      <c r="G3216" s="12">
        <f>SUM($D$7:D3216)</f>
        <v>10634400.111000037</v>
      </c>
      <c r="H3216" s="11">
        <f t="shared" si="50"/>
        <v>0.99697333947893141</v>
      </c>
    </row>
    <row r="3217" spans="1:8" ht="15" customHeight="1" x14ac:dyDescent="0.25">
      <c r="A3217" s="5">
        <v>3211</v>
      </c>
      <c r="B3217" s="10" t="s">
        <v>6288</v>
      </c>
      <c r="C3217" s="10" t="s">
        <v>6289</v>
      </c>
      <c r="D3217" s="7">
        <v>92.4</v>
      </c>
      <c r="E3217" s="5">
        <v>56</v>
      </c>
      <c r="F3217" s="5">
        <v>23</v>
      </c>
      <c r="G3217" s="12">
        <f>SUM($D$7:D3217)</f>
        <v>10634492.511000037</v>
      </c>
      <c r="H3217" s="11">
        <f t="shared" si="50"/>
        <v>0.99698200196441322</v>
      </c>
    </row>
    <row r="3218" spans="1:8" ht="15" customHeight="1" x14ac:dyDescent="0.25">
      <c r="A3218" s="5">
        <v>3212</v>
      </c>
      <c r="B3218" s="10" t="s">
        <v>6290</v>
      </c>
      <c r="C3218" s="10" t="s">
        <v>6291</v>
      </c>
      <c r="D3218" s="7">
        <v>92.28</v>
      </c>
      <c r="E3218" s="5">
        <v>22</v>
      </c>
      <c r="F3218" s="5">
        <v>17</v>
      </c>
      <c r="G3218" s="12">
        <f>SUM($D$7:D3218)</f>
        <v>10634584.791000037</v>
      </c>
      <c r="H3218" s="11">
        <f t="shared" si="50"/>
        <v>0.99699065319991365</v>
      </c>
    </row>
    <row r="3219" spans="1:8" ht="15" customHeight="1" x14ac:dyDescent="0.25">
      <c r="A3219" s="5">
        <v>3213</v>
      </c>
      <c r="B3219" s="10" t="s">
        <v>6292</v>
      </c>
      <c r="C3219" s="10" t="s">
        <v>6293</v>
      </c>
      <c r="D3219" s="7">
        <v>92.21</v>
      </c>
      <c r="E3219" s="5">
        <v>226</v>
      </c>
      <c r="F3219" s="5">
        <v>19</v>
      </c>
      <c r="G3219" s="12">
        <f>SUM($D$7:D3219)</f>
        <v>10634677.001000037</v>
      </c>
      <c r="H3219" s="11">
        <f t="shared" si="50"/>
        <v>0.99699929787292529</v>
      </c>
    </row>
    <row r="3220" spans="1:8" ht="15" customHeight="1" x14ac:dyDescent="0.25">
      <c r="A3220" s="5">
        <v>3214</v>
      </c>
      <c r="B3220" s="10" t="s">
        <v>6294</v>
      </c>
      <c r="C3220" s="10" t="s">
        <v>2616</v>
      </c>
      <c r="D3220" s="7">
        <v>92.2</v>
      </c>
      <c r="E3220" s="5">
        <v>8</v>
      </c>
      <c r="F3220" s="5">
        <v>8</v>
      </c>
      <c r="G3220" s="12">
        <f>SUM($D$7:D3220)</f>
        <v>10634769.201000037</v>
      </c>
      <c r="H3220" s="11">
        <f t="shared" si="50"/>
        <v>0.99700794160843831</v>
      </c>
    </row>
    <row r="3221" spans="1:8" ht="15" customHeight="1" x14ac:dyDescent="0.25">
      <c r="A3221" s="5">
        <v>3215</v>
      </c>
      <c r="B3221" s="10" t="s">
        <v>6295</v>
      </c>
      <c r="C3221" s="10" t="s">
        <v>6296</v>
      </c>
      <c r="D3221" s="7">
        <v>91.8</v>
      </c>
      <c r="E3221" s="5">
        <v>36</v>
      </c>
      <c r="F3221" s="5">
        <v>1</v>
      </c>
      <c r="G3221" s="12">
        <f>SUM($D$7:D3221)</f>
        <v>10634861.001000037</v>
      </c>
      <c r="H3221" s="11">
        <f t="shared" si="50"/>
        <v>0.99701654784401428</v>
      </c>
    </row>
    <row r="3222" spans="1:8" ht="15" customHeight="1" x14ac:dyDescent="0.25">
      <c r="A3222" s="5">
        <v>3216</v>
      </c>
      <c r="B3222" s="10" t="s">
        <v>6297</v>
      </c>
      <c r="C3222" s="10" t="s">
        <v>6298</v>
      </c>
      <c r="D3222" s="7">
        <v>91.7</v>
      </c>
      <c r="E3222" s="5">
        <v>77</v>
      </c>
      <c r="F3222" s="5">
        <v>11</v>
      </c>
      <c r="G3222" s="12">
        <f>SUM($D$7:D3222)</f>
        <v>10634952.701000037</v>
      </c>
      <c r="H3222" s="11">
        <f t="shared" si="50"/>
        <v>0.9970251447046059</v>
      </c>
    </row>
    <row r="3223" spans="1:8" ht="15" customHeight="1" x14ac:dyDescent="0.25">
      <c r="A3223" s="5">
        <v>3217</v>
      </c>
      <c r="B3223" s="10" t="s">
        <v>6299</v>
      </c>
      <c r="C3223" s="10" t="s">
        <v>6300</v>
      </c>
      <c r="D3223" s="7">
        <v>91.68</v>
      </c>
      <c r="E3223" s="5">
        <v>10</v>
      </c>
      <c r="F3223" s="5">
        <v>9</v>
      </c>
      <c r="G3223" s="12">
        <f>SUM($D$7:D3223)</f>
        <v>10635044.381000036</v>
      </c>
      <c r="H3223" s="11">
        <f t="shared" si="50"/>
        <v>0.9970337396902007</v>
      </c>
    </row>
    <row r="3224" spans="1:8" ht="15" customHeight="1" x14ac:dyDescent="0.25">
      <c r="A3224" s="5">
        <v>3218</v>
      </c>
      <c r="B3224" s="10" t="s">
        <v>6301</v>
      </c>
      <c r="C3224" s="10" t="s">
        <v>6302</v>
      </c>
      <c r="D3224" s="7">
        <v>91.48</v>
      </c>
      <c r="E3224" s="5">
        <v>20</v>
      </c>
      <c r="F3224" s="5">
        <v>15</v>
      </c>
      <c r="G3224" s="12">
        <f>SUM($D$7:D3224)</f>
        <v>10635135.861000037</v>
      </c>
      <c r="H3224" s="11">
        <f t="shared" si="50"/>
        <v>0.99704231592582693</v>
      </c>
    </row>
    <row r="3225" spans="1:8" ht="15" customHeight="1" x14ac:dyDescent="0.25">
      <c r="A3225" s="5">
        <v>3219</v>
      </c>
      <c r="B3225" s="10" t="s">
        <v>2311</v>
      </c>
      <c r="C3225" s="10" t="s">
        <v>6303</v>
      </c>
      <c r="D3225" s="7">
        <v>91.3</v>
      </c>
      <c r="E3225" s="5">
        <v>22</v>
      </c>
      <c r="F3225" s="5">
        <v>5</v>
      </c>
      <c r="G3225" s="12">
        <f>SUM($D$7:D3225)</f>
        <v>10635227.161000038</v>
      </c>
      <c r="H3225" s="11">
        <f t="shared" si="50"/>
        <v>0.99705087528648151</v>
      </c>
    </row>
    <row r="3226" spans="1:8" ht="15" customHeight="1" x14ac:dyDescent="0.25">
      <c r="A3226" s="5">
        <v>3220</v>
      </c>
      <c r="B3226" s="10" t="s">
        <v>6304</v>
      </c>
      <c r="C3226" s="10" t="s">
        <v>6305</v>
      </c>
      <c r="D3226" s="7">
        <v>90.42</v>
      </c>
      <c r="E3226" s="5">
        <v>31</v>
      </c>
      <c r="F3226" s="5">
        <v>20</v>
      </c>
      <c r="G3226" s="12">
        <f>SUM($D$7:D3226)</f>
        <v>10635317.581000037</v>
      </c>
      <c r="H3226" s="11">
        <f t="shared" si="50"/>
        <v>0.99705935214727426</v>
      </c>
    </row>
    <row r="3227" spans="1:8" ht="15" customHeight="1" x14ac:dyDescent="0.25">
      <c r="A3227" s="5">
        <v>3221</v>
      </c>
      <c r="B3227" s="10" t="s">
        <v>6306</v>
      </c>
      <c r="C3227" s="10" t="s">
        <v>6307</v>
      </c>
      <c r="D3227" s="7">
        <v>90.34</v>
      </c>
      <c r="E3227" s="5">
        <v>338</v>
      </c>
      <c r="F3227" s="5">
        <v>12</v>
      </c>
      <c r="G3227" s="12">
        <f>SUM($D$7:D3227)</f>
        <v>10635407.921000037</v>
      </c>
      <c r="H3227" s="11">
        <f t="shared" si="50"/>
        <v>0.9970678215080796</v>
      </c>
    </row>
    <row r="3228" spans="1:8" ht="15" customHeight="1" x14ac:dyDescent="0.25">
      <c r="A3228" s="5">
        <v>3222</v>
      </c>
      <c r="B3228" s="10" t="s">
        <v>6308</v>
      </c>
      <c r="C3228" s="10" t="s">
        <v>6309</v>
      </c>
      <c r="D3228" s="7">
        <v>90.32</v>
      </c>
      <c r="E3228" s="5">
        <v>12</v>
      </c>
      <c r="F3228" s="5">
        <v>9</v>
      </c>
      <c r="G3228" s="12">
        <f>SUM($D$7:D3228)</f>
        <v>10635498.241000038</v>
      </c>
      <c r="H3228" s="11">
        <f t="shared" si="50"/>
        <v>0.99707628899388812</v>
      </c>
    </row>
    <row r="3229" spans="1:8" ht="15" customHeight="1" x14ac:dyDescent="0.25">
      <c r="A3229" s="5">
        <v>3223</v>
      </c>
      <c r="B3229" s="10" t="s">
        <v>6310</v>
      </c>
      <c r="C3229" s="10" t="s">
        <v>6311</v>
      </c>
      <c r="D3229" s="7">
        <v>90.2</v>
      </c>
      <c r="E3229" s="5">
        <v>24</v>
      </c>
      <c r="F3229" s="5">
        <v>20</v>
      </c>
      <c r="G3229" s="12">
        <f>SUM($D$7:D3229)</f>
        <v>10635588.441000037</v>
      </c>
      <c r="H3229" s="11">
        <f t="shared" si="50"/>
        <v>0.99708474522971546</v>
      </c>
    </row>
    <row r="3230" spans="1:8" ht="15" customHeight="1" x14ac:dyDescent="0.25">
      <c r="A3230" s="5">
        <v>3224</v>
      </c>
      <c r="B3230" s="10" t="s">
        <v>6312</v>
      </c>
      <c r="C3230" s="10" t="s">
        <v>6313</v>
      </c>
      <c r="D3230" s="7">
        <v>90</v>
      </c>
      <c r="E3230" s="5">
        <v>24</v>
      </c>
      <c r="F3230" s="5">
        <v>7</v>
      </c>
      <c r="G3230" s="12">
        <f>SUM($D$7:D3230)</f>
        <v>10635678.441000037</v>
      </c>
      <c r="H3230" s="11">
        <f t="shared" si="50"/>
        <v>0.99709318271557423</v>
      </c>
    </row>
    <row r="3231" spans="1:8" ht="15" customHeight="1" x14ac:dyDescent="0.25">
      <c r="A3231" s="5">
        <v>3225</v>
      </c>
      <c r="B3231" s="10" t="s">
        <v>6314</v>
      </c>
      <c r="C3231" s="10" t="s">
        <v>6315</v>
      </c>
      <c r="D3231" s="7">
        <v>89.95</v>
      </c>
      <c r="E3231" s="5">
        <v>131</v>
      </c>
      <c r="F3231" s="5">
        <v>13</v>
      </c>
      <c r="G3231" s="12">
        <f>SUM($D$7:D3231)</f>
        <v>10635768.391000036</v>
      </c>
      <c r="H3231" s="11">
        <f t="shared" si="50"/>
        <v>0.99710161551394072</v>
      </c>
    </row>
    <row r="3232" spans="1:8" ht="15" customHeight="1" x14ac:dyDescent="0.25">
      <c r="A3232" s="5">
        <v>3226</v>
      </c>
      <c r="B3232" s="10" t="s">
        <v>6316</v>
      </c>
      <c r="C3232" s="10" t="s">
        <v>6317</v>
      </c>
      <c r="D3232" s="7">
        <v>89.72</v>
      </c>
      <c r="E3232" s="5">
        <v>50</v>
      </c>
      <c r="F3232" s="5">
        <v>22</v>
      </c>
      <c r="G3232" s="12">
        <f>SUM($D$7:D3232)</f>
        <v>10635858.111000037</v>
      </c>
      <c r="H3232" s="11">
        <f t="shared" si="50"/>
        <v>0.99711002674984361</v>
      </c>
    </row>
    <row r="3233" spans="1:8" ht="15" customHeight="1" x14ac:dyDescent="0.25">
      <c r="A3233" s="5">
        <v>3227</v>
      </c>
      <c r="B3233" s="10" t="s">
        <v>6318</v>
      </c>
      <c r="C3233" s="10" t="s">
        <v>6319</v>
      </c>
      <c r="D3233" s="7">
        <v>89.5</v>
      </c>
      <c r="E3233" s="5">
        <v>10</v>
      </c>
      <c r="F3233" s="5">
        <v>5</v>
      </c>
      <c r="G3233" s="12">
        <f>SUM($D$7:D3233)</f>
        <v>10635947.611000037</v>
      </c>
      <c r="H3233" s="11">
        <f t="shared" si="50"/>
        <v>0.99711841736078088</v>
      </c>
    </row>
    <row r="3234" spans="1:8" ht="15" customHeight="1" x14ac:dyDescent="0.25">
      <c r="A3234" s="5">
        <v>3228</v>
      </c>
      <c r="B3234" s="10" t="s">
        <v>6320</v>
      </c>
      <c r="C3234" s="10" t="s">
        <v>6321</v>
      </c>
      <c r="D3234" s="7">
        <v>89.22</v>
      </c>
      <c r="E3234" s="5">
        <v>4</v>
      </c>
      <c r="F3234" s="5">
        <v>3</v>
      </c>
      <c r="G3234" s="12">
        <f>SUM($D$7:D3234)</f>
        <v>10636036.831000037</v>
      </c>
      <c r="H3234" s="11">
        <f t="shared" si="50"/>
        <v>0.99712678172176228</v>
      </c>
    </row>
    <row r="3235" spans="1:8" ht="15" customHeight="1" x14ac:dyDescent="0.25">
      <c r="A3235" s="5">
        <v>3229</v>
      </c>
      <c r="B3235" s="10" t="s">
        <v>6322</v>
      </c>
      <c r="C3235" s="10" t="s">
        <v>6323</v>
      </c>
      <c r="D3235" s="7">
        <v>89.12</v>
      </c>
      <c r="E3235" s="5">
        <v>15</v>
      </c>
      <c r="F3235" s="5">
        <v>9</v>
      </c>
      <c r="G3235" s="12">
        <f>SUM($D$7:D3235)</f>
        <v>10636125.951000037</v>
      </c>
      <c r="H3235" s="11">
        <f t="shared" si="50"/>
        <v>0.99713513670775933</v>
      </c>
    </row>
    <row r="3236" spans="1:8" ht="15" customHeight="1" x14ac:dyDescent="0.25">
      <c r="A3236" s="5">
        <v>3230</v>
      </c>
      <c r="B3236" s="10" t="s">
        <v>6324</v>
      </c>
      <c r="C3236" s="10" t="s">
        <v>6325</v>
      </c>
      <c r="D3236" s="7">
        <v>88.35</v>
      </c>
      <c r="E3236" s="5">
        <v>19</v>
      </c>
      <c r="F3236" s="5">
        <v>6</v>
      </c>
      <c r="G3236" s="12">
        <f>SUM($D$7:D3236)</f>
        <v>10636214.301000036</v>
      </c>
      <c r="H3236" s="11">
        <f t="shared" si="50"/>
        <v>0.9971434195063773</v>
      </c>
    </row>
    <row r="3237" spans="1:8" ht="15" customHeight="1" x14ac:dyDescent="0.25">
      <c r="A3237" s="5">
        <v>3231</v>
      </c>
      <c r="B3237" s="10" t="s">
        <v>6326</v>
      </c>
      <c r="C3237" s="10" t="s">
        <v>6327</v>
      </c>
      <c r="D3237" s="7">
        <v>88.22</v>
      </c>
      <c r="E3237" s="5">
        <v>10</v>
      </c>
      <c r="F3237" s="5">
        <v>9</v>
      </c>
      <c r="G3237" s="12">
        <f>SUM($D$7:D3237)</f>
        <v>10636302.521000037</v>
      </c>
      <c r="H3237" s="11">
        <f t="shared" si="50"/>
        <v>0.99715169011751581</v>
      </c>
    </row>
    <row r="3238" spans="1:8" ht="15" customHeight="1" x14ac:dyDescent="0.25">
      <c r="A3238" s="5">
        <v>3232</v>
      </c>
      <c r="B3238" s="10" t="s">
        <v>6328</v>
      </c>
      <c r="C3238" s="10" t="s">
        <v>6329</v>
      </c>
      <c r="D3238" s="7">
        <v>88.04</v>
      </c>
      <c r="E3238" s="5">
        <v>21</v>
      </c>
      <c r="F3238" s="5">
        <v>15</v>
      </c>
      <c r="G3238" s="12">
        <f>SUM($D$7:D3238)</f>
        <v>10636390.561000036</v>
      </c>
      <c r="H3238" s="11">
        <f t="shared" si="50"/>
        <v>0.99715994385368245</v>
      </c>
    </row>
    <row r="3239" spans="1:8" ht="15" customHeight="1" x14ac:dyDescent="0.25">
      <c r="A3239" s="5">
        <v>3233</v>
      </c>
      <c r="B3239" s="10" t="s">
        <v>6330</v>
      </c>
      <c r="C3239" s="10" t="s">
        <v>6331</v>
      </c>
      <c r="D3239" s="7">
        <v>88.03</v>
      </c>
      <c r="E3239" s="5">
        <v>40</v>
      </c>
      <c r="F3239" s="5">
        <v>16</v>
      </c>
      <c r="G3239" s="12">
        <f>SUM($D$7:D3239)</f>
        <v>10636478.591000035</v>
      </c>
      <c r="H3239" s="11">
        <f t="shared" si="50"/>
        <v>0.99716819665235068</v>
      </c>
    </row>
    <row r="3240" spans="1:8" ht="15" customHeight="1" x14ac:dyDescent="0.25">
      <c r="A3240" s="5">
        <v>3234</v>
      </c>
      <c r="B3240" s="10" t="s">
        <v>6332</v>
      </c>
      <c r="C3240" s="10" t="s">
        <v>6333</v>
      </c>
      <c r="D3240" s="7">
        <v>87.56</v>
      </c>
      <c r="E3240" s="5">
        <v>156</v>
      </c>
      <c r="F3240" s="5">
        <v>28</v>
      </c>
      <c r="G3240" s="12">
        <f>SUM($D$7:D3240)</f>
        <v>10636566.151000036</v>
      </c>
      <c r="H3240" s="11">
        <f t="shared" si="50"/>
        <v>0.99717640538859287</v>
      </c>
    </row>
    <row r="3241" spans="1:8" ht="15" customHeight="1" x14ac:dyDescent="0.25">
      <c r="A3241" s="5">
        <v>3235</v>
      </c>
      <c r="B3241" s="10" t="s">
        <v>6334</v>
      </c>
      <c r="C3241" s="10" t="s">
        <v>6335</v>
      </c>
      <c r="D3241" s="7">
        <v>87.51</v>
      </c>
      <c r="E3241" s="5">
        <v>42</v>
      </c>
      <c r="F3241" s="5">
        <v>25</v>
      </c>
      <c r="G3241" s="12">
        <f>SUM($D$7:D3241)</f>
        <v>10636653.661000036</v>
      </c>
      <c r="H3241" s="11">
        <f t="shared" si="50"/>
        <v>0.99718460943734288</v>
      </c>
    </row>
    <row r="3242" spans="1:8" ht="15" customHeight="1" x14ac:dyDescent="0.25">
      <c r="A3242" s="5">
        <v>3236</v>
      </c>
      <c r="B3242" s="10" t="s">
        <v>6336</v>
      </c>
      <c r="C3242" s="10" t="s">
        <v>6337</v>
      </c>
      <c r="D3242" s="7">
        <v>87.36</v>
      </c>
      <c r="E3242" s="5">
        <v>42</v>
      </c>
      <c r="F3242" s="5">
        <v>7</v>
      </c>
      <c r="G3242" s="12">
        <f>SUM($D$7:D3242)</f>
        <v>10636741.021000035</v>
      </c>
      <c r="H3242" s="11">
        <f t="shared" si="50"/>
        <v>0.99719279942361638</v>
      </c>
    </row>
    <row r="3243" spans="1:8" ht="15" customHeight="1" x14ac:dyDescent="0.25">
      <c r="A3243" s="5">
        <v>3237</v>
      </c>
      <c r="B3243" s="10" t="s">
        <v>6338</v>
      </c>
      <c r="C3243" s="10" t="s">
        <v>6339</v>
      </c>
      <c r="D3243" s="7">
        <v>86.76</v>
      </c>
      <c r="E3243" s="5">
        <v>180</v>
      </c>
      <c r="F3243" s="5">
        <v>29</v>
      </c>
      <c r="G3243" s="12">
        <f>SUM($D$7:D3243)</f>
        <v>10636827.781000035</v>
      </c>
      <c r="H3243" s="11">
        <f t="shared" si="50"/>
        <v>0.99720093315998426</v>
      </c>
    </row>
    <row r="3244" spans="1:8" ht="15" customHeight="1" x14ac:dyDescent="0.25">
      <c r="A3244" s="5">
        <v>3238</v>
      </c>
      <c r="B3244" s="10" t="s">
        <v>6340</v>
      </c>
      <c r="C3244" s="10" t="s">
        <v>6341</v>
      </c>
      <c r="D3244" s="7">
        <v>86.75</v>
      </c>
      <c r="E3244" s="5">
        <v>77</v>
      </c>
      <c r="F3244" s="5">
        <v>23</v>
      </c>
      <c r="G3244" s="12">
        <f>SUM($D$7:D3244)</f>
        <v>10636914.531000035</v>
      </c>
      <c r="H3244" s="11">
        <f t="shared" si="50"/>
        <v>0.99720906595885372</v>
      </c>
    </row>
    <row r="3245" spans="1:8" ht="15" customHeight="1" x14ac:dyDescent="0.25">
      <c r="A3245" s="5">
        <v>3239</v>
      </c>
      <c r="B3245" s="10" t="s">
        <v>6342</v>
      </c>
      <c r="C3245" s="10" t="s">
        <v>6343</v>
      </c>
      <c r="D3245" s="7">
        <v>86.58</v>
      </c>
      <c r="E3245" s="5">
        <v>26</v>
      </c>
      <c r="F3245" s="5">
        <v>11</v>
      </c>
      <c r="G3245" s="12">
        <f>SUM($D$7:D3245)</f>
        <v>10637001.111000035</v>
      </c>
      <c r="H3245" s="11">
        <f t="shared" si="50"/>
        <v>0.99721718282024985</v>
      </c>
    </row>
    <row r="3246" spans="1:8" ht="15" customHeight="1" x14ac:dyDescent="0.25">
      <c r="A3246" s="5">
        <v>3240</v>
      </c>
      <c r="B3246" s="10" t="s">
        <v>6344</v>
      </c>
      <c r="C3246" s="10" t="s">
        <v>6345</v>
      </c>
      <c r="D3246" s="7">
        <v>86.11</v>
      </c>
      <c r="E3246" s="5">
        <v>23</v>
      </c>
      <c r="F3246" s="5">
        <v>14</v>
      </c>
      <c r="G3246" s="12">
        <f>SUM($D$7:D3246)</f>
        <v>10637087.221000034</v>
      </c>
      <c r="H3246" s="11">
        <f t="shared" si="50"/>
        <v>0.99722525561921982</v>
      </c>
    </row>
    <row r="3247" spans="1:8" ht="15" customHeight="1" x14ac:dyDescent="0.25">
      <c r="A3247" s="5">
        <v>3241</v>
      </c>
      <c r="B3247" s="10" t="s">
        <v>5540</v>
      </c>
      <c r="C3247" s="10" t="s">
        <v>6346</v>
      </c>
      <c r="D3247" s="7">
        <v>85.92</v>
      </c>
      <c r="E3247" s="5">
        <v>240</v>
      </c>
      <c r="F3247" s="5">
        <v>15</v>
      </c>
      <c r="G3247" s="12">
        <f>SUM($D$7:D3247)</f>
        <v>10637173.141000034</v>
      </c>
      <c r="H3247" s="11">
        <f t="shared" si="50"/>
        <v>0.99723331060571963</v>
      </c>
    </row>
    <row r="3248" spans="1:8" ht="15" customHeight="1" x14ac:dyDescent="0.25">
      <c r="A3248" s="5">
        <v>3242</v>
      </c>
      <c r="B3248" s="10" t="s">
        <v>6347</v>
      </c>
      <c r="C3248" s="10" t="s">
        <v>6348</v>
      </c>
      <c r="D3248" s="7">
        <v>85.52</v>
      </c>
      <c r="E3248" s="5">
        <v>95</v>
      </c>
      <c r="F3248" s="5">
        <v>15</v>
      </c>
      <c r="G3248" s="12">
        <f>SUM($D$7:D3248)</f>
        <v>10637258.661000034</v>
      </c>
      <c r="H3248" s="11">
        <f t="shared" si="50"/>
        <v>0.99724132809228228</v>
      </c>
    </row>
    <row r="3249" spans="1:8" ht="15" customHeight="1" x14ac:dyDescent="0.25">
      <c r="A3249" s="5">
        <v>3243</v>
      </c>
      <c r="B3249" s="10" t="s">
        <v>6349</v>
      </c>
      <c r="C3249" s="10" t="s">
        <v>6350</v>
      </c>
      <c r="D3249" s="7">
        <v>85.31</v>
      </c>
      <c r="E3249" s="5">
        <v>93</v>
      </c>
      <c r="F3249" s="5">
        <v>8</v>
      </c>
      <c r="G3249" s="12">
        <f>SUM($D$7:D3249)</f>
        <v>10637343.971000034</v>
      </c>
      <c r="H3249" s="11">
        <f t="shared" si="50"/>
        <v>0.99724932589137805</v>
      </c>
    </row>
    <row r="3250" spans="1:8" ht="15" customHeight="1" x14ac:dyDescent="0.25">
      <c r="A3250" s="5">
        <v>3244</v>
      </c>
      <c r="B3250" s="10" t="s">
        <v>6351</v>
      </c>
      <c r="C3250" s="10" t="s">
        <v>6352</v>
      </c>
      <c r="D3250" s="7">
        <v>84.15</v>
      </c>
      <c r="E3250" s="5">
        <v>17</v>
      </c>
      <c r="F3250" s="5">
        <v>6</v>
      </c>
      <c r="G3250" s="12">
        <f>SUM($D$7:D3250)</f>
        <v>10637428.121000035</v>
      </c>
      <c r="H3250" s="11">
        <f t="shared" si="50"/>
        <v>0.997257214940656</v>
      </c>
    </row>
    <row r="3251" spans="1:8" ht="15" customHeight="1" x14ac:dyDescent="0.25">
      <c r="A3251" s="5">
        <v>3245</v>
      </c>
      <c r="B3251" s="10" t="s">
        <v>4389</v>
      </c>
      <c r="C3251" s="10" t="s">
        <v>6353</v>
      </c>
      <c r="D3251" s="7">
        <v>84.1</v>
      </c>
      <c r="E3251" s="5">
        <v>22</v>
      </c>
      <c r="F3251" s="5">
        <v>2</v>
      </c>
      <c r="G3251" s="12">
        <f>SUM($D$7:D3251)</f>
        <v>10637512.221000034</v>
      </c>
      <c r="H3251" s="11">
        <f t="shared" si="50"/>
        <v>0.99726509930244178</v>
      </c>
    </row>
    <row r="3252" spans="1:8" ht="15" customHeight="1" x14ac:dyDescent="0.25">
      <c r="A3252" s="5">
        <v>3246</v>
      </c>
      <c r="B3252" s="10" t="s">
        <v>5276</v>
      </c>
      <c r="C3252" s="10" t="s">
        <v>6354</v>
      </c>
      <c r="D3252" s="7">
        <v>84.04</v>
      </c>
      <c r="E3252" s="5">
        <v>56</v>
      </c>
      <c r="F3252" s="5">
        <v>7</v>
      </c>
      <c r="G3252" s="12">
        <f>SUM($D$7:D3252)</f>
        <v>10637596.261000033</v>
      </c>
      <c r="H3252" s="11">
        <f t="shared" si="50"/>
        <v>0.99727297803923687</v>
      </c>
    </row>
    <row r="3253" spans="1:8" ht="15" customHeight="1" x14ac:dyDescent="0.25">
      <c r="A3253" s="5">
        <v>3247</v>
      </c>
      <c r="B3253" s="10" t="s">
        <v>6355</v>
      </c>
      <c r="C3253" s="10" t="s">
        <v>6356</v>
      </c>
      <c r="D3253" s="7">
        <v>84</v>
      </c>
      <c r="E3253" s="5">
        <v>200</v>
      </c>
      <c r="F3253" s="5">
        <v>8</v>
      </c>
      <c r="G3253" s="12">
        <f>SUM($D$7:D3253)</f>
        <v>10637680.261000033</v>
      </c>
      <c r="H3253" s="11">
        <f t="shared" si="50"/>
        <v>0.99728085302603842</v>
      </c>
    </row>
    <row r="3254" spans="1:8" ht="15" customHeight="1" x14ac:dyDescent="0.25">
      <c r="A3254" s="5">
        <v>3248</v>
      </c>
      <c r="B3254" s="10" t="s">
        <v>6357</v>
      </c>
      <c r="C3254" s="10" t="s">
        <v>6358</v>
      </c>
      <c r="D3254" s="7">
        <v>83.78</v>
      </c>
      <c r="E3254" s="5">
        <v>64</v>
      </c>
      <c r="F3254" s="5">
        <v>19</v>
      </c>
      <c r="G3254" s="12">
        <f>SUM($D$7:D3254)</f>
        <v>10637764.041000033</v>
      </c>
      <c r="H3254" s="11">
        <f t="shared" si="50"/>
        <v>0.99728870738787445</v>
      </c>
    </row>
    <row r="3255" spans="1:8" ht="15" customHeight="1" x14ac:dyDescent="0.25">
      <c r="A3255" s="5">
        <v>3249</v>
      </c>
      <c r="B3255" s="10" t="s">
        <v>6359</v>
      </c>
      <c r="C3255" s="10" t="s">
        <v>6360</v>
      </c>
      <c r="D3255" s="7">
        <v>83.42</v>
      </c>
      <c r="E3255" s="5">
        <v>21</v>
      </c>
      <c r="F3255" s="5">
        <v>14</v>
      </c>
      <c r="G3255" s="12">
        <f>SUM($D$7:D3255)</f>
        <v>10637847.461000033</v>
      </c>
      <c r="H3255" s="11">
        <f t="shared" si="50"/>
        <v>0.99729652799976709</v>
      </c>
    </row>
    <row r="3256" spans="1:8" ht="15" customHeight="1" x14ac:dyDescent="0.25">
      <c r="A3256" s="5">
        <v>3250</v>
      </c>
      <c r="B3256" s="10" t="s">
        <v>6361</v>
      </c>
      <c r="C3256" s="10" t="s">
        <v>6362</v>
      </c>
      <c r="D3256" s="7">
        <v>83.33</v>
      </c>
      <c r="E3256" s="5">
        <v>1</v>
      </c>
      <c r="F3256" s="5">
        <v>1</v>
      </c>
      <c r="G3256" s="12">
        <f>SUM($D$7:D3256)</f>
        <v>10637930.791000033</v>
      </c>
      <c r="H3256" s="11">
        <f t="shared" si="50"/>
        <v>0.99730434017417391</v>
      </c>
    </row>
    <row r="3257" spans="1:8" ht="15" customHeight="1" x14ac:dyDescent="0.25">
      <c r="A3257" s="5">
        <v>3251</v>
      </c>
      <c r="B3257" s="10" t="s">
        <v>6363</v>
      </c>
      <c r="C3257" s="10" t="s">
        <v>6364</v>
      </c>
      <c r="D3257" s="7">
        <v>83.29</v>
      </c>
      <c r="E3257" s="5">
        <v>14</v>
      </c>
      <c r="F3257" s="5">
        <v>6</v>
      </c>
      <c r="G3257" s="12">
        <f>SUM($D$7:D3257)</f>
        <v>10638014.081000032</v>
      </c>
      <c r="H3257" s="11">
        <f t="shared" si="50"/>
        <v>0.99731214859858686</v>
      </c>
    </row>
    <row r="3258" spans="1:8" ht="15" customHeight="1" x14ac:dyDescent="0.25">
      <c r="A3258" s="5">
        <v>3252</v>
      </c>
      <c r="B3258" s="10" t="s">
        <v>6365</v>
      </c>
      <c r="C3258" s="10" t="s">
        <v>6366</v>
      </c>
      <c r="D3258" s="7">
        <v>82.98</v>
      </c>
      <c r="E3258" s="5">
        <v>45</v>
      </c>
      <c r="F3258" s="5">
        <v>20</v>
      </c>
      <c r="G3258" s="12">
        <f>SUM($D$7:D3258)</f>
        <v>10638097.061000032</v>
      </c>
      <c r="H3258" s="11">
        <f t="shared" si="50"/>
        <v>0.99731992796054869</v>
      </c>
    </row>
    <row r="3259" spans="1:8" ht="15" customHeight="1" x14ac:dyDescent="0.25">
      <c r="A3259" s="5">
        <v>3253</v>
      </c>
      <c r="B3259" s="10" t="s">
        <v>6367</v>
      </c>
      <c r="C3259" s="10" t="s">
        <v>6368</v>
      </c>
      <c r="D3259" s="7">
        <v>82.57</v>
      </c>
      <c r="E3259" s="5">
        <v>12</v>
      </c>
      <c r="F3259" s="5">
        <v>6</v>
      </c>
      <c r="G3259" s="12">
        <f>SUM($D$7:D3259)</f>
        <v>10638179.631000033</v>
      </c>
      <c r="H3259" s="11">
        <f t="shared" si="50"/>
        <v>0.99732766888507496</v>
      </c>
    </row>
    <row r="3260" spans="1:8" ht="15" customHeight="1" x14ac:dyDescent="0.25">
      <c r="A3260" s="5">
        <v>3254</v>
      </c>
      <c r="B3260" s="10" t="s">
        <v>6369</v>
      </c>
      <c r="C3260" s="10" t="s">
        <v>6370</v>
      </c>
      <c r="D3260" s="7">
        <v>82.1</v>
      </c>
      <c r="E3260" s="5">
        <v>38</v>
      </c>
      <c r="F3260" s="5">
        <v>5</v>
      </c>
      <c r="G3260" s="12">
        <f>SUM($D$7:D3260)</f>
        <v>10638261.731000032</v>
      </c>
      <c r="H3260" s="11">
        <f t="shared" si="50"/>
        <v>0.99733536574717496</v>
      </c>
    </row>
    <row r="3261" spans="1:8" ht="15" customHeight="1" x14ac:dyDescent="0.25">
      <c r="A3261" s="5">
        <v>3255</v>
      </c>
      <c r="B3261" s="10" t="s">
        <v>6371</v>
      </c>
      <c r="C3261" s="10" t="s">
        <v>6372</v>
      </c>
      <c r="D3261" s="7">
        <v>82.1</v>
      </c>
      <c r="E3261" s="5">
        <v>163</v>
      </c>
      <c r="F3261" s="5">
        <v>19</v>
      </c>
      <c r="G3261" s="12">
        <f>SUM($D$7:D3261)</f>
        <v>10638343.831000032</v>
      </c>
      <c r="H3261" s="11">
        <f t="shared" si="50"/>
        <v>0.99734306260927508</v>
      </c>
    </row>
    <row r="3262" spans="1:8" ht="15" customHeight="1" x14ac:dyDescent="0.25">
      <c r="A3262" s="5">
        <v>3256</v>
      </c>
      <c r="B3262" s="10" t="s">
        <v>6373</v>
      </c>
      <c r="C3262" s="10" t="s">
        <v>6374</v>
      </c>
      <c r="D3262" s="7">
        <v>82.08</v>
      </c>
      <c r="E3262" s="5">
        <v>504</v>
      </c>
      <c r="F3262" s="5">
        <v>5</v>
      </c>
      <c r="G3262" s="12">
        <f>SUM($D$7:D3262)</f>
        <v>10638425.911000032</v>
      </c>
      <c r="H3262" s="11">
        <f t="shared" si="50"/>
        <v>0.99735075759637826</v>
      </c>
    </row>
    <row r="3263" spans="1:8" ht="15" customHeight="1" x14ac:dyDescent="0.25">
      <c r="A3263" s="5">
        <v>3257</v>
      </c>
      <c r="B3263" s="10" t="s">
        <v>6375</v>
      </c>
      <c r="C3263" s="10" t="s">
        <v>6376</v>
      </c>
      <c r="D3263" s="7">
        <v>81.96</v>
      </c>
      <c r="E3263" s="5">
        <v>70</v>
      </c>
      <c r="F3263" s="5">
        <v>12</v>
      </c>
      <c r="G3263" s="12">
        <f>SUM($D$7:D3263)</f>
        <v>10638507.871000033</v>
      </c>
      <c r="H3263" s="11">
        <f t="shared" si="50"/>
        <v>0.99735844133350038</v>
      </c>
    </row>
    <row r="3264" spans="1:8" ht="15" customHeight="1" x14ac:dyDescent="0.25">
      <c r="A3264" s="5">
        <v>3258</v>
      </c>
      <c r="B3264" s="10" t="s">
        <v>6377</v>
      </c>
      <c r="C3264" s="10" t="s">
        <v>6378</v>
      </c>
      <c r="D3264" s="7">
        <v>81.8</v>
      </c>
      <c r="E3264" s="5">
        <v>94</v>
      </c>
      <c r="F3264" s="5">
        <v>20</v>
      </c>
      <c r="G3264" s="12">
        <f>SUM($D$7:D3264)</f>
        <v>10638589.671000034</v>
      </c>
      <c r="H3264" s="11">
        <f t="shared" si="50"/>
        <v>0.99736611007064768</v>
      </c>
    </row>
    <row r="3265" spans="1:8" ht="15" customHeight="1" x14ac:dyDescent="0.25">
      <c r="A3265" s="5">
        <v>3259</v>
      </c>
      <c r="B3265" s="10" t="s">
        <v>6379</v>
      </c>
      <c r="C3265" s="10" t="s">
        <v>6380</v>
      </c>
      <c r="D3265" s="7">
        <v>81.66</v>
      </c>
      <c r="E3265" s="5">
        <v>32</v>
      </c>
      <c r="F3265" s="5">
        <v>18</v>
      </c>
      <c r="G3265" s="12">
        <f>SUM($D$7:D3265)</f>
        <v>10638671.331000034</v>
      </c>
      <c r="H3265" s="11">
        <f t="shared" si="50"/>
        <v>0.99737376568281688</v>
      </c>
    </row>
    <row r="3266" spans="1:8" ht="15" customHeight="1" x14ac:dyDescent="0.25">
      <c r="A3266" s="5">
        <v>3260</v>
      </c>
      <c r="B3266" s="10" t="s">
        <v>6381</v>
      </c>
      <c r="C3266" s="10" t="s">
        <v>6382</v>
      </c>
      <c r="D3266" s="7">
        <v>80.959999999999994</v>
      </c>
      <c r="E3266" s="5">
        <v>127</v>
      </c>
      <c r="F3266" s="5">
        <v>12</v>
      </c>
      <c r="G3266" s="12">
        <f>SUM($D$7:D3266)</f>
        <v>10638752.291000035</v>
      </c>
      <c r="H3266" s="11">
        <f t="shared" si="50"/>
        <v>0.99738135567009611</v>
      </c>
    </row>
    <row r="3267" spans="1:8" ht="15" customHeight="1" x14ac:dyDescent="0.25">
      <c r="A3267" s="5">
        <v>3261</v>
      </c>
      <c r="B3267" s="10" t="s">
        <v>6383</v>
      </c>
      <c r="C3267" s="10" t="s">
        <v>6384</v>
      </c>
      <c r="D3267" s="7">
        <v>80.55</v>
      </c>
      <c r="E3267" s="5">
        <v>9</v>
      </c>
      <c r="F3267" s="5">
        <v>6</v>
      </c>
      <c r="G3267" s="12">
        <f>SUM($D$7:D3267)</f>
        <v>10638832.841000035</v>
      </c>
      <c r="H3267" s="11">
        <f t="shared" si="50"/>
        <v>0.99738890721993978</v>
      </c>
    </row>
    <row r="3268" spans="1:8" ht="15" customHeight="1" x14ac:dyDescent="0.25">
      <c r="A3268" s="5">
        <v>3262</v>
      </c>
      <c r="B3268" s="10" t="s">
        <v>6385</v>
      </c>
      <c r="C3268" s="10" t="s">
        <v>6386</v>
      </c>
      <c r="D3268" s="7">
        <v>80.459999999999994</v>
      </c>
      <c r="E3268" s="5">
        <v>174</v>
      </c>
      <c r="F3268" s="5">
        <v>27</v>
      </c>
      <c r="G3268" s="12">
        <f>SUM($D$7:D3268)</f>
        <v>10638913.301000036</v>
      </c>
      <c r="H3268" s="11">
        <f t="shared" si="50"/>
        <v>0.99739645033229762</v>
      </c>
    </row>
    <row r="3269" spans="1:8" ht="15" customHeight="1" x14ac:dyDescent="0.25">
      <c r="A3269" s="5">
        <v>3263</v>
      </c>
      <c r="B3269" s="10" t="s">
        <v>6387</v>
      </c>
      <c r="C3269" s="10" t="s">
        <v>6388</v>
      </c>
      <c r="D3269" s="7">
        <v>80.16</v>
      </c>
      <c r="E3269" s="5">
        <v>59</v>
      </c>
      <c r="F3269" s="5">
        <v>13</v>
      </c>
      <c r="G3269" s="12">
        <f>SUM($D$7:D3269)</f>
        <v>10638993.461000036</v>
      </c>
      <c r="H3269" s="11">
        <f t="shared" si="50"/>
        <v>0.99740396531970255</v>
      </c>
    </row>
    <row r="3270" spans="1:8" ht="15" customHeight="1" x14ac:dyDescent="0.25">
      <c r="A3270" s="5">
        <v>3264</v>
      </c>
      <c r="B3270" s="10" t="s">
        <v>2158</v>
      </c>
      <c r="C3270" s="10" t="s">
        <v>6389</v>
      </c>
      <c r="D3270" s="7">
        <v>80</v>
      </c>
      <c r="E3270" s="5">
        <v>64</v>
      </c>
      <c r="F3270" s="5">
        <v>3</v>
      </c>
      <c r="G3270" s="12">
        <f>SUM($D$7:D3270)</f>
        <v>10639073.461000036</v>
      </c>
      <c r="H3270" s="11">
        <f t="shared" si="50"/>
        <v>0.99741146530713254</v>
      </c>
    </row>
    <row r="3271" spans="1:8" ht="15" customHeight="1" x14ac:dyDescent="0.25">
      <c r="A3271" s="5">
        <v>3265</v>
      </c>
      <c r="B3271" s="10" t="s">
        <v>6390</v>
      </c>
      <c r="C3271" s="10" t="s">
        <v>6391</v>
      </c>
      <c r="D3271" s="7">
        <v>79.760000000000005</v>
      </c>
      <c r="E3271" s="5">
        <v>35</v>
      </c>
      <c r="F3271" s="5">
        <v>16</v>
      </c>
      <c r="G3271" s="12">
        <f>SUM($D$7:D3271)</f>
        <v>10639153.221000036</v>
      </c>
      <c r="H3271" s="11">
        <f t="shared" ref="H3271:H3334" si="51">G3271/SUM($D$7:$D$4167)</f>
        <v>0.99741894279460019</v>
      </c>
    </row>
    <row r="3272" spans="1:8" ht="15" customHeight="1" x14ac:dyDescent="0.25">
      <c r="A3272" s="5">
        <v>3266</v>
      </c>
      <c r="B3272" s="10" t="s">
        <v>6392</v>
      </c>
      <c r="C3272" s="10" t="s">
        <v>6393</v>
      </c>
      <c r="D3272" s="7">
        <v>79.66</v>
      </c>
      <c r="E3272" s="5">
        <v>8</v>
      </c>
      <c r="F3272" s="5">
        <v>6</v>
      </c>
      <c r="G3272" s="12">
        <f>SUM($D$7:D3272)</f>
        <v>10639232.881000036</v>
      </c>
      <c r="H3272" s="11">
        <f t="shared" si="51"/>
        <v>0.99742641090708373</v>
      </c>
    </row>
    <row r="3273" spans="1:8" ht="15" customHeight="1" x14ac:dyDescent="0.25">
      <c r="A3273" s="5">
        <v>3267</v>
      </c>
      <c r="B3273" s="10" t="s">
        <v>6394</v>
      </c>
      <c r="C3273" s="10" t="s">
        <v>6395</v>
      </c>
      <c r="D3273" s="7">
        <v>79.650000000000006</v>
      </c>
      <c r="E3273" s="5">
        <v>27</v>
      </c>
      <c r="F3273" s="5">
        <v>10</v>
      </c>
      <c r="G3273" s="12">
        <f>SUM($D$7:D3273)</f>
        <v>10639312.531000037</v>
      </c>
      <c r="H3273" s="11">
        <f t="shared" si="51"/>
        <v>0.99743387808206874</v>
      </c>
    </row>
    <row r="3274" spans="1:8" ht="15" customHeight="1" x14ac:dyDescent="0.25">
      <c r="A3274" s="5">
        <v>3268</v>
      </c>
      <c r="B3274" s="10" t="s">
        <v>6396</v>
      </c>
      <c r="C3274" s="10" t="s">
        <v>6397</v>
      </c>
      <c r="D3274" s="7">
        <v>79.05</v>
      </c>
      <c r="E3274" s="5">
        <v>17</v>
      </c>
      <c r="F3274" s="5">
        <v>5</v>
      </c>
      <c r="G3274" s="12">
        <f>SUM($D$7:D3274)</f>
        <v>10639391.581000037</v>
      </c>
      <c r="H3274" s="11">
        <f t="shared" si="51"/>
        <v>0.99744128900714812</v>
      </c>
    </row>
    <row r="3275" spans="1:8" ht="15" customHeight="1" x14ac:dyDescent="0.25">
      <c r="A3275" s="5">
        <v>3269</v>
      </c>
      <c r="B3275" s="10" t="s">
        <v>6398</v>
      </c>
      <c r="C3275" s="10" t="s">
        <v>6399</v>
      </c>
      <c r="D3275" s="7">
        <v>78.930000000000007</v>
      </c>
      <c r="E3275" s="5">
        <v>53</v>
      </c>
      <c r="F3275" s="5">
        <v>8</v>
      </c>
      <c r="G3275" s="12">
        <f>SUM($D$7:D3275)</f>
        <v>10639470.511000037</v>
      </c>
      <c r="H3275" s="11">
        <f t="shared" si="51"/>
        <v>0.99744868868224623</v>
      </c>
    </row>
    <row r="3276" spans="1:8" ht="15" customHeight="1" x14ac:dyDescent="0.25">
      <c r="A3276" s="5">
        <v>3270</v>
      </c>
      <c r="B3276" s="10" t="s">
        <v>6400</v>
      </c>
      <c r="C3276" s="10" t="s">
        <v>6401</v>
      </c>
      <c r="D3276" s="7">
        <v>78.75</v>
      </c>
      <c r="E3276" s="5">
        <v>21</v>
      </c>
      <c r="F3276" s="5">
        <v>11</v>
      </c>
      <c r="G3276" s="12">
        <f>SUM($D$7:D3276)</f>
        <v>10639549.261000037</v>
      </c>
      <c r="H3276" s="11">
        <f t="shared" si="51"/>
        <v>0.9974560714823727</v>
      </c>
    </row>
    <row r="3277" spans="1:8" ht="15" customHeight="1" x14ac:dyDescent="0.25">
      <c r="A3277" s="5">
        <v>3271</v>
      </c>
      <c r="B3277" s="10" t="s">
        <v>6402</v>
      </c>
      <c r="C3277" s="10" t="s">
        <v>6403</v>
      </c>
      <c r="D3277" s="7">
        <v>78.69</v>
      </c>
      <c r="E3277" s="5">
        <v>21</v>
      </c>
      <c r="F3277" s="5">
        <v>9</v>
      </c>
      <c r="G3277" s="12">
        <f>SUM($D$7:D3277)</f>
        <v>10639627.951000037</v>
      </c>
      <c r="H3277" s="11">
        <f t="shared" si="51"/>
        <v>0.99746344865750847</v>
      </c>
    </row>
    <row r="3278" spans="1:8" ht="15" customHeight="1" x14ac:dyDescent="0.25">
      <c r="A3278" s="5">
        <v>3272</v>
      </c>
      <c r="B3278" s="10" t="s">
        <v>6404</v>
      </c>
      <c r="C3278" s="10" t="s">
        <v>6405</v>
      </c>
      <c r="D3278" s="7">
        <v>78.17</v>
      </c>
      <c r="E3278" s="5">
        <v>12</v>
      </c>
      <c r="F3278" s="5">
        <v>7</v>
      </c>
      <c r="G3278" s="12">
        <f>SUM($D$7:D3278)</f>
        <v>10639706.121000037</v>
      </c>
      <c r="H3278" s="11">
        <f t="shared" si="51"/>
        <v>0.99747077708272602</v>
      </c>
    </row>
    <row r="3279" spans="1:8" ht="15" customHeight="1" x14ac:dyDescent="0.25">
      <c r="A3279" s="5">
        <v>3273</v>
      </c>
      <c r="B3279" s="10" t="s">
        <v>6406</v>
      </c>
      <c r="C3279" s="10" t="s">
        <v>6407</v>
      </c>
      <c r="D3279" s="7">
        <v>78.09</v>
      </c>
      <c r="E3279" s="5">
        <v>131</v>
      </c>
      <c r="F3279" s="5">
        <v>21</v>
      </c>
      <c r="G3279" s="12">
        <f>SUM($D$7:D3279)</f>
        <v>10639784.211000036</v>
      </c>
      <c r="H3279" s="11">
        <f t="shared" si="51"/>
        <v>0.99747809800795617</v>
      </c>
    </row>
    <row r="3280" spans="1:8" ht="15" customHeight="1" x14ac:dyDescent="0.25">
      <c r="A3280" s="5">
        <v>3274</v>
      </c>
      <c r="B3280" s="10" t="s">
        <v>6408</v>
      </c>
      <c r="C3280" s="10" t="s">
        <v>6409</v>
      </c>
      <c r="D3280" s="7">
        <v>77.91</v>
      </c>
      <c r="E3280" s="5">
        <v>13</v>
      </c>
      <c r="F3280" s="5">
        <v>8</v>
      </c>
      <c r="G3280" s="12">
        <f>SUM($D$7:D3280)</f>
        <v>10639862.121000037</v>
      </c>
      <c r="H3280" s="11">
        <f t="shared" si="51"/>
        <v>0.99748540205821457</v>
      </c>
    </row>
    <row r="3281" spans="1:8" ht="15" customHeight="1" x14ac:dyDescent="0.25">
      <c r="A3281" s="5">
        <v>3275</v>
      </c>
      <c r="B3281" s="10" t="s">
        <v>6410</v>
      </c>
      <c r="C3281" s="10" t="s">
        <v>6411</v>
      </c>
      <c r="D3281" s="7">
        <v>77.790000000000006</v>
      </c>
      <c r="E3281" s="5">
        <v>102</v>
      </c>
      <c r="F3281" s="5">
        <v>28</v>
      </c>
      <c r="G3281" s="12">
        <f>SUM($D$7:D3281)</f>
        <v>10639939.911000036</v>
      </c>
      <c r="H3281" s="11">
        <f t="shared" si="51"/>
        <v>0.99749269485849179</v>
      </c>
    </row>
    <row r="3282" spans="1:8" ht="15" customHeight="1" x14ac:dyDescent="0.25">
      <c r="A3282" s="5">
        <v>3276</v>
      </c>
      <c r="B3282" s="10" t="s">
        <v>1442</v>
      </c>
      <c r="C3282" s="10" t="s">
        <v>6412</v>
      </c>
      <c r="D3282" s="7">
        <v>77.400000000000006</v>
      </c>
      <c r="E3282" s="5">
        <v>60</v>
      </c>
      <c r="F3282" s="5">
        <v>2</v>
      </c>
      <c r="G3282" s="12">
        <f>SUM($D$7:D3282)</f>
        <v>10640017.311000036</v>
      </c>
      <c r="H3282" s="11">
        <f t="shared" si="51"/>
        <v>0.99749995109633027</v>
      </c>
    </row>
    <row r="3283" spans="1:8" ht="15" customHeight="1" x14ac:dyDescent="0.25">
      <c r="A3283" s="5">
        <v>3277</v>
      </c>
      <c r="B3283" s="10" t="s">
        <v>6413</v>
      </c>
      <c r="C3283" s="10" t="s">
        <v>6414</v>
      </c>
      <c r="D3283" s="7">
        <v>77.040000000000006</v>
      </c>
      <c r="E3283" s="5">
        <v>42</v>
      </c>
      <c r="F3283" s="5">
        <v>14</v>
      </c>
      <c r="G3283" s="12">
        <f>SUM($D$7:D3283)</f>
        <v>10640094.351000035</v>
      </c>
      <c r="H3283" s="11">
        <f t="shared" si="51"/>
        <v>0.99750717358422536</v>
      </c>
    </row>
    <row r="3284" spans="1:8" ht="15" customHeight="1" x14ac:dyDescent="0.25">
      <c r="A3284" s="5">
        <v>3278</v>
      </c>
      <c r="B3284" s="10" t="s">
        <v>6415</v>
      </c>
      <c r="C3284" s="10" t="s">
        <v>6416</v>
      </c>
      <c r="D3284" s="7">
        <v>76.91</v>
      </c>
      <c r="E3284" s="5">
        <v>79</v>
      </c>
      <c r="F3284" s="5">
        <v>20</v>
      </c>
      <c r="G3284" s="12">
        <f>SUM($D$7:D3284)</f>
        <v>10640171.261000035</v>
      </c>
      <c r="H3284" s="11">
        <f t="shared" si="51"/>
        <v>0.99751438388464087</v>
      </c>
    </row>
    <row r="3285" spans="1:8" ht="15" customHeight="1" x14ac:dyDescent="0.25">
      <c r="A3285" s="5">
        <v>3279</v>
      </c>
      <c r="B3285" s="10" t="s">
        <v>6417</v>
      </c>
      <c r="C3285" s="10" t="s">
        <v>6418</v>
      </c>
      <c r="D3285" s="7">
        <v>76.69</v>
      </c>
      <c r="E3285" s="5">
        <v>147</v>
      </c>
      <c r="F3285" s="5">
        <v>29</v>
      </c>
      <c r="G3285" s="12">
        <f>SUM($D$7:D3285)</f>
        <v>10640247.951000035</v>
      </c>
      <c r="H3285" s="11">
        <f t="shared" si="51"/>
        <v>0.99752157356009097</v>
      </c>
    </row>
    <row r="3286" spans="1:8" ht="15" customHeight="1" x14ac:dyDescent="0.25">
      <c r="A3286" s="5">
        <v>3280</v>
      </c>
      <c r="B3286" s="10" t="s">
        <v>6419</v>
      </c>
      <c r="C3286" s="10" t="s">
        <v>6420</v>
      </c>
      <c r="D3286" s="7">
        <v>76.5</v>
      </c>
      <c r="E3286" s="5">
        <v>18</v>
      </c>
      <c r="F3286" s="5">
        <v>6</v>
      </c>
      <c r="G3286" s="12">
        <f>SUM($D$7:D3286)</f>
        <v>10640324.451000035</v>
      </c>
      <c r="H3286" s="11">
        <f t="shared" si="51"/>
        <v>0.99752874542307091</v>
      </c>
    </row>
    <row r="3287" spans="1:8" ht="15" customHeight="1" x14ac:dyDescent="0.25">
      <c r="A3287" s="5">
        <v>3281</v>
      </c>
      <c r="B3287" s="10" t="s">
        <v>6421</v>
      </c>
      <c r="C3287" s="10" t="s">
        <v>6422</v>
      </c>
      <c r="D3287" s="7">
        <v>76.44</v>
      </c>
      <c r="E3287" s="5">
        <v>6</v>
      </c>
      <c r="F3287" s="5">
        <v>6</v>
      </c>
      <c r="G3287" s="12">
        <f>SUM($D$7:D3287)</f>
        <v>10640400.891000034</v>
      </c>
      <c r="H3287" s="11">
        <f t="shared" si="51"/>
        <v>0.99753591166106026</v>
      </c>
    </row>
    <row r="3288" spans="1:8" ht="15" customHeight="1" x14ac:dyDescent="0.25">
      <c r="A3288" s="5">
        <v>3282</v>
      </c>
      <c r="B3288" s="10" t="s">
        <v>6423</v>
      </c>
      <c r="C3288" s="10" t="s">
        <v>6424</v>
      </c>
      <c r="D3288" s="7">
        <v>76.38</v>
      </c>
      <c r="E3288" s="5">
        <v>27</v>
      </c>
      <c r="F3288" s="5">
        <v>16</v>
      </c>
      <c r="G3288" s="12">
        <f>SUM($D$7:D3288)</f>
        <v>10640477.271000035</v>
      </c>
      <c r="H3288" s="11">
        <f t="shared" si="51"/>
        <v>0.99754307227405914</v>
      </c>
    </row>
    <row r="3289" spans="1:8" ht="15" customHeight="1" x14ac:dyDescent="0.25">
      <c r="A3289" s="5">
        <v>3283</v>
      </c>
      <c r="B3289" s="10" t="s">
        <v>6425</v>
      </c>
      <c r="C3289" s="10" t="s">
        <v>6426</v>
      </c>
      <c r="D3289" s="7">
        <v>76.319999999999993</v>
      </c>
      <c r="E3289" s="5">
        <v>9</v>
      </c>
      <c r="F3289" s="5">
        <v>6</v>
      </c>
      <c r="G3289" s="12">
        <f>SUM($D$7:D3289)</f>
        <v>10640553.591000035</v>
      </c>
      <c r="H3289" s="11">
        <f t="shared" si="51"/>
        <v>0.99755022726206743</v>
      </c>
    </row>
    <row r="3290" spans="1:8" ht="15" customHeight="1" x14ac:dyDescent="0.25">
      <c r="A3290" s="5">
        <v>3284</v>
      </c>
      <c r="B3290" s="10" t="s">
        <v>6427</v>
      </c>
      <c r="C3290" s="10" t="s">
        <v>6428</v>
      </c>
      <c r="D3290" s="7">
        <v>76.23</v>
      </c>
      <c r="E3290" s="5">
        <v>26</v>
      </c>
      <c r="F3290" s="5">
        <v>14</v>
      </c>
      <c r="G3290" s="12">
        <f>SUM($D$7:D3290)</f>
        <v>10640629.821000036</v>
      </c>
      <c r="H3290" s="11">
        <f t="shared" si="51"/>
        <v>0.9975573738125898</v>
      </c>
    </row>
    <row r="3291" spans="1:8" ht="15" customHeight="1" x14ac:dyDescent="0.25">
      <c r="A3291" s="5">
        <v>3285</v>
      </c>
      <c r="B3291" s="10" t="s">
        <v>6429</v>
      </c>
      <c r="C3291" s="10" t="s">
        <v>6430</v>
      </c>
      <c r="D3291" s="7">
        <v>76.14</v>
      </c>
      <c r="E3291" s="5">
        <v>29</v>
      </c>
      <c r="F3291" s="5">
        <v>18</v>
      </c>
      <c r="G3291" s="12">
        <f>SUM($D$7:D3291)</f>
        <v>10640705.961000036</v>
      </c>
      <c r="H3291" s="11">
        <f t="shared" si="51"/>
        <v>0.99756451192562645</v>
      </c>
    </row>
    <row r="3292" spans="1:8" ht="15" customHeight="1" x14ac:dyDescent="0.25">
      <c r="A3292" s="5">
        <v>3286</v>
      </c>
      <c r="B3292" s="10" t="s">
        <v>6431</v>
      </c>
      <c r="C3292" s="10" t="s">
        <v>6432</v>
      </c>
      <c r="D3292" s="7">
        <v>75.599999999999994</v>
      </c>
      <c r="E3292" s="5">
        <v>36</v>
      </c>
      <c r="F3292" s="5">
        <v>5</v>
      </c>
      <c r="G3292" s="12">
        <f>SUM($D$7:D3292)</f>
        <v>10640781.561000036</v>
      </c>
      <c r="H3292" s="11">
        <f t="shared" si="51"/>
        <v>0.99757159941374773</v>
      </c>
    </row>
    <row r="3293" spans="1:8" ht="15" customHeight="1" x14ac:dyDescent="0.25">
      <c r="A3293" s="5">
        <v>3287</v>
      </c>
      <c r="B3293" s="10" t="s">
        <v>3112</v>
      </c>
      <c r="C3293" s="10" t="s">
        <v>6433</v>
      </c>
      <c r="D3293" s="7">
        <v>75.42</v>
      </c>
      <c r="E3293" s="5">
        <v>51</v>
      </c>
      <c r="F3293" s="5">
        <v>8</v>
      </c>
      <c r="G3293" s="12">
        <f>SUM($D$7:D3293)</f>
        <v>10640856.981000036</v>
      </c>
      <c r="H3293" s="11">
        <f t="shared" si="51"/>
        <v>0.99757867002689737</v>
      </c>
    </row>
    <row r="3294" spans="1:8" ht="15" customHeight="1" x14ac:dyDescent="0.25">
      <c r="A3294" s="5">
        <v>3288</v>
      </c>
      <c r="B3294" s="10" t="s">
        <v>6434</v>
      </c>
      <c r="C3294" s="10" t="s">
        <v>6435</v>
      </c>
      <c r="D3294" s="7">
        <v>75.349999999999994</v>
      </c>
      <c r="E3294" s="5">
        <v>86</v>
      </c>
      <c r="F3294" s="5">
        <v>25</v>
      </c>
      <c r="G3294" s="12">
        <f>SUM($D$7:D3294)</f>
        <v>10640932.331000036</v>
      </c>
      <c r="H3294" s="11">
        <f t="shared" si="51"/>
        <v>0.99758573407755802</v>
      </c>
    </row>
    <row r="3295" spans="1:8" ht="15" customHeight="1" x14ac:dyDescent="0.25">
      <c r="A3295" s="5">
        <v>3289</v>
      </c>
      <c r="B3295" s="10" t="s">
        <v>6436</v>
      </c>
      <c r="C3295" s="10" t="s">
        <v>6437</v>
      </c>
      <c r="D3295" s="7">
        <v>75.02</v>
      </c>
      <c r="E3295" s="5">
        <v>48</v>
      </c>
      <c r="F3295" s="5">
        <v>17</v>
      </c>
      <c r="G3295" s="12">
        <f>SUM($D$7:D3295)</f>
        <v>10641007.351000035</v>
      </c>
      <c r="H3295" s="11">
        <f t="shared" si="51"/>
        <v>0.9975927671907705</v>
      </c>
    </row>
    <row r="3296" spans="1:8" ht="15" customHeight="1" x14ac:dyDescent="0.25">
      <c r="A3296" s="5">
        <v>3290</v>
      </c>
      <c r="B3296" s="10" t="s">
        <v>2934</v>
      </c>
      <c r="C3296" s="10" t="s">
        <v>6438</v>
      </c>
      <c r="D3296" s="7">
        <v>75</v>
      </c>
      <c r="E3296" s="5">
        <v>60</v>
      </c>
      <c r="F3296" s="5">
        <v>4</v>
      </c>
      <c r="G3296" s="12">
        <f>SUM($D$7:D3296)</f>
        <v>10641082.351000035</v>
      </c>
      <c r="H3296" s="11">
        <f t="shared" si="51"/>
        <v>0.99759979842898605</v>
      </c>
    </row>
    <row r="3297" spans="1:8" ht="15" customHeight="1" x14ac:dyDescent="0.25">
      <c r="A3297" s="5">
        <v>3291</v>
      </c>
      <c r="B3297" s="10" t="s">
        <v>6439</v>
      </c>
      <c r="C3297" s="10" t="s">
        <v>6440</v>
      </c>
      <c r="D3297" s="7">
        <v>74.97</v>
      </c>
      <c r="E3297" s="5">
        <v>9</v>
      </c>
      <c r="F3297" s="5">
        <v>8</v>
      </c>
      <c r="G3297" s="12">
        <f>SUM($D$7:D3297)</f>
        <v>10641157.321000036</v>
      </c>
      <c r="H3297" s="11">
        <f t="shared" si="51"/>
        <v>0.99760682685470647</v>
      </c>
    </row>
    <row r="3298" spans="1:8" ht="15" customHeight="1" x14ac:dyDescent="0.25">
      <c r="A3298" s="5">
        <v>3292</v>
      </c>
      <c r="B3298" s="10" t="s">
        <v>6441</v>
      </c>
      <c r="C3298" s="10" t="s">
        <v>2496</v>
      </c>
      <c r="D3298" s="7">
        <v>74.88</v>
      </c>
      <c r="E3298" s="5">
        <v>3</v>
      </c>
      <c r="F3298" s="5">
        <v>3</v>
      </c>
      <c r="G3298" s="12">
        <f>SUM($D$7:D3298)</f>
        <v>10641232.201000037</v>
      </c>
      <c r="H3298" s="11">
        <f t="shared" si="51"/>
        <v>0.99761384684294108</v>
      </c>
    </row>
    <row r="3299" spans="1:8" ht="15" customHeight="1" x14ac:dyDescent="0.25">
      <c r="A3299" s="5">
        <v>3293</v>
      </c>
      <c r="B3299" s="10" t="s">
        <v>6442</v>
      </c>
      <c r="C3299" s="10" t="s">
        <v>6443</v>
      </c>
      <c r="D3299" s="7">
        <v>74.7</v>
      </c>
      <c r="E3299" s="5">
        <v>270</v>
      </c>
      <c r="F3299" s="5">
        <v>53</v>
      </c>
      <c r="G3299" s="12">
        <f>SUM($D$7:D3299)</f>
        <v>10641306.901000036</v>
      </c>
      <c r="H3299" s="11">
        <f t="shared" si="51"/>
        <v>0.99762084995620381</v>
      </c>
    </row>
    <row r="3300" spans="1:8" ht="15" customHeight="1" x14ac:dyDescent="0.25">
      <c r="A3300" s="5">
        <v>3294</v>
      </c>
      <c r="B3300" s="10" t="s">
        <v>2297</v>
      </c>
      <c r="C3300" s="10" t="s">
        <v>6444</v>
      </c>
      <c r="D3300" s="7">
        <v>74.7</v>
      </c>
      <c r="E3300" s="5">
        <v>30</v>
      </c>
      <c r="F3300" s="5">
        <v>6</v>
      </c>
      <c r="G3300" s="12">
        <f>SUM($D$7:D3300)</f>
        <v>10641381.601000035</v>
      </c>
      <c r="H3300" s="11">
        <f t="shared" si="51"/>
        <v>0.99762785306946655</v>
      </c>
    </row>
    <row r="3301" spans="1:8" ht="15" customHeight="1" x14ac:dyDescent="0.25">
      <c r="A3301" s="5">
        <v>3295</v>
      </c>
      <c r="B3301" s="10" t="s">
        <v>4936</v>
      </c>
      <c r="C3301" s="10" t="s">
        <v>6445</v>
      </c>
      <c r="D3301" s="7">
        <v>74.7</v>
      </c>
      <c r="E3301" s="5">
        <v>18</v>
      </c>
      <c r="F3301" s="5">
        <v>5</v>
      </c>
      <c r="G3301" s="12">
        <f>SUM($D$7:D3301)</f>
        <v>10641456.301000034</v>
      </c>
      <c r="H3301" s="11">
        <f t="shared" si="51"/>
        <v>0.99763485618272929</v>
      </c>
    </row>
    <row r="3302" spans="1:8" ht="15" customHeight="1" x14ac:dyDescent="0.25">
      <c r="A3302" s="5">
        <v>3296</v>
      </c>
      <c r="B3302" s="10" t="s">
        <v>6446</v>
      </c>
      <c r="C3302" s="10" t="s">
        <v>6447</v>
      </c>
      <c r="D3302" s="7">
        <v>74.64</v>
      </c>
      <c r="E3302" s="5">
        <v>30</v>
      </c>
      <c r="F3302" s="5">
        <v>19</v>
      </c>
      <c r="G3302" s="12">
        <f>SUM($D$7:D3302)</f>
        <v>10641530.941000035</v>
      </c>
      <c r="H3302" s="11">
        <f t="shared" si="51"/>
        <v>0.99764185367100155</v>
      </c>
    </row>
    <row r="3303" spans="1:8" ht="15" customHeight="1" x14ac:dyDescent="0.25">
      <c r="A3303" s="5">
        <v>3297</v>
      </c>
      <c r="B3303" s="10" t="s">
        <v>6448</v>
      </c>
      <c r="C3303" s="10" t="s">
        <v>6449</v>
      </c>
      <c r="D3303" s="7">
        <v>74.64</v>
      </c>
      <c r="E3303" s="5">
        <v>68</v>
      </c>
      <c r="F3303" s="5">
        <v>10</v>
      </c>
      <c r="G3303" s="12">
        <f>SUM($D$7:D3303)</f>
        <v>10641605.581000036</v>
      </c>
      <c r="H3303" s="11">
        <f t="shared" si="51"/>
        <v>0.99764885115927382</v>
      </c>
    </row>
    <row r="3304" spans="1:8" ht="15" customHeight="1" x14ac:dyDescent="0.25">
      <c r="A3304" s="5">
        <v>3298</v>
      </c>
      <c r="B3304" s="10" t="s">
        <v>6450</v>
      </c>
      <c r="C3304" s="10" t="s">
        <v>3075</v>
      </c>
      <c r="D3304" s="7">
        <v>74.61</v>
      </c>
      <c r="E3304" s="5">
        <v>9</v>
      </c>
      <c r="F3304" s="5">
        <v>9</v>
      </c>
      <c r="G3304" s="12">
        <f>SUM($D$7:D3304)</f>
        <v>10641680.191000035</v>
      </c>
      <c r="H3304" s="11">
        <f t="shared" si="51"/>
        <v>0.99765584583505063</v>
      </c>
    </row>
    <row r="3305" spans="1:8" ht="15" customHeight="1" x14ac:dyDescent="0.25">
      <c r="A3305" s="5">
        <v>3299</v>
      </c>
      <c r="B3305" s="10" t="s">
        <v>6451</v>
      </c>
      <c r="C3305" s="10" t="s">
        <v>6452</v>
      </c>
      <c r="D3305" s="7">
        <v>74.58</v>
      </c>
      <c r="E3305" s="5">
        <v>90</v>
      </c>
      <c r="F3305" s="5">
        <v>9</v>
      </c>
      <c r="G3305" s="12">
        <f>SUM($D$7:D3305)</f>
        <v>10641754.771000035</v>
      </c>
      <c r="H3305" s="11">
        <f t="shared" si="51"/>
        <v>0.99766283769833231</v>
      </c>
    </row>
    <row r="3306" spans="1:8" ht="15" customHeight="1" x14ac:dyDescent="0.25">
      <c r="A3306" s="5">
        <v>3300</v>
      </c>
      <c r="B3306" s="10" t="s">
        <v>6453</v>
      </c>
      <c r="C3306" s="10" t="s">
        <v>6454</v>
      </c>
      <c r="D3306" s="7">
        <v>74.569999999999993</v>
      </c>
      <c r="E3306" s="5">
        <v>141</v>
      </c>
      <c r="F3306" s="5">
        <v>16</v>
      </c>
      <c r="G3306" s="12">
        <f>SUM($D$7:D3306)</f>
        <v>10641829.341000035</v>
      </c>
      <c r="H3306" s="11">
        <f t="shared" si="51"/>
        <v>0.99766982862411546</v>
      </c>
    </row>
    <row r="3307" spans="1:8" ht="15" customHeight="1" x14ac:dyDescent="0.25">
      <c r="A3307" s="5">
        <v>3301</v>
      </c>
      <c r="B3307" s="10" t="s">
        <v>6455</v>
      </c>
      <c r="C3307" s="10" t="s">
        <v>6456</v>
      </c>
      <c r="D3307" s="7">
        <v>74.53</v>
      </c>
      <c r="E3307" s="5">
        <v>45</v>
      </c>
      <c r="F3307" s="5">
        <v>27</v>
      </c>
      <c r="G3307" s="12">
        <f>SUM($D$7:D3307)</f>
        <v>10641903.871000035</v>
      </c>
      <c r="H3307" s="11">
        <f t="shared" si="51"/>
        <v>0.99767681579990497</v>
      </c>
    </row>
    <row r="3308" spans="1:8" ht="15" customHeight="1" x14ac:dyDescent="0.25">
      <c r="A3308" s="5">
        <v>3302</v>
      </c>
      <c r="B3308" s="10" t="s">
        <v>2758</v>
      </c>
      <c r="C3308" s="10" t="s">
        <v>6457</v>
      </c>
      <c r="D3308" s="7">
        <v>74.430000000000007</v>
      </c>
      <c r="E3308" s="5">
        <v>42</v>
      </c>
      <c r="F3308" s="5">
        <v>6</v>
      </c>
      <c r="G3308" s="12">
        <f>SUM($D$7:D3308)</f>
        <v>10641978.301000034</v>
      </c>
      <c r="H3308" s="11">
        <f t="shared" si="51"/>
        <v>0.99768379360071013</v>
      </c>
    </row>
    <row r="3309" spans="1:8" ht="15" customHeight="1" x14ac:dyDescent="0.25">
      <c r="A3309" s="5">
        <v>3303</v>
      </c>
      <c r="B3309" s="10" t="s">
        <v>6458</v>
      </c>
      <c r="C3309" s="10" t="s">
        <v>6459</v>
      </c>
      <c r="D3309" s="7">
        <v>74.25</v>
      </c>
      <c r="E3309" s="5">
        <v>15</v>
      </c>
      <c r="F3309" s="5">
        <v>8</v>
      </c>
      <c r="G3309" s="12">
        <f>SUM($D$7:D3309)</f>
        <v>10642052.551000034</v>
      </c>
      <c r="H3309" s="11">
        <f t="shared" si="51"/>
        <v>0.99769075452654365</v>
      </c>
    </row>
    <row r="3310" spans="1:8" ht="15" customHeight="1" x14ac:dyDescent="0.25">
      <c r="A3310" s="5">
        <v>3304</v>
      </c>
      <c r="B3310" s="10" t="s">
        <v>6460</v>
      </c>
      <c r="C3310" s="10" t="s">
        <v>6461</v>
      </c>
      <c r="D3310" s="7">
        <v>73.95</v>
      </c>
      <c r="E3310" s="5">
        <v>29</v>
      </c>
      <c r="F3310" s="5">
        <v>10</v>
      </c>
      <c r="G3310" s="12">
        <f>SUM($D$7:D3310)</f>
        <v>10642126.501000034</v>
      </c>
      <c r="H3310" s="11">
        <f t="shared" si="51"/>
        <v>0.99769768732742414</v>
      </c>
    </row>
    <row r="3311" spans="1:8" ht="15" customHeight="1" x14ac:dyDescent="0.25">
      <c r="A3311" s="5">
        <v>3305</v>
      </c>
      <c r="B3311" s="10" t="s">
        <v>6462</v>
      </c>
      <c r="C3311" s="10" t="s">
        <v>6463</v>
      </c>
      <c r="D3311" s="7">
        <v>73.53</v>
      </c>
      <c r="E3311" s="5">
        <v>25</v>
      </c>
      <c r="F3311" s="5">
        <v>14</v>
      </c>
      <c r="G3311" s="12">
        <f>SUM($D$7:D3311)</f>
        <v>10642200.031000033</v>
      </c>
      <c r="H3311" s="11">
        <f t="shared" si="51"/>
        <v>0.99770458075337076</v>
      </c>
    </row>
    <row r="3312" spans="1:8" ht="15" customHeight="1" x14ac:dyDescent="0.25">
      <c r="A3312" s="5">
        <v>3306</v>
      </c>
      <c r="B3312" s="10" t="s">
        <v>6464</v>
      </c>
      <c r="C3312" s="10" t="s">
        <v>6465</v>
      </c>
      <c r="D3312" s="7">
        <v>73.5</v>
      </c>
      <c r="E3312" s="5">
        <v>35</v>
      </c>
      <c r="F3312" s="5">
        <v>19</v>
      </c>
      <c r="G3312" s="12">
        <f>SUM($D$7:D3312)</f>
        <v>10642273.531000033</v>
      </c>
      <c r="H3312" s="11">
        <f t="shared" si="51"/>
        <v>0.99771147136682203</v>
      </c>
    </row>
    <row r="3313" spans="1:8" ht="15" customHeight="1" x14ac:dyDescent="0.25">
      <c r="A3313" s="5">
        <v>3307</v>
      </c>
      <c r="B3313" s="10" t="s">
        <v>6466</v>
      </c>
      <c r="C3313" s="10" t="s">
        <v>6467</v>
      </c>
      <c r="D3313" s="7">
        <v>72.77</v>
      </c>
      <c r="E3313" s="5">
        <v>91</v>
      </c>
      <c r="F3313" s="5">
        <v>33</v>
      </c>
      <c r="G3313" s="12">
        <f>SUM($D$7:D3313)</f>
        <v>10642346.301000033</v>
      </c>
      <c r="H3313" s="11">
        <f t="shared" si="51"/>
        <v>0.99771829354288799</v>
      </c>
    </row>
    <row r="3314" spans="1:8" ht="15" customHeight="1" x14ac:dyDescent="0.25">
      <c r="A3314" s="5">
        <v>3308</v>
      </c>
      <c r="B3314" s="10" t="s">
        <v>6468</v>
      </c>
      <c r="C3314" s="10" t="s">
        <v>6469</v>
      </c>
      <c r="D3314" s="7">
        <v>72.66</v>
      </c>
      <c r="E3314" s="5">
        <v>29</v>
      </c>
      <c r="F3314" s="5">
        <v>16</v>
      </c>
      <c r="G3314" s="12">
        <f>SUM($D$7:D3314)</f>
        <v>10642418.961000033</v>
      </c>
      <c r="H3314" s="11">
        <f t="shared" si="51"/>
        <v>0.99772510540647141</v>
      </c>
    </row>
    <row r="3315" spans="1:8" ht="15" customHeight="1" x14ac:dyDescent="0.25">
      <c r="A3315" s="5">
        <v>3309</v>
      </c>
      <c r="B3315" s="10" t="s">
        <v>6470</v>
      </c>
      <c r="C3315" s="10" t="s">
        <v>6471</v>
      </c>
      <c r="D3315" s="7">
        <v>72.63</v>
      </c>
      <c r="E3315" s="5">
        <v>108</v>
      </c>
      <c r="F3315" s="5">
        <v>20</v>
      </c>
      <c r="G3315" s="12">
        <f>SUM($D$7:D3315)</f>
        <v>10642491.591000034</v>
      </c>
      <c r="H3315" s="11">
        <f t="shared" si="51"/>
        <v>0.99773191445755949</v>
      </c>
    </row>
    <row r="3316" spans="1:8" ht="15" customHeight="1" x14ac:dyDescent="0.25">
      <c r="A3316" s="5">
        <v>3310</v>
      </c>
      <c r="B3316" s="10" t="s">
        <v>6472</v>
      </c>
      <c r="C3316" s="10" t="s">
        <v>6473</v>
      </c>
      <c r="D3316" s="7">
        <v>72.489999999999995</v>
      </c>
      <c r="E3316" s="5">
        <v>29</v>
      </c>
      <c r="F3316" s="5">
        <v>10</v>
      </c>
      <c r="G3316" s="12">
        <f>SUM($D$7:D3316)</f>
        <v>10642564.081000034</v>
      </c>
      <c r="H3316" s="11">
        <f t="shared" si="51"/>
        <v>0.99773871038366957</v>
      </c>
    </row>
    <row r="3317" spans="1:8" ht="15" customHeight="1" x14ac:dyDescent="0.25">
      <c r="A3317" s="5">
        <v>3311</v>
      </c>
      <c r="B3317" s="10" t="s">
        <v>6474</v>
      </c>
      <c r="C3317" s="10" t="s">
        <v>6475</v>
      </c>
      <c r="D3317" s="7">
        <v>72.459999999999994</v>
      </c>
      <c r="E3317" s="5">
        <v>57</v>
      </c>
      <c r="F3317" s="5">
        <v>13</v>
      </c>
      <c r="G3317" s="12">
        <f>SUM($D$7:D3317)</f>
        <v>10642636.541000035</v>
      </c>
      <c r="H3317" s="11">
        <f t="shared" si="51"/>
        <v>0.9977455034972843</v>
      </c>
    </row>
    <row r="3318" spans="1:8" ht="15" customHeight="1" x14ac:dyDescent="0.25">
      <c r="A3318" s="5">
        <v>3312</v>
      </c>
      <c r="B3318" s="10" t="s">
        <v>6476</v>
      </c>
      <c r="C3318" s="10" t="s">
        <v>6477</v>
      </c>
      <c r="D3318" s="7">
        <v>72</v>
      </c>
      <c r="E3318" s="5">
        <v>72</v>
      </c>
      <c r="F3318" s="5">
        <v>7</v>
      </c>
      <c r="G3318" s="12">
        <f>SUM($D$7:D3318)</f>
        <v>10642708.541000035</v>
      </c>
      <c r="H3318" s="11">
        <f t="shared" si="51"/>
        <v>0.99775225348597141</v>
      </c>
    </row>
    <row r="3319" spans="1:8" ht="15" customHeight="1" x14ac:dyDescent="0.25">
      <c r="A3319" s="5">
        <v>3313</v>
      </c>
      <c r="B3319" s="10" t="s">
        <v>6478</v>
      </c>
      <c r="C3319" s="10" t="s">
        <v>6479</v>
      </c>
      <c r="D3319" s="7">
        <v>71.400000000000006</v>
      </c>
      <c r="E3319" s="5">
        <v>9</v>
      </c>
      <c r="F3319" s="5">
        <v>5</v>
      </c>
      <c r="G3319" s="12">
        <f>SUM($D$7:D3319)</f>
        <v>10642779.941000035</v>
      </c>
      <c r="H3319" s="11">
        <f t="shared" si="51"/>
        <v>0.99775894722475267</v>
      </c>
    </row>
    <row r="3320" spans="1:8" ht="15" customHeight="1" x14ac:dyDescent="0.25">
      <c r="A3320" s="5">
        <v>3314</v>
      </c>
      <c r="B3320" s="10" t="s">
        <v>755</v>
      </c>
      <c r="C3320" s="10" t="s">
        <v>6480</v>
      </c>
      <c r="D3320" s="7">
        <v>71.27</v>
      </c>
      <c r="E3320" s="5">
        <v>38</v>
      </c>
      <c r="F3320" s="5">
        <v>8</v>
      </c>
      <c r="G3320" s="12">
        <f>SUM($D$7:D3320)</f>
        <v>10642851.211000035</v>
      </c>
      <c r="H3320" s="11">
        <f t="shared" si="51"/>
        <v>0.99776562877605435</v>
      </c>
    </row>
    <row r="3321" spans="1:8" ht="15" customHeight="1" x14ac:dyDescent="0.25">
      <c r="A3321" s="5">
        <v>3315</v>
      </c>
      <c r="B3321" s="10" t="s">
        <v>6481</v>
      </c>
      <c r="C3321" s="10" t="s">
        <v>6482</v>
      </c>
      <c r="D3321" s="7">
        <v>71.19</v>
      </c>
      <c r="E3321" s="5">
        <v>155</v>
      </c>
      <c r="F3321" s="5">
        <v>8</v>
      </c>
      <c r="G3321" s="12">
        <f>SUM($D$7:D3321)</f>
        <v>10642922.401000034</v>
      </c>
      <c r="H3321" s="11">
        <f t="shared" si="51"/>
        <v>0.99777230282736862</v>
      </c>
    </row>
    <row r="3322" spans="1:8" ht="15" customHeight="1" x14ac:dyDescent="0.25">
      <c r="A3322" s="5">
        <v>3316</v>
      </c>
      <c r="B3322" s="10" t="s">
        <v>4318</v>
      </c>
      <c r="C3322" s="10" t="s">
        <v>6483</v>
      </c>
      <c r="D3322" s="7">
        <v>71.08</v>
      </c>
      <c r="E3322" s="5">
        <v>12</v>
      </c>
      <c r="F3322" s="5">
        <v>6</v>
      </c>
      <c r="G3322" s="12">
        <f>SUM($D$7:D3322)</f>
        <v>10642993.481000034</v>
      </c>
      <c r="H3322" s="11">
        <f t="shared" si="51"/>
        <v>0.99777896656620024</v>
      </c>
    </row>
    <row r="3323" spans="1:8" ht="15" customHeight="1" x14ac:dyDescent="0.25">
      <c r="A3323" s="5">
        <v>3317</v>
      </c>
      <c r="B3323" s="10" t="s">
        <v>6484</v>
      </c>
      <c r="C3323" s="10" t="s">
        <v>6485</v>
      </c>
      <c r="D3323" s="7">
        <v>71.05</v>
      </c>
      <c r="E3323" s="5">
        <v>23</v>
      </c>
      <c r="F3323" s="5">
        <v>9</v>
      </c>
      <c r="G3323" s="12">
        <f>SUM($D$7:D3323)</f>
        <v>10643064.531000035</v>
      </c>
      <c r="H3323" s="11">
        <f t="shared" si="51"/>
        <v>0.99778562749253652</v>
      </c>
    </row>
    <row r="3324" spans="1:8" ht="15" customHeight="1" x14ac:dyDescent="0.25">
      <c r="A3324" s="5">
        <v>3318</v>
      </c>
      <c r="B3324" s="10" t="s">
        <v>6486</v>
      </c>
      <c r="C3324" s="10" t="s">
        <v>6487</v>
      </c>
      <c r="D3324" s="7">
        <v>71</v>
      </c>
      <c r="E3324" s="5">
        <v>94</v>
      </c>
      <c r="F3324" s="5">
        <v>41</v>
      </c>
      <c r="G3324" s="12">
        <f>SUM($D$7:D3324)</f>
        <v>10643135.531000035</v>
      </c>
      <c r="H3324" s="11">
        <f t="shared" si="51"/>
        <v>0.99779228373138074</v>
      </c>
    </row>
    <row r="3325" spans="1:8" ht="15" customHeight="1" x14ac:dyDescent="0.25">
      <c r="A3325" s="5">
        <v>3319</v>
      </c>
      <c r="B3325" s="10" t="s">
        <v>6488</v>
      </c>
      <c r="C3325" s="10" t="s">
        <v>6489</v>
      </c>
      <c r="D3325" s="7">
        <v>70.97</v>
      </c>
      <c r="E3325" s="5">
        <v>12</v>
      </c>
      <c r="F3325" s="5">
        <v>8</v>
      </c>
      <c r="G3325" s="12">
        <f>SUM($D$7:D3325)</f>
        <v>10643206.501000036</v>
      </c>
      <c r="H3325" s="11">
        <f t="shared" si="51"/>
        <v>0.9977989371577296</v>
      </c>
    </row>
    <row r="3326" spans="1:8" ht="15" customHeight="1" x14ac:dyDescent="0.25">
      <c r="A3326" s="5">
        <v>3320</v>
      </c>
      <c r="B3326" s="10" t="s">
        <v>6490</v>
      </c>
      <c r="C3326" s="10" t="s">
        <v>6491</v>
      </c>
      <c r="D3326" s="7">
        <v>70.849999999999994</v>
      </c>
      <c r="E3326" s="5">
        <v>13</v>
      </c>
      <c r="F3326" s="5">
        <v>3</v>
      </c>
      <c r="G3326" s="12">
        <f>SUM($D$7:D3326)</f>
        <v>10643277.351000035</v>
      </c>
      <c r="H3326" s="11">
        <f t="shared" si="51"/>
        <v>0.9978055793340973</v>
      </c>
    </row>
    <row r="3327" spans="1:8" ht="15" customHeight="1" x14ac:dyDescent="0.25">
      <c r="A3327" s="5">
        <v>3321</v>
      </c>
      <c r="B3327" s="10" t="s">
        <v>6492</v>
      </c>
      <c r="C3327" s="10" t="s">
        <v>6493</v>
      </c>
      <c r="D3327" s="7">
        <v>70.78</v>
      </c>
      <c r="E3327" s="5">
        <v>245</v>
      </c>
      <c r="F3327" s="5">
        <v>53</v>
      </c>
      <c r="G3327" s="12">
        <f>SUM($D$7:D3327)</f>
        <v>10643348.131000035</v>
      </c>
      <c r="H3327" s="11">
        <f t="shared" si="51"/>
        <v>0.99781221494797601</v>
      </c>
    </row>
    <row r="3328" spans="1:8" ht="15" customHeight="1" x14ac:dyDescent="0.25">
      <c r="A3328" s="5">
        <v>3322</v>
      </c>
      <c r="B3328" s="10" t="s">
        <v>6494</v>
      </c>
      <c r="C3328" s="10" t="s">
        <v>6495</v>
      </c>
      <c r="D3328" s="7">
        <v>70.569999999999993</v>
      </c>
      <c r="E3328" s="5">
        <v>197</v>
      </c>
      <c r="F3328" s="5">
        <v>15</v>
      </c>
      <c r="G3328" s="12">
        <f>SUM($D$7:D3328)</f>
        <v>10643418.701000035</v>
      </c>
      <c r="H3328" s="11">
        <f t="shared" si="51"/>
        <v>0.99781883087438772</v>
      </c>
    </row>
    <row r="3329" spans="1:8" ht="15" customHeight="1" x14ac:dyDescent="0.25">
      <c r="A3329" s="5">
        <v>3323</v>
      </c>
      <c r="B3329" s="10" t="s">
        <v>6496</v>
      </c>
      <c r="C3329" s="10" t="s">
        <v>6497</v>
      </c>
      <c r="D3329" s="7">
        <v>70.45</v>
      </c>
      <c r="E3329" s="5">
        <v>50</v>
      </c>
      <c r="F3329" s="5">
        <v>18</v>
      </c>
      <c r="G3329" s="12">
        <f>SUM($D$7:D3329)</f>
        <v>10643489.151000034</v>
      </c>
      <c r="H3329" s="11">
        <f t="shared" si="51"/>
        <v>0.99782543555081815</v>
      </c>
    </row>
    <row r="3330" spans="1:8" ht="15" customHeight="1" x14ac:dyDescent="0.25">
      <c r="A3330" s="5">
        <v>3324</v>
      </c>
      <c r="B3330" s="10" t="s">
        <v>6498</v>
      </c>
      <c r="C3330" s="10" t="s">
        <v>6499</v>
      </c>
      <c r="D3330" s="7">
        <v>70.27</v>
      </c>
      <c r="E3330" s="5">
        <v>79</v>
      </c>
      <c r="F3330" s="5">
        <v>11</v>
      </c>
      <c r="G3330" s="12">
        <f>SUM($D$7:D3330)</f>
        <v>10643559.421000034</v>
      </c>
      <c r="H3330" s="11">
        <f t="shared" si="51"/>
        <v>0.99783202335227694</v>
      </c>
    </row>
    <row r="3331" spans="1:8" ht="15" customHeight="1" x14ac:dyDescent="0.25">
      <c r="A3331" s="5">
        <v>3325</v>
      </c>
      <c r="B3331" s="10" t="s">
        <v>6500</v>
      </c>
      <c r="C3331" s="10" t="s">
        <v>6501</v>
      </c>
      <c r="D3331" s="7">
        <v>70.16</v>
      </c>
      <c r="E3331" s="5">
        <v>10</v>
      </c>
      <c r="F3331" s="5">
        <v>7</v>
      </c>
      <c r="G3331" s="12">
        <f>SUM($D$7:D3331)</f>
        <v>10643629.581000034</v>
      </c>
      <c r="H3331" s="11">
        <f t="shared" si="51"/>
        <v>0.99783860084125309</v>
      </c>
    </row>
    <row r="3332" spans="1:8" ht="15" customHeight="1" x14ac:dyDescent="0.25">
      <c r="A3332" s="5">
        <v>3326</v>
      </c>
      <c r="B3332" s="10" t="s">
        <v>6502</v>
      </c>
      <c r="C3332" s="10" t="s">
        <v>6503</v>
      </c>
      <c r="D3332" s="7">
        <v>70</v>
      </c>
      <c r="E3332" s="5">
        <v>700</v>
      </c>
      <c r="F3332" s="5">
        <v>22</v>
      </c>
      <c r="G3332" s="12">
        <f>SUM($D$7:D3332)</f>
        <v>10643699.581000034</v>
      </c>
      <c r="H3332" s="11">
        <f t="shared" si="51"/>
        <v>0.99784516333025441</v>
      </c>
    </row>
    <row r="3333" spans="1:8" ht="15" customHeight="1" x14ac:dyDescent="0.25">
      <c r="A3333" s="5">
        <v>3327</v>
      </c>
      <c r="B3333" s="10" t="s">
        <v>6504</v>
      </c>
      <c r="C3333" s="10" t="s">
        <v>6505</v>
      </c>
      <c r="D3333" s="7">
        <v>69.900000000000006</v>
      </c>
      <c r="E3333" s="5">
        <v>84</v>
      </c>
      <c r="F3333" s="5">
        <v>17</v>
      </c>
      <c r="G3333" s="12">
        <f>SUM($D$7:D3333)</f>
        <v>10643769.481000034</v>
      </c>
      <c r="H3333" s="11">
        <f t="shared" si="51"/>
        <v>0.9978517164442714</v>
      </c>
    </row>
    <row r="3334" spans="1:8" ht="15" customHeight="1" x14ac:dyDescent="0.25">
      <c r="A3334" s="5">
        <v>3328</v>
      </c>
      <c r="B3334" s="10" t="s">
        <v>6506</v>
      </c>
      <c r="C3334" s="10" t="s">
        <v>6507</v>
      </c>
      <c r="D3334" s="7">
        <v>69.849999999999994</v>
      </c>
      <c r="E3334" s="5">
        <v>77</v>
      </c>
      <c r="F3334" s="5">
        <v>7</v>
      </c>
      <c r="G3334" s="12">
        <f>SUM($D$7:D3334)</f>
        <v>10643839.331000034</v>
      </c>
      <c r="H3334" s="11">
        <f t="shared" si="51"/>
        <v>0.99785826487079621</v>
      </c>
    </row>
    <row r="3335" spans="1:8" ht="15" customHeight="1" x14ac:dyDescent="0.25">
      <c r="A3335" s="5">
        <v>3329</v>
      </c>
      <c r="B3335" s="10" t="s">
        <v>6508</v>
      </c>
      <c r="C3335" s="10" t="s">
        <v>6509</v>
      </c>
      <c r="D3335" s="7">
        <v>69.84</v>
      </c>
      <c r="E3335" s="5">
        <v>52</v>
      </c>
      <c r="F3335" s="5">
        <v>8</v>
      </c>
      <c r="G3335" s="12">
        <f>SUM($D$7:D3335)</f>
        <v>10643909.171000034</v>
      </c>
      <c r="H3335" s="11">
        <f t="shared" ref="H3335:H3398" si="52">G3335/SUM($D$7:$D$4167)</f>
        <v>0.99786481235982261</v>
      </c>
    </row>
    <row r="3336" spans="1:8" ht="15" customHeight="1" x14ac:dyDescent="0.25">
      <c r="A3336" s="5">
        <v>3330</v>
      </c>
      <c r="B3336" s="10" t="s">
        <v>6510</v>
      </c>
      <c r="C3336" s="10" t="s">
        <v>6511</v>
      </c>
      <c r="D3336" s="7">
        <v>69.73</v>
      </c>
      <c r="E3336" s="5">
        <v>367</v>
      </c>
      <c r="F3336" s="5">
        <v>24</v>
      </c>
      <c r="G3336" s="12">
        <f>SUM($D$7:D3336)</f>
        <v>10643978.901000034</v>
      </c>
      <c r="H3336" s="11">
        <f t="shared" si="52"/>
        <v>0.99787134953636636</v>
      </c>
    </row>
    <row r="3337" spans="1:8" ht="15" customHeight="1" x14ac:dyDescent="0.25">
      <c r="A3337" s="5">
        <v>3331</v>
      </c>
      <c r="B3337" s="10" t="s">
        <v>2837</v>
      </c>
      <c r="C3337" s="10" t="s">
        <v>6512</v>
      </c>
      <c r="D3337" s="7">
        <v>69.66</v>
      </c>
      <c r="E3337" s="5">
        <v>45</v>
      </c>
      <c r="F3337" s="5">
        <v>15</v>
      </c>
      <c r="G3337" s="12">
        <f>SUM($D$7:D3337)</f>
        <v>10644048.561000034</v>
      </c>
      <c r="H3337" s="11">
        <f t="shared" si="52"/>
        <v>0.997877880150421</v>
      </c>
    </row>
    <row r="3338" spans="1:8" ht="15" customHeight="1" x14ac:dyDescent="0.25">
      <c r="A3338" s="5">
        <v>3332</v>
      </c>
      <c r="B3338" s="10" t="s">
        <v>6513</v>
      </c>
      <c r="C3338" s="10" t="s">
        <v>6514</v>
      </c>
      <c r="D3338" s="7">
        <v>69.63</v>
      </c>
      <c r="E3338" s="5">
        <v>11</v>
      </c>
      <c r="F3338" s="5">
        <v>6</v>
      </c>
      <c r="G3338" s="12">
        <f>SUM($D$7:D3338)</f>
        <v>10644118.191000035</v>
      </c>
      <c r="H3338" s="11">
        <f t="shared" si="52"/>
        <v>0.99788440795198052</v>
      </c>
    </row>
    <row r="3339" spans="1:8" ht="15" customHeight="1" x14ac:dyDescent="0.25">
      <c r="A3339" s="5">
        <v>3333</v>
      </c>
      <c r="B3339" s="10" t="s">
        <v>6515</v>
      </c>
      <c r="C3339" s="10" t="s">
        <v>6516</v>
      </c>
      <c r="D3339" s="7">
        <v>69.38</v>
      </c>
      <c r="E3339" s="5">
        <v>38</v>
      </c>
      <c r="F3339" s="5">
        <v>7</v>
      </c>
      <c r="G3339" s="12">
        <f>SUM($D$7:D3339)</f>
        <v>10644187.571000036</v>
      </c>
      <c r="H3339" s="11">
        <f t="shared" si="52"/>
        <v>0.99789091231607929</v>
      </c>
    </row>
    <row r="3340" spans="1:8" ht="15" customHeight="1" x14ac:dyDescent="0.25">
      <c r="A3340" s="5">
        <v>3334</v>
      </c>
      <c r="B3340" s="10" t="s">
        <v>2886</v>
      </c>
      <c r="C3340" s="10" t="s">
        <v>3214</v>
      </c>
      <c r="D3340" s="7">
        <v>69</v>
      </c>
      <c r="E3340" s="5">
        <v>12</v>
      </c>
      <c r="F3340" s="5">
        <v>4</v>
      </c>
      <c r="G3340" s="12">
        <f>SUM($D$7:D3340)</f>
        <v>10644256.571000036</v>
      </c>
      <c r="H3340" s="11">
        <f t="shared" si="52"/>
        <v>0.99789738105523773</v>
      </c>
    </row>
    <row r="3341" spans="1:8" ht="15" customHeight="1" x14ac:dyDescent="0.25">
      <c r="A3341" s="5">
        <v>3335</v>
      </c>
      <c r="B3341" s="10" t="s">
        <v>6517</v>
      </c>
      <c r="C3341" s="10" t="s">
        <v>6518</v>
      </c>
      <c r="D3341" s="7">
        <v>68.73</v>
      </c>
      <c r="E3341" s="5">
        <v>13</v>
      </c>
      <c r="F3341" s="5">
        <v>11</v>
      </c>
      <c r="G3341" s="12">
        <f>SUM($D$7:D3341)</f>
        <v>10644325.301000036</v>
      </c>
      <c r="H3341" s="11">
        <f t="shared" si="52"/>
        <v>0.99790382448193859</v>
      </c>
    </row>
    <row r="3342" spans="1:8" ht="15" customHeight="1" x14ac:dyDescent="0.25">
      <c r="A3342" s="5">
        <v>3336</v>
      </c>
      <c r="B3342" s="10" t="s">
        <v>6519</v>
      </c>
      <c r="C3342" s="10" t="s">
        <v>6520</v>
      </c>
      <c r="D3342" s="7">
        <v>68.7</v>
      </c>
      <c r="E3342" s="5">
        <v>78</v>
      </c>
      <c r="F3342" s="5">
        <v>10</v>
      </c>
      <c r="G3342" s="12">
        <f>SUM($D$7:D3342)</f>
        <v>10644394.001000036</v>
      </c>
      <c r="H3342" s="11">
        <f t="shared" si="52"/>
        <v>0.997910265096144</v>
      </c>
    </row>
    <row r="3343" spans="1:8" ht="15" customHeight="1" x14ac:dyDescent="0.25">
      <c r="A3343" s="5">
        <v>3337</v>
      </c>
      <c r="B3343" s="10" t="s">
        <v>6521</v>
      </c>
      <c r="C3343" s="10" t="s">
        <v>6522</v>
      </c>
      <c r="D3343" s="7">
        <v>68</v>
      </c>
      <c r="E3343" s="5">
        <v>8</v>
      </c>
      <c r="F3343" s="5">
        <v>4</v>
      </c>
      <c r="G3343" s="12">
        <f>SUM($D$7:D3343)</f>
        <v>10644462.001000036</v>
      </c>
      <c r="H3343" s="11">
        <f t="shared" si="52"/>
        <v>0.99791664008545955</v>
      </c>
    </row>
    <row r="3344" spans="1:8" ht="15" customHeight="1" x14ac:dyDescent="0.25">
      <c r="A3344" s="5">
        <v>3338</v>
      </c>
      <c r="B3344" s="10" t="s">
        <v>3032</v>
      </c>
      <c r="C3344" s="10" t="s">
        <v>6523</v>
      </c>
      <c r="D3344" s="7">
        <v>67.900000000000006</v>
      </c>
      <c r="E3344" s="5">
        <v>58</v>
      </c>
      <c r="F3344" s="5">
        <v>10</v>
      </c>
      <c r="G3344" s="12">
        <f>SUM($D$7:D3344)</f>
        <v>10644529.901000036</v>
      </c>
      <c r="H3344" s="11">
        <f t="shared" si="52"/>
        <v>0.99792300569979075</v>
      </c>
    </row>
    <row r="3345" spans="1:8" ht="15" customHeight="1" x14ac:dyDescent="0.25">
      <c r="A3345" s="5">
        <v>3339</v>
      </c>
      <c r="B3345" s="10" t="s">
        <v>6524</v>
      </c>
      <c r="C3345" s="10" t="s">
        <v>6525</v>
      </c>
      <c r="D3345" s="7">
        <v>67.87</v>
      </c>
      <c r="E3345" s="5">
        <v>16</v>
      </c>
      <c r="F3345" s="5">
        <v>10</v>
      </c>
      <c r="G3345" s="12">
        <f>SUM($D$7:D3345)</f>
        <v>10644597.771000035</v>
      </c>
      <c r="H3345" s="11">
        <f t="shared" si="52"/>
        <v>0.99792936850162661</v>
      </c>
    </row>
    <row r="3346" spans="1:8" ht="15" customHeight="1" x14ac:dyDescent="0.25">
      <c r="A3346" s="5">
        <v>3340</v>
      </c>
      <c r="B3346" s="10" t="s">
        <v>6526</v>
      </c>
      <c r="C3346" s="10" t="s">
        <v>6527</v>
      </c>
      <c r="D3346" s="7">
        <v>67.849999999999994</v>
      </c>
      <c r="E3346" s="5">
        <v>23</v>
      </c>
      <c r="F3346" s="5">
        <v>9</v>
      </c>
      <c r="G3346" s="12">
        <f>SUM($D$7:D3346)</f>
        <v>10644665.621000035</v>
      </c>
      <c r="H3346" s="11">
        <f t="shared" si="52"/>
        <v>0.99793572942846576</v>
      </c>
    </row>
    <row r="3347" spans="1:8" ht="15" customHeight="1" x14ac:dyDescent="0.25">
      <c r="A3347" s="5">
        <v>3341</v>
      </c>
      <c r="B3347" s="10" t="s">
        <v>6528</v>
      </c>
      <c r="C3347" s="10" t="s">
        <v>6529</v>
      </c>
      <c r="D3347" s="7">
        <v>67.83</v>
      </c>
      <c r="E3347" s="5">
        <v>11</v>
      </c>
      <c r="F3347" s="5">
        <v>7</v>
      </c>
      <c r="G3347" s="12">
        <f>SUM($D$7:D3347)</f>
        <v>10644733.451000035</v>
      </c>
      <c r="H3347" s="11">
        <f t="shared" si="52"/>
        <v>0.99794208848030796</v>
      </c>
    </row>
    <row r="3348" spans="1:8" ht="15" customHeight="1" x14ac:dyDescent="0.25">
      <c r="A3348" s="5">
        <v>3342</v>
      </c>
      <c r="B3348" s="10" t="s">
        <v>6530</v>
      </c>
      <c r="C3348" s="10" t="s">
        <v>6531</v>
      </c>
      <c r="D3348" s="7">
        <v>67.62</v>
      </c>
      <c r="E3348" s="5">
        <v>9</v>
      </c>
      <c r="F3348" s="5">
        <v>7</v>
      </c>
      <c r="G3348" s="12">
        <f>SUM($D$7:D3348)</f>
        <v>10644801.071000034</v>
      </c>
      <c r="H3348" s="11">
        <f t="shared" si="52"/>
        <v>0.99794842784468307</v>
      </c>
    </row>
    <row r="3349" spans="1:8" ht="15" customHeight="1" x14ac:dyDescent="0.25">
      <c r="A3349" s="5">
        <v>3343</v>
      </c>
      <c r="B3349" s="10" t="s">
        <v>6532</v>
      </c>
      <c r="C3349" s="10" t="s">
        <v>6533</v>
      </c>
      <c r="D3349" s="7">
        <v>67.510000000000005</v>
      </c>
      <c r="E3349" s="5">
        <v>41</v>
      </c>
      <c r="F3349" s="5">
        <v>14</v>
      </c>
      <c r="G3349" s="12">
        <f>SUM($D$7:D3349)</f>
        <v>10644868.581000034</v>
      </c>
      <c r="H3349" s="11">
        <f t="shared" si="52"/>
        <v>0.99795475689657553</v>
      </c>
    </row>
    <row r="3350" spans="1:8" ht="15" customHeight="1" x14ac:dyDescent="0.25">
      <c r="A3350" s="5">
        <v>3344</v>
      </c>
      <c r="B3350" s="10" t="s">
        <v>6534</v>
      </c>
      <c r="C3350" s="10" t="s">
        <v>6535</v>
      </c>
      <c r="D3350" s="7">
        <v>67.5</v>
      </c>
      <c r="E3350" s="5">
        <v>54</v>
      </c>
      <c r="F3350" s="5">
        <v>13</v>
      </c>
      <c r="G3350" s="12">
        <f>SUM($D$7:D3350)</f>
        <v>10644936.081000034</v>
      </c>
      <c r="H3350" s="11">
        <f t="shared" si="52"/>
        <v>0.9979610850109697</v>
      </c>
    </row>
    <row r="3351" spans="1:8" ht="15" customHeight="1" x14ac:dyDescent="0.25">
      <c r="A3351" s="5">
        <v>3345</v>
      </c>
      <c r="B3351" s="10" t="s">
        <v>6536</v>
      </c>
      <c r="C3351" s="10" t="s">
        <v>6537</v>
      </c>
      <c r="D3351" s="7">
        <v>67.5</v>
      </c>
      <c r="E3351" s="5">
        <v>18</v>
      </c>
      <c r="F3351" s="5">
        <v>12</v>
      </c>
      <c r="G3351" s="12">
        <f>SUM($D$7:D3351)</f>
        <v>10645003.581000034</v>
      </c>
      <c r="H3351" s="11">
        <f t="shared" si="52"/>
        <v>0.99796741312536374</v>
      </c>
    </row>
    <row r="3352" spans="1:8" ht="15" customHeight="1" x14ac:dyDescent="0.25">
      <c r="A3352" s="5">
        <v>3346</v>
      </c>
      <c r="B3352" s="10" t="s">
        <v>6538</v>
      </c>
      <c r="C3352" s="10" t="s">
        <v>6539</v>
      </c>
      <c r="D3352" s="7">
        <v>67.39</v>
      </c>
      <c r="E3352" s="5">
        <v>87</v>
      </c>
      <c r="F3352" s="5">
        <v>29</v>
      </c>
      <c r="G3352" s="12">
        <f>SUM($D$7:D3352)</f>
        <v>10645070.971000034</v>
      </c>
      <c r="H3352" s="11">
        <f t="shared" si="52"/>
        <v>0.99797373092727515</v>
      </c>
    </row>
    <row r="3353" spans="1:8" ht="15" customHeight="1" x14ac:dyDescent="0.25">
      <c r="A3353" s="5">
        <v>3347</v>
      </c>
      <c r="B3353" s="10" t="s">
        <v>6540</v>
      </c>
      <c r="C3353" s="10" t="s">
        <v>6541</v>
      </c>
      <c r="D3353" s="7">
        <v>67.36</v>
      </c>
      <c r="E3353" s="5">
        <v>18</v>
      </c>
      <c r="F3353" s="5">
        <v>14</v>
      </c>
      <c r="G3353" s="12">
        <f>SUM($D$7:D3353)</f>
        <v>10645138.331000034</v>
      </c>
      <c r="H3353" s="11">
        <f t="shared" si="52"/>
        <v>0.99798004591669121</v>
      </c>
    </row>
    <row r="3354" spans="1:8" ht="15" customHeight="1" x14ac:dyDescent="0.25">
      <c r="A3354" s="5">
        <v>3348</v>
      </c>
      <c r="B3354" s="10" t="s">
        <v>6542</v>
      </c>
      <c r="C3354" s="10" t="s">
        <v>6543</v>
      </c>
      <c r="D3354" s="7">
        <v>67.28</v>
      </c>
      <c r="E3354" s="5">
        <v>8</v>
      </c>
      <c r="F3354" s="5">
        <v>6</v>
      </c>
      <c r="G3354" s="12">
        <f>SUM($D$7:D3354)</f>
        <v>10645205.611000033</v>
      </c>
      <c r="H3354" s="11">
        <f t="shared" si="52"/>
        <v>0.99798635340611974</v>
      </c>
    </row>
    <row r="3355" spans="1:8" ht="15" customHeight="1" x14ac:dyDescent="0.25">
      <c r="A3355" s="5">
        <v>3349</v>
      </c>
      <c r="B3355" s="10" t="s">
        <v>6544</v>
      </c>
      <c r="C3355" s="10" t="s">
        <v>6545</v>
      </c>
      <c r="D3355" s="7">
        <v>67.13</v>
      </c>
      <c r="E3355" s="5">
        <v>55</v>
      </c>
      <c r="F3355" s="5">
        <v>18</v>
      </c>
      <c r="G3355" s="12">
        <f>SUM($D$7:D3355)</f>
        <v>10645272.741000034</v>
      </c>
      <c r="H3355" s="11">
        <f t="shared" si="52"/>
        <v>0.99799264683307209</v>
      </c>
    </row>
    <row r="3356" spans="1:8" ht="15" customHeight="1" x14ac:dyDescent="0.25">
      <c r="A3356" s="5">
        <v>3350</v>
      </c>
      <c r="B3356" s="10" t="s">
        <v>6546</v>
      </c>
      <c r="C3356" s="10" t="s">
        <v>6547</v>
      </c>
      <c r="D3356" s="7">
        <v>66.760000000000005</v>
      </c>
      <c r="E3356" s="5">
        <v>32</v>
      </c>
      <c r="F3356" s="5">
        <v>11</v>
      </c>
      <c r="G3356" s="12">
        <f>SUM($D$7:D3356)</f>
        <v>10645339.501000034</v>
      </c>
      <c r="H3356" s="11">
        <f t="shared" si="52"/>
        <v>0.99799890557258242</v>
      </c>
    </row>
    <row r="3357" spans="1:8" ht="15" customHeight="1" x14ac:dyDescent="0.25">
      <c r="A3357" s="5">
        <v>3351</v>
      </c>
      <c r="B3357" s="10" t="s">
        <v>6548</v>
      </c>
      <c r="C3357" s="10" t="s">
        <v>6549</v>
      </c>
      <c r="D3357" s="7">
        <v>66.7</v>
      </c>
      <c r="E3357" s="5">
        <v>18</v>
      </c>
      <c r="F3357" s="5">
        <v>11</v>
      </c>
      <c r="G3357" s="12">
        <f>SUM($D$7:D3357)</f>
        <v>10645406.201000033</v>
      </c>
      <c r="H3357" s="11">
        <f t="shared" si="52"/>
        <v>0.99800515868710205</v>
      </c>
    </row>
    <row r="3358" spans="1:8" ht="15" customHeight="1" x14ac:dyDescent="0.25">
      <c r="A3358" s="5">
        <v>3352</v>
      </c>
      <c r="B3358" s="10" t="s">
        <v>6550</v>
      </c>
      <c r="C3358" s="10" t="s">
        <v>6551</v>
      </c>
      <c r="D3358" s="7">
        <v>66.55</v>
      </c>
      <c r="E3358" s="5">
        <v>95</v>
      </c>
      <c r="F3358" s="5">
        <v>7</v>
      </c>
      <c r="G3358" s="12">
        <f>SUM($D$7:D3358)</f>
        <v>10645472.751000034</v>
      </c>
      <c r="H3358" s="11">
        <f t="shared" si="52"/>
        <v>0.99801139773914549</v>
      </c>
    </row>
    <row r="3359" spans="1:8" ht="15" customHeight="1" x14ac:dyDescent="0.25">
      <c r="A3359" s="5">
        <v>3353</v>
      </c>
      <c r="B3359" s="10" t="s">
        <v>6552</v>
      </c>
      <c r="C3359" s="10" t="s">
        <v>6553</v>
      </c>
      <c r="D3359" s="7">
        <v>66.39</v>
      </c>
      <c r="E3359" s="5">
        <v>49</v>
      </c>
      <c r="F3359" s="5">
        <v>8</v>
      </c>
      <c r="G3359" s="12">
        <f>SUM($D$7:D3359)</f>
        <v>10645539.141000034</v>
      </c>
      <c r="H3359" s="11">
        <f t="shared" si="52"/>
        <v>0.99801762179121412</v>
      </c>
    </row>
    <row r="3360" spans="1:8" ht="15" customHeight="1" x14ac:dyDescent="0.25">
      <c r="A3360" s="5">
        <v>3354</v>
      </c>
      <c r="B3360" s="10" t="s">
        <v>6554</v>
      </c>
      <c r="C3360" s="10" t="s">
        <v>6555</v>
      </c>
      <c r="D3360" s="7">
        <v>66.36</v>
      </c>
      <c r="E3360" s="5">
        <v>81</v>
      </c>
      <c r="F3360" s="5">
        <v>7</v>
      </c>
      <c r="G3360" s="12">
        <f>SUM($D$7:D3360)</f>
        <v>10645605.501000034</v>
      </c>
      <c r="H3360" s="11">
        <f t="shared" si="52"/>
        <v>0.99802384303078717</v>
      </c>
    </row>
    <row r="3361" spans="1:8" ht="15" customHeight="1" x14ac:dyDescent="0.25">
      <c r="A3361" s="5">
        <v>3355</v>
      </c>
      <c r="B3361" s="10" t="s">
        <v>6556</v>
      </c>
      <c r="C3361" s="10" t="s">
        <v>2344</v>
      </c>
      <c r="D3361" s="7">
        <v>66.319999999999993</v>
      </c>
      <c r="E3361" s="5">
        <v>8</v>
      </c>
      <c r="F3361" s="5">
        <v>5</v>
      </c>
      <c r="G3361" s="12">
        <f>SUM($D$7:D3361)</f>
        <v>10645671.821000034</v>
      </c>
      <c r="H3361" s="11">
        <f t="shared" si="52"/>
        <v>0.99803006052036669</v>
      </c>
    </row>
    <row r="3362" spans="1:8" ht="15" customHeight="1" x14ac:dyDescent="0.25">
      <c r="A3362" s="5">
        <v>3356</v>
      </c>
      <c r="B3362" s="10" t="s">
        <v>6557</v>
      </c>
      <c r="C3362" s="10" t="s">
        <v>6558</v>
      </c>
      <c r="D3362" s="7">
        <v>66.260000000000005</v>
      </c>
      <c r="E3362" s="5">
        <v>25</v>
      </c>
      <c r="F3362" s="5">
        <v>20</v>
      </c>
      <c r="G3362" s="12">
        <f>SUM($D$7:D3362)</f>
        <v>10645738.081000034</v>
      </c>
      <c r="H3362" s="11">
        <f t="shared" si="52"/>
        <v>0.99803627238495563</v>
      </c>
    </row>
    <row r="3363" spans="1:8" ht="15" customHeight="1" x14ac:dyDescent="0.25">
      <c r="A3363" s="5">
        <v>3357</v>
      </c>
      <c r="B3363" s="10" t="s">
        <v>6559</v>
      </c>
      <c r="C3363" s="10" t="s">
        <v>6560</v>
      </c>
      <c r="D3363" s="7">
        <v>66.12</v>
      </c>
      <c r="E3363" s="5">
        <v>13</v>
      </c>
      <c r="F3363" s="5">
        <v>8</v>
      </c>
      <c r="G3363" s="12">
        <f>SUM($D$7:D3363)</f>
        <v>10645804.201000033</v>
      </c>
      <c r="H3363" s="11">
        <f t="shared" si="52"/>
        <v>0.99804247112456645</v>
      </c>
    </row>
    <row r="3364" spans="1:8" ht="15" customHeight="1" x14ac:dyDescent="0.25">
      <c r="A3364" s="5">
        <v>3358</v>
      </c>
      <c r="B3364" s="10" t="s">
        <v>6561</v>
      </c>
      <c r="C3364" s="10" t="s">
        <v>4622</v>
      </c>
      <c r="D3364" s="7">
        <v>65.8</v>
      </c>
      <c r="E3364" s="5">
        <v>67</v>
      </c>
      <c r="F3364" s="5">
        <v>8</v>
      </c>
      <c r="G3364" s="12">
        <f>SUM($D$7:D3364)</f>
        <v>10645870.001000034</v>
      </c>
      <c r="H3364" s="11">
        <f t="shared" si="52"/>
        <v>0.99804863986422776</v>
      </c>
    </row>
    <row r="3365" spans="1:8" ht="15" customHeight="1" x14ac:dyDescent="0.25">
      <c r="A3365" s="5">
        <v>3359</v>
      </c>
      <c r="B3365" s="10" t="s">
        <v>6562</v>
      </c>
      <c r="C3365" s="10" t="s">
        <v>6563</v>
      </c>
      <c r="D3365" s="7">
        <v>65.489999999999995</v>
      </c>
      <c r="E3365" s="5">
        <v>53</v>
      </c>
      <c r="F3365" s="5">
        <v>19</v>
      </c>
      <c r="G3365" s="12">
        <f>SUM($D$7:D3365)</f>
        <v>10645935.491000034</v>
      </c>
      <c r="H3365" s="11">
        <f t="shared" si="52"/>
        <v>0.99805477954143762</v>
      </c>
    </row>
    <row r="3366" spans="1:8" ht="15" customHeight="1" x14ac:dyDescent="0.25">
      <c r="A3366" s="5">
        <v>3360</v>
      </c>
      <c r="B3366" s="10" t="s">
        <v>6564</v>
      </c>
      <c r="C3366" s="10" t="s">
        <v>6565</v>
      </c>
      <c r="D3366" s="7">
        <v>65.040000000000006</v>
      </c>
      <c r="E3366" s="5">
        <v>94</v>
      </c>
      <c r="F3366" s="5">
        <v>37</v>
      </c>
      <c r="G3366" s="12">
        <f>SUM($D$7:D3366)</f>
        <v>10646000.531000033</v>
      </c>
      <c r="H3366" s="11">
        <f t="shared" si="52"/>
        <v>0.99806087703121815</v>
      </c>
    </row>
    <row r="3367" spans="1:8" ht="15" customHeight="1" x14ac:dyDescent="0.25">
      <c r="A3367" s="5">
        <v>3361</v>
      </c>
      <c r="B3367" s="10" t="s">
        <v>6566</v>
      </c>
      <c r="C3367" s="10" t="s">
        <v>6567</v>
      </c>
      <c r="D3367" s="7">
        <v>64.900000000000006</v>
      </c>
      <c r="E3367" s="5">
        <v>22</v>
      </c>
      <c r="F3367" s="5">
        <v>18</v>
      </c>
      <c r="G3367" s="12">
        <f>SUM($D$7:D3367)</f>
        <v>10646065.431000033</v>
      </c>
      <c r="H3367" s="11">
        <f t="shared" si="52"/>
        <v>0.9980669613960208</v>
      </c>
    </row>
    <row r="3368" spans="1:8" ht="15" customHeight="1" x14ac:dyDescent="0.25">
      <c r="A3368" s="5">
        <v>3362</v>
      </c>
      <c r="B3368" s="10" t="s">
        <v>6568</v>
      </c>
      <c r="C3368" s="10" t="s">
        <v>6569</v>
      </c>
      <c r="D3368" s="7">
        <v>64.58</v>
      </c>
      <c r="E3368" s="5">
        <v>22</v>
      </c>
      <c r="F3368" s="5">
        <v>15</v>
      </c>
      <c r="G3368" s="12">
        <f>SUM($D$7:D3368)</f>
        <v>10646130.011000033</v>
      </c>
      <c r="H3368" s="11">
        <f t="shared" si="52"/>
        <v>0.99807301576087371</v>
      </c>
    </row>
    <row r="3369" spans="1:8" ht="15" customHeight="1" x14ac:dyDescent="0.25">
      <c r="A3369" s="5">
        <v>3363</v>
      </c>
      <c r="B3369" s="10" t="s">
        <v>2303</v>
      </c>
      <c r="C3369" s="10" t="s">
        <v>6570</v>
      </c>
      <c r="D3369" s="7">
        <v>64.56</v>
      </c>
      <c r="E3369" s="5">
        <v>24</v>
      </c>
      <c r="F3369" s="5">
        <v>3</v>
      </c>
      <c r="G3369" s="12">
        <f>SUM($D$7:D3369)</f>
        <v>10646194.571000034</v>
      </c>
      <c r="H3369" s="11">
        <f t="shared" si="52"/>
        <v>0.99807906825072978</v>
      </c>
    </row>
    <row r="3370" spans="1:8" ht="15" customHeight="1" x14ac:dyDescent="0.25">
      <c r="A3370" s="5">
        <v>3364</v>
      </c>
      <c r="B3370" s="10" t="s">
        <v>6571</v>
      </c>
      <c r="C3370" s="10" t="s">
        <v>6572</v>
      </c>
      <c r="D3370" s="7">
        <v>64.459999999999994</v>
      </c>
      <c r="E3370" s="5">
        <v>22</v>
      </c>
      <c r="F3370" s="5">
        <v>11</v>
      </c>
      <c r="G3370" s="12">
        <f>SUM($D$7:D3370)</f>
        <v>10646259.031000035</v>
      </c>
      <c r="H3370" s="11">
        <f t="shared" si="52"/>
        <v>0.99808511136560163</v>
      </c>
    </row>
    <row r="3371" spans="1:8" ht="15" customHeight="1" x14ac:dyDescent="0.25">
      <c r="A3371" s="5">
        <v>3365</v>
      </c>
      <c r="B3371" s="10" t="s">
        <v>6573</v>
      </c>
      <c r="C3371" s="10" t="s">
        <v>6574</v>
      </c>
      <c r="D3371" s="7">
        <v>64.38</v>
      </c>
      <c r="E3371" s="5">
        <v>10</v>
      </c>
      <c r="F3371" s="5">
        <v>5</v>
      </c>
      <c r="G3371" s="12">
        <f>SUM($D$7:D3371)</f>
        <v>10646323.411000036</v>
      </c>
      <c r="H3371" s="11">
        <f t="shared" si="52"/>
        <v>0.99809114698048595</v>
      </c>
    </row>
    <row r="3372" spans="1:8" ht="15" customHeight="1" x14ac:dyDescent="0.25">
      <c r="A3372" s="5">
        <v>3366</v>
      </c>
      <c r="B3372" s="10" t="s">
        <v>6575</v>
      </c>
      <c r="C3372" s="10" t="s">
        <v>6576</v>
      </c>
      <c r="D3372" s="7">
        <v>64.28</v>
      </c>
      <c r="E3372" s="5">
        <v>22</v>
      </c>
      <c r="F3372" s="5">
        <v>15</v>
      </c>
      <c r="G3372" s="12">
        <f>SUM($D$7:D3372)</f>
        <v>10646387.691000035</v>
      </c>
      <c r="H3372" s="11">
        <f t="shared" si="52"/>
        <v>0.99809717322038594</v>
      </c>
    </row>
    <row r="3373" spans="1:8" ht="15" customHeight="1" x14ac:dyDescent="0.25">
      <c r="A3373" s="5">
        <v>3367</v>
      </c>
      <c r="B3373" s="10" t="s">
        <v>6577</v>
      </c>
      <c r="C3373" s="10" t="s">
        <v>6578</v>
      </c>
      <c r="D3373" s="7">
        <v>64.08</v>
      </c>
      <c r="E3373" s="5">
        <v>8</v>
      </c>
      <c r="F3373" s="5">
        <v>5</v>
      </c>
      <c r="G3373" s="12">
        <f>SUM($D$7:D3373)</f>
        <v>10646451.771000035</v>
      </c>
      <c r="H3373" s="11">
        <f t="shared" si="52"/>
        <v>0.99810318071031734</v>
      </c>
    </row>
    <row r="3374" spans="1:8" ht="15" customHeight="1" x14ac:dyDescent="0.25">
      <c r="A3374" s="5">
        <v>3368</v>
      </c>
      <c r="B3374" s="10" t="s">
        <v>6579</v>
      </c>
      <c r="C3374" s="10" t="s">
        <v>6580</v>
      </c>
      <c r="D3374" s="7">
        <v>64.040000000000006</v>
      </c>
      <c r="E3374" s="5">
        <v>7</v>
      </c>
      <c r="F3374" s="5">
        <v>7</v>
      </c>
      <c r="G3374" s="12">
        <f>SUM($D$7:D3374)</f>
        <v>10646515.811000034</v>
      </c>
      <c r="H3374" s="11">
        <f t="shared" si="52"/>
        <v>0.99810918445025498</v>
      </c>
    </row>
    <row r="3375" spans="1:8" ht="15" customHeight="1" x14ac:dyDescent="0.25">
      <c r="A3375" s="5">
        <v>3369</v>
      </c>
      <c r="B3375" s="10" t="s">
        <v>1375</v>
      </c>
      <c r="C3375" s="10" t="s">
        <v>6581</v>
      </c>
      <c r="D3375" s="7">
        <v>63.8</v>
      </c>
      <c r="E3375" s="5">
        <v>4</v>
      </c>
      <c r="F3375" s="5">
        <v>1</v>
      </c>
      <c r="G3375" s="12">
        <f>SUM($D$7:D3375)</f>
        <v>10646579.611000035</v>
      </c>
      <c r="H3375" s="11">
        <f t="shared" si="52"/>
        <v>0.99811516569023051</v>
      </c>
    </row>
    <row r="3376" spans="1:8" ht="15" customHeight="1" x14ac:dyDescent="0.25">
      <c r="A3376" s="5">
        <v>3370</v>
      </c>
      <c r="B3376" s="10" t="s">
        <v>6582</v>
      </c>
      <c r="C3376" s="10" t="s">
        <v>6583</v>
      </c>
      <c r="D3376" s="7">
        <v>63.75</v>
      </c>
      <c r="E3376" s="5">
        <v>51</v>
      </c>
      <c r="F3376" s="5">
        <v>8</v>
      </c>
      <c r="G3376" s="12">
        <f>SUM($D$7:D3376)</f>
        <v>10646643.361000035</v>
      </c>
      <c r="H3376" s="11">
        <f t="shared" si="52"/>
        <v>0.99812114224271387</v>
      </c>
    </row>
    <row r="3377" spans="1:8" ht="15" customHeight="1" x14ac:dyDescent="0.25">
      <c r="A3377" s="5">
        <v>3371</v>
      </c>
      <c r="B3377" s="10" t="s">
        <v>6584</v>
      </c>
      <c r="C3377" s="10" t="s">
        <v>6585</v>
      </c>
      <c r="D3377" s="7">
        <v>63.75</v>
      </c>
      <c r="E3377" s="5">
        <v>51</v>
      </c>
      <c r="F3377" s="5">
        <v>13</v>
      </c>
      <c r="G3377" s="12">
        <f>SUM($D$7:D3377)</f>
        <v>10646707.111000035</v>
      </c>
      <c r="H3377" s="11">
        <f t="shared" si="52"/>
        <v>0.99812711879519711</v>
      </c>
    </row>
    <row r="3378" spans="1:8" ht="15" customHeight="1" x14ac:dyDescent="0.25">
      <c r="A3378" s="5">
        <v>3372</v>
      </c>
      <c r="B3378" s="10" t="s">
        <v>6586</v>
      </c>
      <c r="C3378" s="10" t="s">
        <v>6587</v>
      </c>
      <c r="D3378" s="7">
        <v>63.75</v>
      </c>
      <c r="E3378" s="5">
        <v>17</v>
      </c>
      <c r="F3378" s="5">
        <v>7</v>
      </c>
      <c r="G3378" s="12">
        <f>SUM($D$7:D3378)</f>
        <v>10646770.861000035</v>
      </c>
      <c r="H3378" s="11">
        <f t="shared" si="52"/>
        <v>0.99813309534768047</v>
      </c>
    </row>
    <row r="3379" spans="1:8" ht="15" customHeight="1" x14ac:dyDescent="0.25">
      <c r="A3379" s="5">
        <v>3373</v>
      </c>
      <c r="B3379" s="10" t="s">
        <v>6588</v>
      </c>
      <c r="C3379" s="10" t="s">
        <v>6589</v>
      </c>
      <c r="D3379" s="7">
        <v>63.72</v>
      </c>
      <c r="E3379" s="5">
        <v>92</v>
      </c>
      <c r="F3379" s="5">
        <v>43</v>
      </c>
      <c r="G3379" s="12">
        <f>SUM($D$7:D3379)</f>
        <v>10646834.581000036</v>
      </c>
      <c r="H3379" s="11">
        <f t="shared" si="52"/>
        <v>0.99813906908766847</v>
      </c>
    </row>
    <row r="3380" spans="1:8" ht="15" customHeight="1" x14ac:dyDescent="0.25">
      <c r="A3380" s="5">
        <v>3374</v>
      </c>
      <c r="B3380" s="10" t="s">
        <v>6590</v>
      </c>
      <c r="C3380" s="10" t="s">
        <v>5407</v>
      </c>
      <c r="D3380" s="7">
        <v>63.51</v>
      </c>
      <c r="E3380" s="5">
        <v>45</v>
      </c>
      <c r="F3380" s="5">
        <v>16</v>
      </c>
      <c r="G3380" s="12">
        <f>SUM($D$7:D3380)</f>
        <v>10646898.091000035</v>
      </c>
      <c r="H3380" s="11">
        <f t="shared" si="52"/>
        <v>0.99814502314018949</v>
      </c>
    </row>
    <row r="3381" spans="1:8" ht="15" customHeight="1" x14ac:dyDescent="0.25">
      <c r="A3381" s="5">
        <v>3375</v>
      </c>
      <c r="B3381" s="10" t="s">
        <v>6591</v>
      </c>
      <c r="C3381" s="10" t="s">
        <v>6592</v>
      </c>
      <c r="D3381" s="7">
        <v>63.48</v>
      </c>
      <c r="E3381" s="5">
        <v>5</v>
      </c>
      <c r="F3381" s="5">
        <v>5</v>
      </c>
      <c r="G3381" s="12">
        <f>SUM($D$7:D3381)</f>
        <v>10646961.571000036</v>
      </c>
      <c r="H3381" s="11">
        <f t="shared" si="52"/>
        <v>0.99815097438021527</v>
      </c>
    </row>
    <row r="3382" spans="1:8" ht="15" customHeight="1" x14ac:dyDescent="0.25">
      <c r="A3382" s="5">
        <v>3376</v>
      </c>
      <c r="B3382" s="10" t="s">
        <v>6593</v>
      </c>
      <c r="C3382" s="10" t="s">
        <v>6594</v>
      </c>
      <c r="D3382" s="7">
        <v>63.28</v>
      </c>
      <c r="E3382" s="5">
        <v>162</v>
      </c>
      <c r="F3382" s="5">
        <v>5</v>
      </c>
      <c r="G3382" s="12">
        <f>SUM($D$7:D3382)</f>
        <v>10647024.851000035</v>
      </c>
      <c r="H3382" s="11">
        <f t="shared" si="52"/>
        <v>0.99815690687027236</v>
      </c>
    </row>
    <row r="3383" spans="1:8" ht="15" customHeight="1" x14ac:dyDescent="0.25">
      <c r="A3383" s="5">
        <v>3377</v>
      </c>
      <c r="B3383" s="10" t="s">
        <v>6595</v>
      </c>
      <c r="C3383" s="10" t="s">
        <v>6596</v>
      </c>
      <c r="D3383" s="7">
        <v>63.21</v>
      </c>
      <c r="E3383" s="5">
        <v>19</v>
      </c>
      <c r="F3383" s="5">
        <v>8</v>
      </c>
      <c r="G3383" s="12">
        <f>SUM($D$7:D3383)</f>
        <v>10647088.061000036</v>
      </c>
      <c r="H3383" s="11">
        <f t="shared" si="52"/>
        <v>0.99816283279784057</v>
      </c>
    </row>
    <row r="3384" spans="1:8" ht="15" customHeight="1" x14ac:dyDescent="0.25">
      <c r="A3384" s="5">
        <v>3378</v>
      </c>
      <c r="B3384" s="10" t="s">
        <v>6597</v>
      </c>
      <c r="C3384" s="10" t="s">
        <v>6598</v>
      </c>
      <c r="D3384" s="7">
        <v>63.11</v>
      </c>
      <c r="E3384" s="5">
        <v>12</v>
      </c>
      <c r="F3384" s="5">
        <v>10</v>
      </c>
      <c r="G3384" s="12">
        <f>SUM($D$7:D3384)</f>
        <v>10647151.171000035</v>
      </c>
      <c r="H3384" s="11">
        <f t="shared" si="52"/>
        <v>0.99816874935042443</v>
      </c>
    </row>
    <row r="3385" spans="1:8" ht="15" customHeight="1" x14ac:dyDescent="0.25">
      <c r="A3385" s="5">
        <v>3379</v>
      </c>
      <c r="B3385" s="10" t="s">
        <v>6599</v>
      </c>
      <c r="C3385" s="10" t="s">
        <v>6600</v>
      </c>
      <c r="D3385" s="7">
        <v>63.05</v>
      </c>
      <c r="E3385" s="5">
        <v>2</v>
      </c>
      <c r="F3385" s="5">
        <v>2</v>
      </c>
      <c r="G3385" s="12">
        <f>SUM($D$7:D3385)</f>
        <v>10647214.221000036</v>
      </c>
      <c r="H3385" s="11">
        <f t="shared" si="52"/>
        <v>0.99817466027801771</v>
      </c>
    </row>
    <row r="3386" spans="1:8" ht="15" customHeight="1" x14ac:dyDescent="0.25">
      <c r="A3386" s="5">
        <v>3380</v>
      </c>
      <c r="B3386" s="10" t="s">
        <v>6601</v>
      </c>
      <c r="C3386" s="10" t="s">
        <v>6602</v>
      </c>
      <c r="D3386" s="7">
        <v>63</v>
      </c>
      <c r="E3386" s="5">
        <v>30</v>
      </c>
      <c r="F3386" s="5">
        <v>1</v>
      </c>
      <c r="G3386" s="12">
        <f>SUM($D$7:D3386)</f>
        <v>10647277.221000036</v>
      </c>
      <c r="H3386" s="11">
        <f t="shared" si="52"/>
        <v>0.99818056651811893</v>
      </c>
    </row>
    <row r="3387" spans="1:8" ht="15" customHeight="1" x14ac:dyDescent="0.25">
      <c r="A3387" s="5">
        <v>3381</v>
      </c>
      <c r="B3387" s="10" t="s">
        <v>6603</v>
      </c>
      <c r="C3387" s="10" t="s">
        <v>6604</v>
      </c>
      <c r="D3387" s="7">
        <v>62.9</v>
      </c>
      <c r="E3387" s="5">
        <v>74</v>
      </c>
      <c r="F3387" s="5">
        <v>16</v>
      </c>
      <c r="G3387" s="12">
        <f>SUM($D$7:D3387)</f>
        <v>10647340.121000037</v>
      </c>
      <c r="H3387" s="11">
        <f t="shared" si="52"/>
        <v>0.9981864633832358</v>
      </c>
    </row>
    <row r="3388" spans="1:8" ht="15" customHeight="1" x14ac:dyDescent="0.25">
      <c r="A3388" s="5">
        <v>3382</v>
      </c>
      <c r="B3388" s="10" t="s">
        <v>6605</v>
      </c>
      <c r="C3388" s="10" t="s">
        <v>6606</v>
      </c>
      <c r="D3388" s="7">
        <v>62.5</v>
      </c>
      <c r="E3388" s="5">
        <v>50</v>
      </c>
      <c r="F3388" s="5">
        <v>6</v>
      </c>
      <c r="G3388" s="12">
        <f>SUM($D$7:D3388)</f>
        <v>10647402.621000037</v>
      </c>
      <c r="H3388" s="11">
        <f t="shared" si="52"/>
        <v>0.99819232274841552</v>
      </c>
    </row>
    <row r="3389" spans="1:8" ht="15" customHeight="1" x14ac:dyDescent="0.25">
      <c r="A3389" s="5">
        <v>3383</v>
      </c>
      <c r="B3389" s="10" t="s">
        <v>6607</v>
      </c>
      <c r="C3389" s="10" t="s">
        <v>6608</v>
      </c>
      <c r="D3389" s="7">
        <v>62.35</v>
      </c>
      <c r="E3389" s="5">
        <v>43</v>
      </c>
      <c r="F3389" s="5">
        <v>8</v>
      </c>
      <c r="G3389" s="12">
        <f>SUM($D$7:D3389)</f>
        <v>10647464.971000036</v>
      </c>
      <c r="H3389" s="11">
        <f t="shared" si="52"/>
        <v>0.99819816805111872</v>
      </c>
    </row>
    <row r="3390" spans="1:8" ht="15" customHeight="1" x14ac:dyDescent="0.25">
      <c r="A3390" s="5">
        <v>3384</v>
      </c>
      <c r="B3390" s="10" t="s">
        <v>6609</v>
      </c>
      <c r="C3390" s="10" t="s">
        <v>1869</v>
      </c>
      <c r="D3390" s="7">
        <v>62.27</v>
      </c>
      <c r="E3390" s="5">
        <v>15</v>
      </c>
      <c r="F3390" s="5">
        <v>12</v>
      </c>
      <c r="G3390" s="12">
        <f>SUM($D$7:D3390)</f>
        <v>10647527.241000036</v>
      </c>
      <c r="H3390" s="11">
        <f t="shared" si="52"/>
        <v>0.99820400585383451</v>
      </c>
    </row>
    <row r="3391" spans="1:8" ht="15" customHeight="1" x14ac:dyDescent="0.25">
      <c r="A3391" s="5">
        <v>3385</v>
      </c>
      <c r="B3391" s="10" t="s">
        <v>6610</v>
      </c>
      <c r="C3391" s="10" t="s">
        <v>6611</v>
      </c>
      <c r="D3391" s="7">
        <v>62.24</v>
      </c>
      <c r="E3391" s="5">
        <v>106</v>
      </c>
      <c r="F3391" s="5">
        <v>16</v>
      </c>
      <c r="G3391" s="12">
        <f>SUM($D$7:D3391)</f>
        <v>10647589.481000036</v>
      </c>
      <c r="H3391" s="11">
        <f t="shared" si="52"/>
        <v>0.99820984084405506</v>
      </c>
    </row>
    <row r="3392" spans="1:8" ht="15" customHeight="1" x14ac:dyDescent="0.25">
      <c r="A3392" s="5">
        <v>3386</v>
      </c>
      <c r="B3392" s="10" t="s">
        <v>6612</v>
      </c>
      <c r="C3392" s="10" t="s">
        <v>6613</v>
      </c>
      <c r="D3392" s="7">
        <v>62.06</v>
      </c>
      <c r="E3392" s="5">
        <v>128</v>
      </c>
      <c r="F3392" s="5">
        <v>19</v>
      </c>
      <c r="G3392" s="12">
        <f>SUM($D$7:D3392)</f>
        <v>10647651.541000037</v>
      </c>
      <c r="H3392" s="11">
        <f t="shared" si="52"/>
        <v>0.99821565895930398</v>
      </c>
    </row>
    <row r="3393" spans="1:8" ht="15" customHeight="1" x14ac:dyDescent="0.25">
      <c r="A3393" s="5">
        <v>3387</v>
      </c>
      <c r="B3393" s="10" t="s">
        <v>6614</v>
      </c>
      <c r="C3393" s="10" t="s">
        <v>6615</v>
      </c>
      <c r="D3393" s="7">
        <v>61.95</v>
      </c>
      <c r="E3393" s="5">
        <v>21</v>
      </c>
      <c r="F3393" s="5">
        <v>8</v>
      </c>
      <c r="G3393" s="12">
        <f>SUM($D$7:D3393)</f>
        <v>10647713.491000036</v>
      </c>
      <c r="H3393" s="11">
        <f t="shared" si="52"/>
        <v>0.99822146676207002</v>
      </c>
    </row>
    <row r="3394" spans="1:8" ht="15" customHeight="1" x14ac:dyDescent="0.25">
      <c r="A3394" s="5">
        <v>3388</v>
      </c>
      <c r="B3394" s="10" t="s">
        <v>6616</v>
      </c>
      <c r="C3394" s="10" t="s">
        <v>6617</v>
      </c>
      <c r="D3394" s="7">
        <v>61.56</v>
      </c>
      <c r="E3394" s="5">
        <v>41</v>
      </c>
      <c r="F3394" s="5">
        <v>7</v>
      </c>
      <c r="G3394" s="12">
        <f>SUM($D$7:D3394)</f>
        <v>10647775.051000036</v>
      </c>
      <c r="H3394" s="11">
        <f t="shared" si="52"/>
        <v>0.99822723800239743</v>
      </c>
    </row>
    <row r="3395" spans="1:8" ht="15" customHeight="1" x14ac:dyDescent="0.25">
      <c r="A3395" s="5">
        <v>3389</v>
      </c>
      <c r="B3395" s="10" t="s">
        <v>6618</v>
      </c>
      <c r="C3395" s="10" t="s">
        <v>6619</v>
      </c>
      <c r="D3395" s="7">
        <v>61.46</v>
      </c>
      <c r="E3395" s="5">
        <v>107</v>
      </c>
      <c r="F3395" s="5">
        <v>25</v>
      </c>
      <c r="G3395" s="12">
        <f>SUM($D$7:D3395)</f>
        <v>10647836.511000037</v>
      </c>
      <c r="H3395" s="11">
        <f t="shared" si="52"/>
        <v>0.99823299986774072</v>
      </c>
    </row>
    <row r="3396" spans="1:8" ht="15" customHeight="1" x14ac:dyDescent="0.25">
      <c r="A3396" s="5">
        <v>3390</v>
      </c>
      <c r="B3396" s="10" t="s">
        <v>6620</v>
      </c>
      <c r="C3396" s="10" t="s">
        <v>6621</v>
      </c>
      <c r="D3396" s="7">
        <v>61.25</v>
      </c>
      <c r="E3396" s="5">
        <v>49</v>
      </c>
      <c r="F3396" s="5">
        <v>3</v>
      </c>
      <c r="G3396" s="12">
        <f>SUM($D$7:D3396)</f>
        <v>10647897.761000037</v>
      </c>
      <c r="H3396" s="11">
        <f t="shared" si="52"/>
        <v>0.9982387420456168</v>
      </c>
    </row>
    <row r="3397" spans="1:8" ht="15" customHeight="1" x14ac:dyDescent="0.25">
      <c r="A3397" s="5">
        <v>3391</v>
      </c>
      <c r="B3397" s="10" t="s">
        <v>808</v>
      </c>
      <c r="C3397" s="10" t="s">
        <v>6622</v>
      </c>
      <c r="D3397" s="7">
        <v>61.2</v>
      </c>
      <c r="E3397" s="5">
        <v>8</v>
      </c>
      <c r="F3397" s="5">
        <v>2</v>
      </c>
      <c r="G3397" s="12">
        <f>SUM($D$7:D3397)</f>
        <v>10647958.961000036</v>
      </c>
      <c r="H3397" s="11">
        <f t="shared" si="52"/>
        <v>0.99824447953600071</v>
      </c>
    </row>
    <row r="3398" spans="1:8" ht="15" customHeight="1" x14ac:dyDescent="0.25">
      <c r="A3398" s="5">
        <v>3392</v>
      </c>
      <c r="B3398" s="10" t="s">
        <v>6623</v>
      </c>
      <c r="C3398" s="10" t="s">
        <v>6624</v>
      </c>
      <c r="D3398" s="7">
        <v>61.08</v>
      </c>
      <c r="E3398" s="5">
        <v>21</v>
      </c>
      <c r="F3398" s="5">
        <v>17</v>
      </c>
      <c r="G3398" s="12">
        <f>SUM($D$7:D3398)</f>
        <v>10648020.041000037</v>
      </c>
      <c r="H3398" s="11">
        <f t="shared" si="52"/>
        <v>0.99825020577640355</v>
      </c>
    </row>
    <row r="3399" spans="1:8" ht="15" customHeight="1" x14ac:dyDescent="0.25">
      <c r="A3399" s="5">
        <v>3393</v>
      </c>
      <c r="B3399" s="10" t="s">
        <v>6625</v>
      </c>
      <c r="C3399" s="10" t="s">
        <v>6626</v>
      </c>
      <c r="D3399" s="7">
        <v>61.05</v>
      </c>
      <c r="E3399" s="5">
        <v>163</v>
      </c>
      <c r="F3399" s="5">
        <v>8</v>
      </c>
      <c r="G3399" s="12">
        <f>SUM($D$7:D3399)</f>
        <v>10648081.091000037</v>
      </c>
      <c r="H3399" s="11">
        <f t="shared" ref="H3399:H3462" si="53">G3399/SUM($D$7:$D$4167)</f>
        <v>0.99825592920431117</v>
      </c>
    </row>
    <row r="3400" spans="1:8" ht="15" customHeight="1" x14ac:dyDescent="0.25">
      <c r="A3400" s="5">
        <v>3394</v>
      </c>
      <c r="B3400" s="10" t="s">
        <v>6627</v>
      </c>
      <c r="C3400" s="10" t="s">
        <v>6628</v>
      </c>
      <c r="D3400" s="7">
        <v>60.9</v>
      </c>
      <c r="E3400" s="5">
        <v>42</v>
      </c>
      <c r="F3400" s="5">
        <v>18</v>
      </c>
      <c r="G3400" s="12">
        <f>SUM($D$7:D3400)</f>
        <v>10648141.991000038</v>
      </c>
      <c r="H3400" s="11">
        <f t="shared" si="53"/>
        <v>0.99826163856974226</v>
      </c>
    </row>
    <row r="3401" spans="1:8" ht="15" customHeight="1" x14ac:dyDescent="0.25">
      <c r="A3401" s="5">
        <v>3395</v>
      </c>
      <c r="B3401" s="10" t="s">
        <v>6629</v>
      </c>
      <c r="C3401" s="10" t="s">
        <v>6630</v>
      </c>
      <c r="D3401" s="7">
        <v>60.84</v>
      </c>
      <c r="E3401" s="5">
        <v>36</v>
      </c>
      <c r="F3401" s="5">
        <v>2</v>
      </c>
      <c r="G3401" s="12">
        <f>SUM($D$7:D3401)</f>
        <v>10648202.831000037</v>
      </c>
      <c r="H3401" s="11">
        <f t="shared" si="53"/>
        <v>0.99826734231018277</v>
      </c>
    </row>
    <row r="3402" spans="1:8" ht="15" customHeight="1" x14ac:dyDescent="0.25">
      <c r="A3402" s="5">
        <v>3396</v>
      </c>
      <c r="B3402" s="10" t="s">
        <v>6631</v>
      </c>
      <c r="C3402" s="10" t="s">
        <v>6632</v>
      </c>
      <c r="D3402" s="7">
        <v>60.75</v>
      </c>
      <c r="E3402" s="5">
        <v>9</v>
      </c>
      <c r="F3402" s="5">
        <v>4</v>
      </c>
      <c r="G3402" s="12">
        <f>SUM($D$7:D3402)</f>
        <v>10648263.581000037</v>
      </c>
      <c r="H3402" s="11">
        <f t="shared" si="53"/>
        <v>0.99827303761313746</v>
      </c>
    </row>
    <row r="3403" spans="1:8" ht="15" customHeight="1" x14ac:dyDescent="0.25">
      <c r="A3403" s="5">
        <v>3397</v>
      </c>
      <c r="B3403" s="10" t="s">
        <v>6633</v>
      </c>
      <c r="C3403" s="10" t="s">
        <v>6634</v>
      </c>
      <c r="D3403" s="7">
        <v>60.7</v>
      </c>
      <c r="E3403" s="5">
        <v>78</v>
      </c>
      <c r="F3403" s="5">
        <v>38</v>
      </c>
      <c r="G3403" s="12">
        <f>SUM($D$7:D3403)</f>
        <v>10648324.281000037</v>
      </c>
      <c r="H3403" s="11">
        <f t="shared" si="53"/>
        <v>0.99827872822859987</v>
      </c>
    </row>
    <row r="3404" spans="1:8" ht="15" customHeight="1" x14ac:dyDescent="0.25">
      <c r="A3404" s="5">
        <v>3398</v>
      </c>
      <c r="B3404" s="10" t="s">
        <v>6635</v>
      </c>
      <c r="C3404" s="10" t="s">
        <v>6636</v>
      </c>
      <c r="D3404" s="7">
        <v>60.45</v>
      </c>
      <c r="E3404" s="5">
        <v>13</v>
      </c>
      <c r="F3404" s="5">
        <v>4</v>
      </c>
      <c r="G3404" s="12">
        <f>SUM($D$7:D3404)</f>
        <v>10648384.731000036</v>
      </c>
      <c r="H3404" s="11">
        <f t="shared" si="53"/>
        <v>0.99828439540660163</v>
      </c>
    </row>
    <row r="3405" spans="1:8" ht="15" customHeight="1" x14ac:dyDescent="0.25">
      <c r="A3405" s="5">
        <v>3399</v>
      </c>
      <c r="B3405" s="10" t="s">
        <v>6637</v>
      </c>
      <c r="C3405" s="10" t="s">
        <v>6638</v>
      </c>
      <c r="D3405" s="7">
        <v>60</v>
      </c>
      <c r="E3405" s="5">
        <v>32</v>
      </c>
      <c r="F3405" s="5">
        <v>4</v>
      </c>
      <c r="G3405" s="12">
        <f>SUM($D$7:D3405)</f>
        <v>10648444.731000036</v>
      </c>
      <c r="H3405" s="11">
        <f t="shared" si="53"/>
        <v>0.99829002039717418</v>
      </c>
    </row>
    <row r="3406" spans="1:8" ht="15" customHeight="1" x14ac:dyDescent="0.25">
      <c r="A3406" s="5">
        <v>3400</v>
      </c>
      <c r="B3406" s="10" t="s">
        <v>6639</v>
      </c>
      <c r="C3406" s="10" t="s">
        <v>6640</v>
      </c>
      <c r="D3406" s="7">
        <v>59.89</v>
      </c>
      <c r="E3406" s="5">
        <v>50</v>
      </c>
      <c r="F3406" s="5">
        <v>7</v>
      </c>
      <c r="G3406" s="12">
        <f>SUM($D$7:D3406)</f>
        <v>10648504.621000037</v>
      </c>
      <c r="H3406" s="11">
        <f t="shared" si="53"/>
        <v>0.99829563507526398</v>
      </c>
    </row>
    <row r="3407" spans="1:8" ht="15" customHeight="1" x14ac:dyDescent="0.25">
      <c r="A3407" s="5">
        <v>3401</v>
      </c>
      <c r="B3407" s="10" t="s">
        <v>6641</v>
      </c>
      <c r="C3407" s="10" t="s">
        <v>6642</v>
      </c>
      <c r="D3407" s="7">
        <v>59.8</v>
      </c>
      <c r="E3407" s="5">
        <v>12</v>
      </c>
      <c r="F3407" s="5">
        <v>9</v>
      </c>
      <c r="G3407" s="12">
        <f>SUM($D$7:D3407)</f>
        <v>10648564.421000037</v>
      </c>
      <c r="H3407" s="11">
        <f t="shared" si="53"/>
        <v>0.99830124131586806</v>
      </c>
    </row>
    <row r="3408" spans="1:8" ht="15" customHeight="1" x14ac:dyDescent="0.25">
      <c r="A3408" s="5">
        <v>3402</v>
      </c>
      <c r="B3408" s="10" t="s">
        <v>1084</v>
      </c>
      <c r="C3408" s="10" t="s">
        <v>6643</v>
      </c>
      <c r="D3408" s="7">
        <v>59.8</v>
      </c>
      <c r="E3408" s="5">
        <v>4</v>
      </c>
      <c r="F3408" s="5">
        <v>1</v>
      </c>
      <c r="G3408" s="12">
        <f>SUM($D$7:D3408)</f>
        <v>10648624.221000038</v>
      </c>
      <c r="H3408" s="11">
        <f t="shared" si="53"/>
        <v>0.99830684755647203</v>
      </c>
    </row>
    <row r="3409" spans="1:8" ht="15" customHeight="1" x14ac:dyDescent="0.25">
      <c r="A3409" s="5">
        <v>3403</v>
      </c>
      <c r="B3409" s="10" t="s">
        <v>326</v>
      </c>
      <c r="C3409" s="10" t="s">
        <v>6644</v>
      </c>
      <c r="D3409" s="7">
        <v>59.8</v>
      </c>
      <c r="E3409" s="5">
        <v>4</v>
      </c>
      <c r="F3409" s="5">
        <v>1</v>
      </c>
      <c r="G3409" s="12">
        <f>SUM($D$7:D3409)</f>
        <v>10648684.021000039</v>
      </c>
      <c r="H3409" s="11">
        <f t="shared" si="53"/>
        <v>0.998312453797076</v>
      </c>
    </row>
    <row r="3410" spans="1:8" ht="15" customHeight="1" x14ac:dyDescent="0.25">
      <c r="A3410" s="5">
        <v>3404</v>
      </c>
      <c r="B3410" s="10" t="s">
        <v>6645</v>
      </c>
      <c r="C3410" s="10" t="s">
        <v>6646</v>
      </c>
      <c r="D3410" s="7">
        <v>59.76</v>
      </c>
      <c r="E3410" s="5">
        <v>24</v>
      </c>
      <c r="F3410" s="5">
        <v>10</v>
      </c>
      <c r="G3410" s="12">
        <f>SUM($D$7:D3410)</f>
        <v>10648743.781000039</v>
      </c>
      <c r="H3410" s="11">
        <f t="shared" si="53"/>
        <v>0.99831805628768622</v>
      </c>
    </row>
    <row r="3411" spans="1:8" ht="15" customHeight="1" x14ac:dyDescent="0.25">
      <c r="A3411" s="5">
        <v>3405</v>
      </c>
      <c r="B3411" s="10" t="s">
        <v>4459</v>
      </c>
      <c r="C3411" s="10" t="s">
        <v>6647</v>
      </c>
      <c r="D3411" s="7">
        <v>59.4</v>
      </c>
      <c r="E3411" s="5">
        <v>12</v>
      </c>
      <c r="F3411" s="5">
        <v>2</v>
      </c>
      <c r="G3411" s="12">
        <f>SUM($D$7:D3411)</f>
        <v>10648803.181000039</v>
      </c>
      <c r="H3411" s="11">
        <f t="shared" si="53"/>
        <v>0.99832362502835303</v>
      </c>
    </row>
    <row r="3412" spans="1:8" ht="15" customHeight="1" x14ac:dyDescent="0.25">
      <c r="A3412" s="5">
        <v>3406</v>
      </c>
      <c r="B3412" s="10" t="s">
        <v>4001</v>
      </c>
      <c r="C3412" s="10" t="s">
        <v>6648</v>
      </c>
      <c r="D3412" s="7">
        <v>59.4</v>
      </c>
      <c r="E3412" s="5">
        <v>36</v>
      </c>
      <c r="F3412" s="5">
        <v>3</v>
      </c>
      <c r="G3412" s="12">
        <f>SUM($D$7:D3412)</f>
        <v>10648862.581000039</v>
      </c>
      <c r="H3412" s="11">
        <f t="shared" si="53"/>
        <v>0.99832919376901985</v>
      </c>
    </row>
    <row r="3413" spans="1:8" ht="15" customHeight="1" x14ac:dyDescent="0.25">
      <c r="A3413" s="5">
        <v>3407</v>
      </c>
      <c r="B3413" s="10" t="s">
        <v>6649</v>
      </c>
      <c r="C3413" s="10" t="s">
        <v>6650</v>
      </c>
      <c r="D3413" s="7">
        <v>59.4</v>
      </c>
      <c r="E3413" s="5">
        <v>36</v>
      </c>
      <c r="F3413" s="5">
        <v>8</v>
      </c>
      <c r="G3413" s="12">
        <f>SUM($D$7:D3413)</f>
        <v>10648921.98100004</v>
      </c>
      <c r="H3413" s="11">
        <f t="shared" si="53"/>
        <v>0.99833476250968678</v>
      </c>
    </row>
    <row r="3414" spans="1:8" ht="15" customHeight="1" x14ac:dyDescent="0.25">
      <c r="A3414" s="5">
        <v>3408</v>
      </c>
      <c r="B3414" s="10" t="s">
        <v>6651</v>
      </c>
      <c r="C3414" s="10" t="s">
        <v>6652</v>
      </c>
      <c r="D3414" s="7">
        <v>59</v>
      </c>
      <c r="E3414" s="5">
        <v>20</v>
      </c>
      <c r="F3414" s="5">
        <v>11</v>
      </c>
      <c r="G3414" s="12">
        <f>SUM($D$7:D3414)</f>
        <v>10648980.98100004</v>
      </c>
      <c r="H3414" s="11">
        <f t="shared" si="53"/>
        <v>0.99834029375041633</v>
      </c>
    </row>
    <row r="3415" spans="1:8" ht="15" customHeight="1" x14ac:dyDescent="0.25">
      <c r="A3415" s="5">
        <v>3409</v>
      </c>
      <c r="B3415" s="10" t="s">
        <v>6653</v>
      </c>
      <c r="C3415" s="10" t="s">
        <v>6654</v>
      </c>
      <c r="D3415" s="7">
        <v>58.71</v>
      </c>
      <c r="E3415" s="5">
        <v>20</v>
      </c>
      <c r="F3415" s="5">
        <v>14</v>
      </c>
      <c r="G3415" s="12">
        <f>SUM($D$7:D3415)</f>
        <v>10649039.691000041</v>
      </c>
      <c r="H3415" s="11">
        <f t="shared" si="53"/>
        <v>0.9983457978036917</v>
      </c>
    </row>
    <row r="3416" spans="1:8" ht="15" customHeight="1" x14ac:dyDescent="0.25">
      <c r="A3416" s="5">
        <v>3410</v>
      </c>
      <c r="B3416" s="10" t="s">
        <v>6655</v>
      </c>
      <c r="C3416" s="10" t="s">
        <v>6656</v>
      </c>
      <c r="D3416" s="7">
        <v>58.65</v>
      </c>
      <c r="E3416" s="5">
        <v>69</v>
      </c>
      <c r="F3416" s="5">
        <v>21</v>
      </c>
      <c r="G3416" s="12">
        <f>SUM($D$7:D3416)</f>
        <v>10649098.341000041</v>
      </c>
      <c r="H3416" s="11">
        <f t="shared" si="53"/>
        <v>0.99835129623197627</v>
      </c>
    </row>
    <row r="3417" spans="1:8" ht="15" customHeight="1" x14ac:dyDescent="0.25">
      <c r="A3417" s="5">
        <v>3411</v>
      </c>
      <c r="B3417" s="10" t="s">
        <v>6657</v>
      </c>
      <c r="C3417" s="10" t="s">
        <v>6658</v>
      </c>
      <c r="D3417" s="7">
        <v>58.65</v>
      </c>
      <c r="E3417" s="5">
        <v>23</v>
      </c>
      <c r="F3417" s="5">
        <v>4</v>
      </c>
      <c r="G3417" s="12">
        <f>SUM($D$7:D3417)</f>
        <v>10649156.991000041</v>
      </c>
      <c r="H3417" s="11">
        <f t="shared" si="53"/>
        <v>0.99835679466026095</v>
      </c>
    </row>
    <row r="3418" spans="1:8" ht="15" customHeight="1" x14ac:dyDescent="0.25">
      <c r="A3418" s="5">
        <v>3412</v>
      </c>
      <c r="B3418" s="10" t="s">
        <v>6659</v>
      </c>
      <c r="C3418" s="10" t="s">
        <v>6660</v>
      </c>
      <c r="D3418" s="7">
        <v>58.62</v>
      </c>
      <c r="E3418" s="5">
        <v>105</v>
      </c>
      <c r="F3418" s="5">
        <v>11</v>
      </c>
      <c r="G3418" s="12">
        <f>SUM($D$7:D3418)</f>
        <v>10649215.611000041</v>
      </c>
      <c r="H3418" s="11">
        <f t="shared" si="53"/>
        <v>0.99836229027605028</v>
      </c>
    </row>
    <row r="3419" spans="1:8" ht="15" customHeight="1" x14ac:dyDescent="0.25">
      <c r="A3419" s="5">
        <v>3413</v>
      </c>
      <c r="B3419" s="10" t="s">
        <v>6661</v>
      </c>
      <c r="C3419" s="10" t="s">
        <v>6662</v>
      </c>
      <c r="D3419" s="7">
        <v>58.43</v>
      </c>
      <c r="E3419" s="5">
        <v>20</v>
      </c>
      <c r="F3419" s="5">
        <v>19</v>
      </c>
      <c r="G3419" s="12">
        <f>SUM($D$7:D3419)</f>
        <v>10649274.04100004</v>
      </c>
      <c r="H3419" s="11">
        <f t="shared" si="53"/>
        <v>0.99836776807936944</v>
      </c>
    </row>
    <row r="3420" spans="1:8" ht="15" customHeight="1" x14ac:dyDescent="0.25">
      <c r="A3420" s="5">
        <v>3414</v>
      </c>
      <c r="B3420" s="10" t="s">
        <v>6663</v>
      </c>
      <c r="C3420" s="10" t="s">
        <v>6664</v>
      </c>
      <c r="D3420" s="7">
        <v>58.16</v>
      </c>
      <c r="E3420" s="5">
        <v>40</v>
      </c>
      <c r="F3420" s="5">
        <v>4</v>
      </c>
      <c r="G3420" s="12">
        <f>SUM($D$7:D3420)</f>
        <v>10649332.20100004</v>
      </c>
      <c r="H3420" s="11">
        <f t="shared" si="53"/>
        <v>0.99837322057023103</v>
      </c>
    </row>
    <row r="3421" spans="1:8" ht="15" customHeight="1" x14ac:dyDescent="0.25">
      <c r="A3421" s="5">
        <v>3415</v>
      </c>
      <c r="B3421" s="10" t="s">
        <v>6665</v>
      </c>
      <c r="C3421" s="10" t="s">
        <v>2879</v>
      </c>
      <c r="D3421" s="7">
        <v>58.03</v>
      </c>
      <c r="E3421" s="5">
        <v>7</v>
      </c>
      <c r="F3421" s="5">
        <v>2</v>
      </c>
      <c r="G3421" s="12">
        <f>SUM($D$7:D3421)</f>
        <v>10649390.23100004</v>
      </c>
      <c r="H3421" s="11">
        <f t="shared" si="53"/>
        <v>0.99837866087361304</v>
      </c>
    </row>
    <row r="3422" spans="1:8" ht="15" customHeight="1" x14ac:dyDescent="0.25">
      <c r="A3422" s="5">
        <v>3416</v>
      </c>
      <c r="B3422" s="10" t="s">
        <v>6666</v>
      </c>
      <c r="C3422" s="10" t="s">
        <v>6667</v>
      </c>
      <c r="D3422" s="7">
        <v>57.96</v>
      </c>
      <c r="E3422" s="5">
        <v>138</v>
      </c>
      <c r="F3422" s="5">
        <v>21</v>
      </c>
      <c r="G3422" s="12">
        <f>SUM($D$7:D3422)</f>
        <v>10649448.191000041</v>
      </c>
      <c r="H3422" s="11">
        <f t="shared" si="53"/>
        <v>0.99838409461450617</v>
      </c>
    </row>
    <row r="3423" spans="1:8" ht="15" customHeight="1" x14ac:dyDescent="0.25">
      <c r="A3423" s="5">
        <v>3417</v>
      </c>
      <c r="B3423" s="10" t="s">
        <v>6668</v>
      </c>
      <c r="C3423" s="10" t="s">
        <v>6669</v>
      </c>
      <c r="D3423" s="7">
        <v>57.8</v>
      </c>
      <c r="E3423" s="5">
        <v>68</v>
      </c>
      <c r="F3423" s="5">
        <v>14</v>
      </c>
      <c r="G3423" s="12">
        <f>SUM($D$7:D3423)</f>
        <v>10649505.991000041</v>
      </c>
      <c r="H3423" s="11">
        <f t="shared" si="53"/>
        <v>0.99838951335542447</v>
      </c>
    </row>
    <row r="3424" spans="1:8" ht="15" customHeight="1" x14ac:dyDescent="0.25">
      <c r="A3424" s="5">
        <v>3418</v>
      </c>
      <c r="B3424" s="10" t="s">
        <v>6670</v>
      </c>
      <c r="C3424" s="10" t="s">
        <v>6671</v>
      </c>
      <c r="D3424" s="7">
        <v>57.55</v>
      </c>
      <c r="E3424" s="5">
        <v>34</v>
      </c>
      <c r="F3424" s="5">
        <v>10</v>
      </c>
      <c r="G3424" s="12">
        <f>SUM($D$7:D3424)</f>
        <v>10649563.541000042</v>
      </c>
      <c r="H3424" s="11">
        <f t="shared" si="53"/>
        <v>0.99839490865888203</v>
      </c>
    </row>
    <row r="3425" spans="1:8" ht="15" customHeight="1" x14ac:dyDescent="0.25">
      <c r="A3425" s="5">
        <v>3419</v>
      </c>
      <c r="B3425" s="10" t="s">
        <v>6672</v>
      </c>
      <c r="C3425" s="10" t="s">
        <v>6673</v>
      </c>
      <c r="D3425" s="7">
        <v>57.5</v>
      </c>
      <c r="E3425" s="5">
        <v>46</v>
      </c>
      <c r="F3425" s="5">
        <v>13</v>
      </c>
      <c r="G3425" s="12">
        <f>SUM($D$7:D3425)</f>
        <v>10649621.041000042</v>
      </c>
      <c r="H3425" s="11">
        <f t="shared" si="53"/>
        <v>0.9984002992748473</v>
      </c>
    </row>
    <row r="3426" spans="1:8" ht="15" customHeight="1" x14ac:dyDescent="0.25">
      <c r="A3426" s="5">
        <v>3420</v>
      </c>
      <c r="B3426" s="10" t="s">
        <v>6674</v>
      </c>
      <c r="C3426" s="10" t="s">
        <v>6675</v>
      </c>
      <c r="D3426" s="7">
        <v>57.5</v>
      </c>
      <c r="E3426" s="5">
        <v>46</v>
      </c>
      <c r="F3426" s="5">
        <v>10</v>
      </c>
      <c r="G3426" s="12">
        <f>SUM($D$7:D3426)</f>
        <v>10649678.541000042</v>
      </c>
      <c r="H3426" s="11">
        <f t="shared" si="53"/>
        <v>0.99840568989081269</v>
      </c>
    </row>
    <row r="3427" spans="1:8" ht="15" customHeight="1" x14ac:dyDescent="0.25">
      <c r="A3427" s="5">
        <v>3421</v>
      </c>
      <c r="B3427" s="10" t="s">
        <v>6676</v>
      </c>
      <c r="C3427" s="10" t="s">
        <v>6677</v>
      </c>
      <c r="D3427" s="7">
        <v>57.25</v>
      </c>
      <c r="E3427" s="5">
        <v>55</v>
      </c>
      <c r="F3427" s="5">
        <v>9</v>
      </c>
      <c r="G3427" s="12">
        <f>SUM($D$7:D3427)</f>
        <v>10649735.791000042</v>
      </c>
      <c r="H3427" s="11">
        <f t="shared" si="53"/>
        <v>0.99841105706931732</v>
      </c>
    </row>
    <row r="3428" spans="1:8" ht="15" customHeight="1" x14ac:dyDescent="0.25">
      <c r="A3428" s="5">
        <v>3422</v>
      </c>
      <c r="B3428" s="10" t="s">
        <v>6678</v>
      </c>
      <c r="C3428" s="10" t="s">
        <v>6679</v>
      </c>
      <c r="D3428" s="7">
        <v>57.21</v>
      </c>
      <c r="E3428" s="5">
        <v>71</v>
      </c>
      <c r="F3428" s="5">
        <v>41</v>
      </c>
      <c r="G3428" s="12">
        <f>SUM($D$7:D3428)</f>
        <v>10649793.001000043</v>
      </c>
      <c r="H3428" s="11">
        <f t="shared" si="53"/>
        <v>0.99841642049782819</v>
      </c>
    </row>
    <row r="3429" spans="1:8" ht="15" customHeight="1" x14ac:dyDescent="0.25">
      <c r="A3429" s="5">
        <v>3423</v>
      </c>
      <c r="B3429" s="10" t="s">
        <v>6680</v>
      </c>
      <c r="C3429" s="10" t="s">
        <v>6681</v>
      </c>
      <c r="D3429" s="7">
        <v>56.78</v>
      </c>
      <c r="E3429" s="5">
        <v>28</v>
      </c>
      <c r="F3429" s="5">
        <v>11</v>
      </c>
      <c r="G3429" s="12">
        <f>SUM($D$7:D3429)</f>
        <v>10649849.781000042</v>
      </c>
      <c r="H3429" s="11">
        <f t="shared" si="53"/>
        <v>0.99842174361390668</v>
      </c>
    </row>
    <row r="3430" spans="1:8" ht="15" customHeight="1" x14ac:dyDescent="0.25">
      <c r="A3430" s="5">
        <v>3424</v>
      </c>
      <c r="B3430" s="10" t="s">
        <v>6682</v>
      </c>
      <c r="C3430" s="10" t="s">
        <v>6683</v>
      </c>
      <c r="D3430" s="7">
        <v>56.59</v>
      </c>
      <c r="E3430" s="5">
        <v>9</v>
      </c>
      <c r="F3430" s="5">
        <v>8</v>
      </c>
      <c r="G3430" s="12">
        <f>SUM($D$7:D3430)</f>
        <v>10649906.371000042</v>
      </c>
      <c r="H3430" s="11">
        <f t="shared" si="53"/>
        <v>0.99842704891751488</v>
      </c>
    </row>
    <row r="3431" spans="1:8" ht="15" customHeight="1" x14ac:dyDescent="0.25">
      <c r="A3431" s="5">
        <v>3425</v>
      </c>
      <c r="B3431" s="10" t="s">
        <v>6684</v>
      </c>
      <c r="C3431" s="10" t="s">
        <v>6685</v>
      </c>
      <c r="D3431" s="7">
        <v>56.52</v>
      </c>
      <c r="E3431" s="5">
        <v>52</v>
      </c>
      <c r="F3431" s="5">
        <v>6</v>
      </c>
      <c r="G3431" s="12">
        <f>SUM($D$7:D3431)</f>
        <v>10649962.891000042</v>
      </c>
      <c r="H3431" s="11">
        <f t="shared" si="53"/>
        <v>0.9984323476586342</v>
      </c>
    </row>
    <row r="3432" spans="1:8" ht="15" customHeight="1" x14ac:dyDescent="0.25">
      <c r="A3432" s="5">
        <v>3426</v>
      </c>
      <c r="B3432" s="10" t="s">
        <v>6686</v>
      </c>
      <c r="C3432" s="10" t="s">
        <v>6687</v>
      </c>
      <c r="D3432" s="7">
        <v>56.31</v>
      </c>
      <c r="E3432" s="5">
        <v>15</v>
      </c>
      <c r="F3432" s="5">
        <v>10</v>
      </c>
      <c r="G3432" s="12">
        <f>SUM($D$7:D3432)</f>
        <v>10650019.201000042</v>
      </c>
      <c r="H3432" s="11">
        <f t="shared" si="53"/>
        <v>0.99843762671228653</v>
      </c>
    </row>
    <row r="3433" spans="1:8" ht="15" customHeight="1" x14ac:dyDescent="0.25">
      <c r="A3433" s="5">
        <v>3427</v>
      </c>
      <c r="B3433" s="10" t="s">
        <v>6688</v>
      </c>
      <c r="C3433" s="10" t="s">
        <v>6689</v>
      </c>
      <c r="D3433" s="7">
        <v>56.25</v>
      </c>
      <c r="E3433" s="5">
        <v>45</v>
      </c>
      <c r="F3433" s="5">
        <v>11</v>
      </c>
      <c r="G3433" s="12">
        <f>SUM($D$7:D3433)</f>
        <v>10650075.451000042</v>
      </c>
      <c r="H3433" s="11">
        <f t="shared" si="53"/>
        <v>0.99844290014094828</v>
      </c>
    </row>
    <row r="3434" spans="1:8" ht="15" customHeight="1" x14ac:dyDescent="0.25">
      <c r="A3434" s="5">
        <v>3428</v>
      </c>
      <c r="B3434" s="10" t="s">
        <v>6690</v>
      </c>
      <c r="C3434" s="10" t="s">
        <v>6691</v>
      </c>
      <c r="D3434" s="7">
        <v>56.15</v>
      </c>
      <c r="E3434" s="5">
        <v>15</v>
      </c>
      <c r="F3434" s="5">
        <v>10</v>
      </c>
      <c r="G3434" s="12">
        <f>SUM($D$7:D3434)</f>
        <v>10650131.601000043</v>
      </c>
      <c r="H3434" s="11">
        <f t="shared" si="53"/>
        <v>0.99844816419462579</v>
      </c>
    </row>
    <row r="3435" spans="1:8" ht="15" customHeight="1" x14ac:dyDescent="0.25">
      <c r="A3435" s="5">
        <v>3429</v>
      </c>
      <c r="B3435" s="10" t="s">
        <v>6692</v>
      </c>
      <c r="C3435" s="10" t="s">
        <v>6693</v>
      </c>
      <c r="D3435" s="7">
        <v>55.72</v>
      </c>
      <c r="E3435" s="5">
        <v>8</v>
      </c>
      <c r="F3435" s="5">
        <v>4</v>
      </c>
      <c r="G3435" s="12">
        <f>SUM($D$7:D3435)</f>
        <v>10650187.321000043</v>
      </c>
      <c r="H3435" s="11">
        <f t="shared" si="53"/>
        <v>0.9984533879358708</v>
      </c>
    </row>
    <row r="3436" spans="1:8" ht="15" customHeight="1" x14ac:dyDescent="0.25">
      <c r="A3436" s="5">
        <v>3430</v>
      </c>
      <c r="B3436" s="10" t="s">
        <v>6694</v>
      </c>
      <c r="C3436" s="10" t="s">
        <v>6695</v>
      </c>
      <c r="D3436" s="7">
        <v>55.7</v>
      </c>
      <c r="E3436" s="5">
        <v>6</v>
      </c>
      <c r="F3436" s="5">
        <v>2</v>
      </c>
      <c r="G3436" s="12">
        <f>SUM($D$7:D3436)</f>
        <v>10650243.021000043</v>
      </c>
      <c r="H3436" s="11">
        <f t="shared" si="53"/>
        <v>0.99845860980211898</v>
      </c>
    </row>
    <row r="3437" spans="1:8" ht="15" customHeight="1" x14ac:dyDescent="0.25">
      <c r="A3437" s="5">
        <v>3431</v>
      </c>
      <c r="B3437" s="10" t="s">
        <v>6696</v>
      </c>
      <c r="C3437" s="10" t="s">
        <v>6697</v>
      </c>
      <c r="D3437" s="7">
        <v>55.02</v>
      </c>
      <c r="E3437" s="5">
        <v>13</v>
      </c>
      <c r="F3437" s="5">
        <v>9</v>
      </c>
      <c r="G3437" s="12">
        <f>SUM($D$7:D3437)</f>
        <v>10650298.041000042</v>
      </c>
      <c r="H3437" s="11">
        <f t="shared" si="53"/>
        <v>0.99846376791847391</v>
      </c>
    </row>
    <row r="3438" spans="1:8" ht="15" customHeight="1" x14ac:dyDescent="0.25">
      <c r="A3438" s="5">
        <v>3432</v>
      </c>
      <c r="B3438" s="10" t="s">
        <v>6698</v>
      </c>
      <c r="C3438" s="10" t="s">
        <v>6699</v>
      </c>
      <c r="D3438" s="7">
        <v>54.99</v>
      </c>
      <c r="E3438" s="5">
        <v>61</v>
      </c>
      <c r="F3438" s="5">
        <v>12</v>
      </c>
      <c r="G3438" s="12">
        <f>SUM($D$7:D3438)</f>
        <v>10650353.031000042</v>
      </c>
      <c r="H3438" s="11">
        <f t="shared" si="53"/>
        <v>0.9984689232223336</v>
      </c>
    </row>
    <row r="3439" spans="1:8" ht="15" customHeight="1" x14ac:dyDescent="0.25">
      <c r="A3439" s="5">
        <v>3433</v>
      </c>
      <c r="B3439" s="10" t="s">
        <v>5784</v>
      </c>
      <c r="C3439" s="10" t="s">
        <v>6700</v>
      </c>
      <c r="D3439" s="7">
        <v>54.8</v>
      </c>
      <c r="E3439" s="5">
        <v>11</v>
      </c>
      <c r="F3439" s="5">
        <v>6</v>
      </c>
      <c r="G3439" s="12">
        <f>SUM($D$7:D3439)</f>
        <v>10650407.831000043</v>
      </c>
      <c r="H3439" s="11">
        <f t="shared" si="53"/>
        <v>0.99847406071372324</v>
      </c>
    </row>
    <row r="3440" spans="1:8" ht="15" customHeight="1" x14ac:dyDescent="0.25">
      <c r="A3440" s="5">
        <v>3434</v>
      </c>
      <c r="B3440" s="10" t="s">
        <v>6701</v>
      </c>
      <c r="C3440" s="10" t="s">
        <v>6702</v>
      </c>
      <c r="D3440" s="7">
        <v>54.62</v>
      </c>
      <c r="E3440" s="5">
        <v>44</v>
      </c>
      <c r="F3440" s="5">
        <v>33</v>
      </c>
      <c r="G3440" s="12">
        <f>SUM($D$7:D3440)</f>
        <v>10650462.451000042</v>
      </c>
      <c r="H3440" s="11">
        <f t="shared" si="53"/>
        <v>0.99847918133014102</v>
      </c>
    </row>
    <row r="3441" spans="1:8" ht="15" customHeight="1" x14ac:dyDescent="0.25">
      <c r="A3441" s="5">
        <v>3435</v>
      </c>
      <c r="B3441" s="10" t="s">
        <v>6703</v>
      </c>
      <c r="C3441" s="10" t="s">
        <v>6704</v>
      </c>
      <c r="D3441" s="7">
        <v>54.6</v>
      </c>
      <c r="E3441" s="5">
        <v>28</v>
      </c>
      <c r="F3441" s="5">
        <v>12</v>
      </c>
      <c r="G3441" s="12">
        <f>SUM($D$7:D3441)</f>
        <v>10650517.051000042</v>
      </c>
      <c r="H3441" s="11">
        <f t="shared" si="53"/>
        <v>0.99848430007156197</v>
      </c>
    </row>
    <row r="3442" spans="1:8" ht="15" customHeight="1" x14ac:dyDescent="0.25">
      <c r="A3442" s="5">
        <v>3436</v>
      </c>
      <c r="B3442" s="10" t="s">
        <v>6705</v>
      </c>
      <c r="C3442" s="10" t="s">
        <v>6706</v>
      </c>
      <c r="D3442" s="7">
        <v>54.57</v>
      </c>
      <c r="E3442" s="5">
        <v>27</v>
      </c>
      <c r="F3442" s="5">
        <v>10</v>
      </c>
      <c r="G3442" s="12">
        <f>SUM($D$7:D3442)</f>
        <v>10650571.621000042</v>
      </c>
      <c r="H3442" s="11">
        <f t="shared" si="53"/>
        <v>0.99848941600048768</v>
      </c>
    </row>
    <row r="3443" spans="1:8" ht="15" customHeight="1" x14ac:dyDescent="0.25">
      <c r="A3443" s="5">
        <v>3437</v>
      </c>
      <c r="B3443" s="10" t="s">
        <v>6707</v>
      </c>
      <c r="C3443" s="10" t="s">
        <v>6708</v>
      </c>
      <c r="D3443" s="7">
        <v>54.42</v>
      </c>
      <c r="E3443" s="5">
        <v>15</v>
      </c>
      <c r="F3443" s="5">
        <v>10</v>
      </c>
      <c r="G3443" s="12">
        <f>SUM($D$7:D3443)</f>
        <v>10650626.041000042</v>
      </c>
      <c r="H3443" s="11">
        <f t="shared" si="53"/>
        <v>0.99849451786693699</v>
      </c>
    </row>
    <row r="3444" spans="1:8" ht="15" customHeight="1" x14ac:dyDescent="0.25">
      <c r="A3444" s="5">
        <v>3438</v>
      </c>
      <c r="B3444" s="10" t="s">
        <v>6709</v>
      </c>
      <c r="C3444" s="10" t="s">
        <v>6710</v>
      </c>
      <c r="D3444" s="7">
        <v>54.4</v>
      </c>
      <c r="E3444" s="5">
        <v>64</v>
      </c>
      <c r="F3444" s="5">
        <v>20</v>
      </c>
      <c r="G3444" s="12">
        <f>SUM($D$7:D3444)</f>
        <v>10650680.441000042</v>
      </c>
      <c r="H3444" s="11">
        <f t="shared" si="53"/>
        <v>0.99849961785838937</v>
      </c>
    </row>
    <row r="3445" spans="1:8" ht="15" customHeight="1" x14ac:dyDescent="0.25">
      <c r="A3445" s="5">
        <v>3439</v>
      </c>
      <c r="B3445" s="10" t="s">
        <v>6711</v>
      </c>
      <c r="C3445" s="10" t="s">
        <v>6712</v>
      </c>
      <c r="D3445" s="7">
        <v>54.29</v>
      </c>
      <c r="E3445" s="5">
        <v>14</v>
      </c>
      <c r="F3445" s="5">
        <v>5</v>
      </c>
      <c r="G3445" s="12">
        <f>SUM($D$7:D3445)</f>
        <v>10650734.731000042</v>
      </c>
      <c r="H3445" s="11">
        <f t="shared" si="53"/>
        <v>0.99850470753735898</v>
      </c>
    </row>
    <row r="3446" spans="1:8" ht="15" customHeight="1" x14ac:dyDescent="0.25">
      <c r="A3446" s="5">
        <v>3440</v>
      </c>
      <c r="B3446" s="10" t="s">
        <v>6713</v>
      </c>
      <c r="C3446" s="10" t="s">
        <v>6714</v>
      </c>
      <c r="D3446" s="7">
        <v>54</v>
      </c>
      <c r="E3446" s="5">
        <v>8</v>
      </c>
      <c r="F3446" s="5">
        <v>4</v>
      </c>
      <c r="G3446" s="12">
        <f>SUM($D$7:D3446)</f>
        <v>10650788.731000042</v>
      </c>
      <c r="H3446" s="11">
        <f t="shared" si="53"/>
        <v>0.99850977002887431</v>
      </c>
    </row>
    <row r="3447" spans="1:8" ht="15" customHeight="1" x14ac:dyDescent="0.25">
      <c r="A3447" s="5">
        <v>3441</v>
      </c>
      <c r="B3447" s="10" t="s">
        <v>6715</v>
      </c>
      <c r="C3447" s="10" t="s">
        <v>6716</v>
      </c>
      <c r="D3447" s="7">
        <v>54</v>
      </c>
      <c r="E3447" s="5">
        <v>8</v>
      </c>
      <c r="F3447" s="5">
        <v>1</v>
      </c>
      <c r="G3447" s="12">
        <f>SUM($D$7:D3447)</f>
        <v>10650842.731000042</v>
      </c>
      <c r="H3447" s="11">
        <f t="shared" si="53"/>
        <v>0.99851483252038953</v>
      </c>
    </row>
    <row r="3448" spans="1:8" ht="15" customHeight="1" x14ac:dyDescent="0.25">
      <c r="A3448" s="5">
        <v>3442</v>
      </c>
      <c r="B3448" s="10" t="s">
        <v>1146</v>
      </c>
      <c r="C3448" s="10" t="s">
        <v>6717</v>
      </c>
      <c r="D3448" s="7">
        <v>53.95</v>
      </c>
      <c r="E3448" s="5">
        <v>13</v>
      </c>
      <c r="F3448" s="5">
        <v>4</v>
      </c>
      <c r="G3448" s="12">
        <f>SUM($D$7:D3448)</f>
        <v>10650896.681000041</v>
      </c>
      <c r="H3448" s="11">
        <f t="shared" si="53"/>
        <v>0.99851989032441257</v>
      </c>
    </row>
    <row r="3449" spans="1:8" ht="15" customHeight="1" x14ac:dyDescent="0.25">
      <c r="A3449" s="5">
        <v>3443</v>
      </c>
      <c r="B3449" s="10" t="s">
        <v>6718</v>
      </c>
      <c r="C3449" s="10" t="s">
        <v>6719</v>
      </c>
      <c r="D3449" s="7">
        <v>53.88</v>
      </c>
      <c r="E3449" s="5">
        <v>127</v>
      </c>
      <c r="F3449" s="5">
        <v>40</v>
      </c>
      <c r="G3449" s="12">
        <f>SUM($D$7:D3449)</f>
        <v>10650950.561000042</v>
      </c>
      <c r="H3449" s="11">
        <f t="shared" si="53"/>
        <v>0.99852494156594684</v>
      </c>
    </row>
    <row r="3450" spans="1:8" ht="15" customHeight="1" x14ac:dyDescent="0.25">
      <c r="A3450" s="5">
        <v>3444</v>
      </c>
      <c r="B3450" s="10" t="s">
        <v>6720</v>
      </c>
      <c r="C3450" s="10" t="s">
        <v>6721</v>
      </c>
      <c r="D3450" s="7">
        <v>53.76</v>
      </c>
      <c r="E3450" s="5">
        <v>11</v>
      </c>
      <c r="F3450" s="5">
        <v>5</v>
      </c>
      <c r="G3450" s="12">
        <f>SUM($D$7:D3450)</f>
        <v>10651004.321000041</v>
      </c>
      <c r="H3450" s="11">
        <f t="shared" si="53"/>
        <v>0.99852998155749972</v>
      </c>
    </row>
    <row r="3451" spans="1:8" ht="15" customHeight="1" x14ac:dyDescent="0.25">
      <c r="A3451" s="5">
        <v>3445</v>
      </c>
      <c r="B3451" s="10" t="s">
        <v>6722</v>
      </c>
      <c r="C3451" s="10" t="s">
        <v>6723</v>
      </c>
      <c r="D3451" s="7">
        <v>53.62</v>
      </c>
      <c r="E3451" s="5">
        <v>5</v>
      </c>
      <c r="F3451" s="5">
        <v>3</v>
      </c>
      <c r="G3451" s="12">
        <f>SUM($D$7:D3451)</f>
        <v>10651057.941000041</v>
      </c>
      <c r="H3451" s="11">
        <f t="shared" si="53"/>
        <v>0.99853500842407461</v>
      </c>
    </row>
    <row r="3452" spans="1:8" ht="15" customHeight="1" x14ac:dyDescent="0.25">
      <c r="A3452" s="5">
        <v>3446</v>
      </c>
      <c r="B3452" s="10" t="s">
        <v>6724</v>
      </c>
      <c r="C3452" s="10" t="s">
        <v>6725</v>
      </c>
      <c r="D3452" s="7">
        <v>53.55</v>
      </c>
      <c r="E3452" s="5">
        <v>9</v>
      </c>
      <c r="F3452" s="5">
        <v>7</v>
      </c>
      <c r="G3452" s="12">
        <f>SUM($D$7:D3452)</f>
        <v>10651111.491000041</v>
      </c>
      <c r="H3452" s="11">
        <f t="shared" si="53"/>
        <v>0.99854002872816072</v>
      </c>
    </row>
    <row r="3453" spans="1:8" ht="15" customHeight="1" x14ac:dyDescent="0.25">
      <c r="A3453" s="5">
        <v>3447</v>
      </c>
      <c r="B3453" s="10" t="s">
        <v>6726</v>
      </c>
      <c r="C3453" s="10" t="s">
        <v>3127</v>
      </c>
      <c r="D3453" s="7">
        <v>53.55</v>
      </c>
      <c r="E3453" s="5">
        <v>21</v>
      </c>
      <c r="F3453" s="5">
        <v>8</v>
      </c>
      <c r="G3453" s="12">
        <f>SUM($D$7:D3453)</f>
        <v>10651165.041000042</v>
      </c>
      <c r="H3453" s="11">
        <f t="shared" si="53"/>
        <v>0.99854504903224672</v>
      </c>
    </row>
    <row r="3454" spans="1:8" ht="15" customHeight="1" x14ac:dyDescent="0.25">
      <c r="A3454" s="5">
        <v>3448</v>
      </c>
      <c r="B3454" s="10" t="s">
        <v>6727</v>
      </c>
      <c r="C3454" s="10" t="s">
        <v>6728</v>
      </c>
      <c r="D3454" s="7">
        <v>53.55</v>
      </c>
      <c r="E3454" s="5">
        <v>21</v>
      </c>
      <c r="F3454" s="5">
        <v>11</v>
      </c>
      <c r="G3454" s="12">
        <f>SUM($D$7:D3454)</f>
        <v>10651218.591000043</v>
      </c>
      <c r="H3454" s="11">
        <f t="shared" si="53"/>
        <v>0.99855006933633272</v>
      </c>
    </row>
    <row r="3455" spans="1:8" ht="15" customHeight="1" x14ac:dyDescent="0.25">
      <c r="A3455" s="5">
        <v>3449</v>
      </c>
      <c r="B3455" s="10" t="s">
        <v>6729</v>
      </c>
      <c r="C3455" s="10" t="s">
        <v>6730</v>
      </c>
      <c r="D3455" s="7">
        <v>53.55</v>
      </c>
      <c r="E3455" s="5">
        <v>63</v>
      </c>
      <c r="F3455" s="5">
        <v>22</v>
      </c>
      <c r="G3455" s="12">
        <f>SUM($D$7:D3455)</f>
        <v>10651272.141000044</v>
      </c>
      <c r="H3455" s="11">
        <f t="shared" si="53"/>
        <v>0.99855508964041884</v>
      </c>
    </row>
    <row r="3456" spans="1:8" ht="15" customHeight="1" x14ac:dyDescent="0.25">
      <c r="A3456" s="5">
        <v>3450</v>
      </c>
      <c r="B3456" s="10" t="s">
        <v>6731</v>
      </c>
      <c r="C3456" s="10" t="s">
        <v>6732</v>
      </c>
      <c r="D3456" s="7">
        <v>53.42</v>
      </c>
      <c r="E3456" s="5">
        <v>9</v>
      </c>
      <c r="F3456" s="5">
        <v>5</v>
      </c>
      <c r="G3456" s="12">
        <f>SUM($D$7:D3456)</f>
        <v>10651325.561000044</v>
      </c>
      <c r="H3456" s="11">
        <f t="shared" si="53"/>
        <v>0.99856009775702526</v>
      </c>
    </row>
    <row r="3457" spans="1:8" ht="15" customHeight="1" x14ac:dyDescent="0.25">
      <c r="A3457" s="5">
        <v>3451</v>
      </c>
      <c r="B3457" s="10" t="s">
        <v>6733</v>
      </c>
      <c r="C3457" s="10" t="s">
        <v>6734</v>
      </c>
      <c r="D3457" s="7">
        <v>53.26</v>
      </c>
      <c r="E3457" s="5">
        <v>9</v>
      </c>
      <c r="F3457" s="5">
        <v>6</v>
      </c>
      <c r="G3457" s="12">
        <f>SUM($D$7:D3457)</f>
        <v>10651378.821000043</v>
      </c>
      <c r="H3457" s="11">
        <f t="shared" si="53"/>
        <v>0.99856509087365675</v>
      </c>
    </row>
    <row r="3458" spans="1:8" ht="15" customHeight="1" x14ac:dyDescent="0.25">
      <c r="A3458" s="5">
        <v>3452</v>
      </c>
      <c r="B3458" s="10" t="s">
        <v>6735</v>
      </c>
      <c r="C3458" s="10" t="s">
        <v>6736</v>
      </c>
      <c r="D3458" s="7">
        <v>53.2</v>
      </c>
      <c r="E3458" s="5">
        <v>72</v>
      </c>
      <c r="F3458" s="5">
        <v>30</v>
      </c>
      <c r="G3458" s="12">
        <f>SUM($D$7:D3458)</f>
        <v>10651432.021000043</v>
      </c>
      <c r="H3458" s="11">
        <f t="shared" si="53"/>
        <v>0.99857007836529765</v>
      </c>
    </row>
    <row r="3459" spans="1:8" ht="15" customHeight="1" x14ac:dyDescent="0.25">
      <c r="A3459" s="5">
        <v>3453</v>
      </c>
      <c r="B3459" s="10" t="s">
        <v>6737</v>
      </c>
      <c r="C3459" s="10" t="s">
        <v>6738</v>
      </c>
      <c r="D3459" s="7">
        <v>52.8</v>
      </c>
      <c r="E3459" s="5">
        <v>32</v>
      </c>
      <c r="F3459" s="5">
        <v>8</v>
      </c>
      <c r="G3459" s="12">
        <f>SUM($D$7:D3459)</f>
        <v>10651484.821000043</v>
      </c>
      <c r="H3459" s="11">
        <f t="shared" si="53"/>
        <v>0.99857502835700152</v>
      </c>
    </row>
    <row r="3460" spans="1:8" ht="15" customHeight="1" x14ac:dyDescent="0.25">
      <c r="A3460" s="5">
        <v>3454</v>
      </c>
      <c r="B3460" s="10" t="s">
        <v>6739</v>
      </c>
      <c r="C3460" s="10" t="s">
        <v>6740</v>
      </c>
      <c r="D3460" s="7">
        <v>52.72</v>
      </c>
      <c r="E3460" s="5">
        <v>7</v>
      </c>
      <c r="F3460" s="5">
        <v>5</v>
      </c>
      <c r="G3460" s="12">
        <f>SUM($D$7:D3460)</f>
        <v>10651537.541000044</v>
      </c>
      <c r="H3460" s="11">
        <f t="shared" si="53"/>
        <v>0.99857997084871797</v>
      </c>
    </row>
    <row r="3461" spans="1:8" ht="15" customHeight="1" x14ac:dyDescent="0.25">
      <c r="A3461" s="5">
        <v>3455</v>
      </c>
      <c r="B3461" s="10" t="s">
        <v>6741</v>
      </c>
      <c r="C3461" s="10" t="s">
        <v>6742</v>
      </c>
      <c r="D3461" s="7">
        <v>52.56</v>
      </c>
      <c r="E3461" s="5">
        <v>18</v>
      </c>
      <c r="F3461" s="5">
        <v>12</v>
      </c>
      <c r="G3461" s="12">
        <f>SUM($D$7:D3461)</f>
        <v>10651590.101000044</v>
      </c>
      <c r="H3461" s="11">
        <f t="shared" si="53"/>
        <v>0.99858489834045949</v>
      </c>
    </row>
    <row r="3462" spans="1:8" ht="15" customHeight="1" x14ac:dyDescent="0.25">
      <c r="A3462" s="5">
        <v>3456</v>
      </c>
      <c r="B3462" s="10" t="s">
        <v>6743</v>
      </c>
      <c r="C3462" s="10" t="s">
        <v>6744</v>
      </c>
      <c r="D3462" s="7">
        <v>52.5</v>
      </c>
      <c r="E3462" s="5">
        <v>7</v>
      </c>
      <c r="F3462" s="5">
        <v>4</v>
      </c>
      <c r="G3462" s="12">
        <f>SUM($D$7:D3462)</f>
        <v>10651642.601000044</v>
      </c>
      <c r="H3462" s="11">
        <f t="shared" si="53"/>
        <v>0.99858982020721043</v>
      </c>
    </row>
    <row r="3463" spans="1:8" ht="15" customHeight="1" x14ac:dyDescent="0.25">
      <c r="A3463" s="5">
        <v>3457</v>
      </c>
      <c r="B3463" s="10" t="s">
        <v>6745</v>
      </c>
      <c r="C3463" s="10" t="s">
        <v>6746</v>
      </c>
      <c r="D3463" s="7">
        <v>52.5</v>
      </c>
      <c r="E3463" s="5">
        <v>14</v>
      </c>
      <c r="F3463" s="5">
        <v>9</v>
      </c>
      <c r="G3463" s="12">
        <f>SUM($D$7:D3463)</f>
        <v>10651695.101000044</v>
      </c>
      <c r="H3463" s="11">
        <f t="shared" ref="H3463:H3526" si="54">G3463/SUM($D$7:$D$4167)</f>
        <v>0.99859474207396137</v>
      </c>
    </row>
    <row r="3464" spans="1:8" ht="15" customHeight="1" x14ac:dyDescent="0.25">
      <c r="A3464" s="5">
        <v>3458</v>
      </c>
      <c r="B3464" s="10" t="s">
        <v>6747</v>
      </c>
      <c r="C3464" s="10" t="s">
        <v>6748</v>
      </c>
      <c r="D3464" s="7">
        <v>52.5</v>
      </c>
      <c r="E3464" s="5">
        <v>38</v>
      </c>
      <c r="F3464" s="5">
        <v>3</v>
      </c>
      <c r="G3464" s="12">
        <f>SUM($D$7:D3464)</f>
        <v>10651747.601000044</v>
      </c>
      <c r="H3464" s="11">
        <f t="shared" si="54"/>
        <v>0.99859966394071242</v>
      </c>
    </row>
    <row r="3465" spans="1:8" ht="15" customHeight="1" x14ac:dyDescent="0.25">
      <c r="A3465" s="5">
        <v>3459</v>
      </c>
      <c r="B3465" s="10" t="s">
        <v>6749</v>
      </c>
      <c r="C3465" s="10" t="s">
        <v>6750</v>
      </c>
      <c r="D3465" s="7">
        <v>52.42</v>
      </c>
      <c r="E3465" s="5">
        <v>10</v>
      </c>
      <c r="F3465" s="5">
        <v>7</v>
      </c>
      <c r="G3465" s="12">
        <f>SUM($D$7:D3465)</f>
        <v>10651800.021000044</v>
      </c>
      <c r="H3465" s="11">
        <f t="shared" si="54"/>
        <v>0.99860457830747584</v>
      </c>
    </row>
    <row r="3466" spans="1:8" ht="15" customHeight="1" x14ac:dyDescent="0.25">
      <c r="A3466" s="5">
        <v>3460</v>
      </c>
      <c r="B3466" s="10" t="s">
        <v>6751</v>
      </c>
      <c r="C3466" s="10" t="s">
        <v>6752</v>
      </c>
      <c r="D3466" s="7">
        <v>52.31</v>
      </c>
      <c r="E3466" s="5">
        <v>10</v>
      </c>
      <c r="F3466" s="5">
        <v>8</v>
      </c>
      <c r="G3466" s="12">
        <f>SUM($D$7:D3466)</f>
        <v>10651852.331000045</v>
      </c>
      <c r="H3466" s="11">
        <f t="shared" si="54"/>
        <v>0.99860948236175673</v>
      </c>
    </row>
    <row r="3467" spans="1:8" ht="15" customHeight="1" x14ac:dyDescent="0.25">
      <c r="A3467" s="5">
        <v>3461</v>
      </c>
      <c r="B3467" s="10" t="s">
        <v>6753</v>
      </c>
      <c r="C3467" s="10" t="s">
        <v>6754</v>
      </c>
      <c r="D3467" s="7">
        <v>52.25</v>
      </c>
      <c r="E3467" s="5">
        <v>48</v>
      </c>
      <c r="F3467" s="5">
        <v>14</v>
      </c>
      <c r="G3467" s="12">
        <f>SUM($D$7:D3467)</f>
        <v>10651904.581000045</v>
      </c>
      <c r="H3467" s="11">
        <f t="shared" si="54"/>
        <v>0.99861438079104692</v>
      </c>
    </row>
    <row r="3468" spans="1:8" ht="15" customHeight="1" x14ac:dyDescent="0.25">
      <c r="A3468" s="5">
        <v>3462</v>
      </c>
      <c r="B3468" s="10" t="s">
        <v>6755</v>
      </c>
      <c r="C3468" s="10" t="s">
        <v>6756</v>
      </c>
      <c r="D3468" s="7">
        <v>52.2</v>
      </c>
      <c r="E3468" s="5">
        <v>17</v>
      </c>
      <c r="F3468" s="5">
        <v>12</v>
      </c>
      <c r="G3468" s="12">
        <f>SUM($D$7:D3468)</f>
        <v>10651956.781000044</v>
      </c>
      <c r="H3468" s="11">
        <f t="shared" si="54"/>
        <v>0.99861927453284505</v>
      </c>
    </row>
    <row r="3469" spans="1:8" ht="15" customHeight="1" x14ac:dyDescent="0.25">
      <c r="A3469" s="5">
        <v>3463</v>
      </c>
      <c r="B3469" s="10" t="s">
        <v>1600</v>
      </c>
      <c r="C3469" s="10" t="s">
        <v>6757</v>
      </c>
      <c r="D3469" s="7">
        <v>52.2</v>
      </c>
      <c r="E3469" s="5">
        <v>36</v>
      </c>
      <c r="F3469" s="5">
        <v>1</v>
      </c>
      <c r="G3469" s="12">
        <f>SUM($D$7:D3469)</f>
        <v>10652008.981000043</v>
      </c>
      <c r="H3469" s="11">
        <f t="shared" si="54"/>
        <v>0.99862416827464306</v>
      </c>
    </row>
    <row r="3470" spans="1:8" ht="15" customHeight="1" x14ac:dyDescent="0.25">
      <c r="A3470" s="5">
        <v>3464</v>
      </c>
      <c r="B3470" s="10" t="s">
        <v>1829</v>
      </c>
      <c r="C3470" s="10" t="s">
        <v>6758</v>
      </c>
      <c r="D3470" s="7">
        <v>52.2</v>
      </c>
      <c r="E3470" s="5">
        <v>36</v>
      </c>
      <c r="F3470" s="5">
        <v>3</v>
      </c>
      <c r="G3470" s="12">
        <f>SUM($D$7:D3470)</f>
        <v>10652061.181000043</v>
      </c>
      <c r="H3470" s="11">
        <f t="shared" si="54"/>
        <v>0.99862906201644108</v>
      </c>
    </row>
    <row r="3471" spans="1:8" ht="15" customHeight="1" x14ac:dyDescent="0.25">
      <c r="A3471" s="5">
        <v>3465</v>
      </c>
      <c r="B3471" s="10" t="s">
        <v>6759</v>
      </c>
      <c r="C3471" s="10" t="s">
        <v>6760</v>
      </c>
      <c r="D3471" s="7">
        <v>51.6</v>
      </c>
      <c r="E3471" s="5">
        <v>24</v>
      </c>
      <c r="F3471" s="5">
        <v>8</v>
      </c>
      <c r="G3471" s="12">
        <f>SUM($D$7:D3471)</f>
        <v>10652112.781000042</v>
      </c>
      <c r="H3471" s="11">
        <f t="shared" si="54"/>
        <v>0.99863389950833337</v>
      </c>
    </row>
    <row r="3472" spans="1:8" ht="15" customHeight="1" x14ac:dyDescent="0.25">
      <c r="A3472" s="5">
        <v>3466</v>
      </c>
      <c r="B3472" s="10" t="s">
        <v>6761</v>
      </c>
      <c r="C3472" s="10" t="s">
        <v>6762</v>
      </c>
      <c r="D3472" s="7">
        <v>51.51</v>
      </c>
      <c r="E3472" s="5">
        <v>31</v>
      </c>
      <c r="F3472" s="5">
        <v>16</v>
      </c>
      <c r="G3472" s="12">
        <f>SUM($D$7:D3472)</f>
        <v>10652164.291000042</v>
      </c>
      <c r="H3472" s="11">
        <f t="shared" si="54"/>
        <v>0.99863872856273983</v>
      </c>
    </row>
    <row r="3473" spans="1:8" ht="15" customHeight="1" x14ac:dyDescent="0.25">
      <c r="A3473" s="5">
        <v>3467</v>
      </c>
      <c r="B3473" s="10" t="s">
        <v>6763</v>
      </c>
      <c r="C3473" s="10" t="s">
        <v>6764</v>
      </c>
      <c r="D3473" s="7">
        <v>51.25</v>
      </c>
      <c r="E3473" s="5">
        <v>41</v>
      </c>
      <c r="F3473" s="5">
        <v>5</v>
      </c>
      <c r="G3473" s="12">
        <f>SUM($D$7:D3473)</f>
        <v>10652215.541000042</v>
      </c>
      <c r="H3473" s="11">
        <f t="shared" si="54"/>
        <v>0.99864353324218724</v>
      </c>
    </row>
    <row r="3474" spans="1:8" ht="15" customHeight="1" x14ac:dyDescent="0.25">
      <c r="A3474" s="5">
        <v>3468</v>
      </c>
      <c r="B3474" s="10" t="s">
        <v>6765</v>
      </c>
      <c r="C3474" s="10" t="s">
        <v>6766</v>
      </c>
      <c r="D3474" s="7">
        <v>50.8</v>
      </c>
      <c r="E3474" s="5">
        <v>8</v>
      </c>
      <c r="F3474" s="5">
        <v>3</v>
      </c>
      <c r="G3474" s="12">
        <f>SUM($D$7:D3474)</f>
        <v>10652266.341000043</v>
      </c>
      <c r="H3474" s="11">
        <f t="shared" si="54"/>
        <v>0.99864829573420533</v>
      </c>
    </row>
    <row r="3475" spans="1:8" ht="15" customHeight="1" x14ac:dyDescent="0.25">
      <c r="A3475" s="5">
        <v>3469</v>
      </c>
      <c r="B3475" s="10" t="s">
        <v>6767</v>
      </c>
      <c r="C3475" s="10" t="s">
        <v>6768</v>
      </c>
      <c r="D3475" s="7">
        <v>50.72</v>
      </c>
      <c r="E3475" s="5">
        <v>53</v>
      </c>
      <c r="F3475" s="5">
        <v>10</v>
      </c>
      <c r="G3475" s="12">
        <f>SUM($D$7:D3475)</f>
        <v>10652317.061000044</v>
      </c>
      <c r="H3475" s="11">
        <f t="shared" si="54"/>
        <v>0.998653050726236</v>
      </c>
    </row>
    <row r="3476" spans="1:8" ht="15" customHeight="1" x14ac:dyDescent="0.25">
      <c r="A3476" s="5">
        <v>3470</v>
      </c>
      <c r="B3476" s="10" t="s">
        <v>6769</v>
      </c>
      <c r="C3476" s="10" t="s">
        <v>6770</v>
      </c>
      <c r="D3476" s="7">
        <v>50.57</v>
      </c>
      <c r="E3476" s="5">
        <v>75</v>
      </c>
      <c r="F3476" s="5">
        <v>30</v>
      </c>
      <c r="G3476" s="12">
        <f>SUM($D$7:D3476)</f>
        <v>10652367.631000044</v>
      </c>
      <c r="H3476" s="11">
        <f t="shared" si="54"/>
        <v>0.99865779165579027</v>
      </c>
    </row>
    <row r="3477" spans="1:8" ht="15" customHeight="1" x14ac:dyDescent="0.25">
      <c r="A3477" s="5">
        <v>3471</v>
      </c>
      <c r="B3477" s="10" t="s">
        <v>6771</v>
      </c>
      <c r="C3477" s="10" t="s">
        <v>6772</v>
      </c>
      <c r="D3477" s="7">
        <v>50.4</v>
      </c>
      <c r="E3477" s="5">
        <v>24</v>
      </c>
      <c r="F3477" s="5">
        <v>2</v>
      </c>
      <c r="G3477" s="12">
        <f>SUM($D$7:D3477)</f>
        <v>10652418.031000044</v>
      </c>
      <c r="H3477" s="11">
        <f t="shared" si="54"/>
        <v>0.9986625166478712</v>
      </c>
    </row>
    <row r="3478" spans="1:8" ht="15" customHeight="1" x14ac:dyDescent="0.25">
      <c r="A3478" s="5">
        <v>3472</v>
      </c>
      <c r="B3478" s="10" t="s">
        <v>6773</v>
      </c>
      <c r="C3478" s="10" t="s">
        <v>6774</v>
      </c>
      <c r="D3478" s="7">
        <v>50.4</v>
      </c>
      <c r="E3478" s="5">
        <v>12</v>
      </c>
      <c r="F3478" s="5">
        <v>9</v>
      </c>
      <c r="G3478" s="12">
        <f>SUM($D$7:D3478)</f>
        <v>10652468.431000045</v>
      </c>
      <c r="H3478" s="11">
        <f t="shared" si="54"/>
        <v>0.99866724163995213</v>
      </c>
    </row>
    <row r="3479" spans="1:8" ht="15" customHeight="1" x14ac:dyDescent="0.25">
      <c r="A3479" s="5">
        <v>3473</v>
      </c>
      <c r="B3479" s="10" t="s">
        <v>6775</v>
      </c>
      <c r="C3479" s="10" t="s">
        <v>6776</v>
      </c>
      <c r="D3479" s="7">
        <v>50.31</v>
      </c>
      <c r="E3479" s="5">
        <v>97</v>
      </c>
      <c r="F3479" s="5">
        <v>15</v>
      </c>
      <c r="G3479" s="12">
        <f>SUM($D$7:D3479)</f>
        <v>10652518.741000045</v>
      </c>
      <c r="H3479" s="11">
        <f t="shared" si="54"/>
        <v>0.99867195819454724</v>
      </c>
    </row>
    <row r="3480" spans="1:8" ht="15" customHeight="1" x14ac:dyDescent="0.25">
      <c r="A3480" s="5">
        <v>3474</v>
      </c>
      <c r="B3480" s="10" t="s">
        <v>6777</v>
      </c>
      <c r="C3480" s="10" t="s">
        <v>6778</v>
      </c>
      <c r="D3480" s="7">
        <v>50.28</v>
      </c>
      <c r="E3480" s="5">
        <v>52</v>
      </c>
      <c r="F3480" s="5">
        <v>3</v>
      </c>
      <c r="G3480" s="12">
        <f>SUM($D$7:D3480)</f>
        <v>10652569.021000044</v>
      </c>
      <c r="H3480" s="11">
        <f t="shared" si="54"/>
        <v>0.998676671936647</v>
      </c>
    </row>
    <row r="3481" spans="1:8" ht="15" customHeight="1" x14ac:dyDescent="0.25">
      <c r="A3481" s="5">
        <v>3475</v>
      </c>
      <c r="B3481" s="10" t="s">
        <v>6779</v>
      </c>
      <c r="C3481" s="10" t="s">
        <v>6780</v>
      </c>
      <c r="D3481" s="7">
        <v>49.9</v>
      </c>
      <c r="E3481" s="5">
        <v>68</v>
      </c>
      <c r="F3481" s="5">
        <v>32</v>
      </c>
      <c r="G3481" s="12">
        <f>SUM($D$7:D3481)</f>
        <v>10652618.921000045</v>
      </c>
      <c r="H3481" s="11">
        <f t="shared" si="54"/>
        <v>0.99868135005380643</v>
      </c>
    </row>
    <row r="3482" spans="1:8" ht="15" customHeight="1" x14ac:dyDescent="0.25">
      <c r="A3482" s="5">
        <v>3476</v>
      </c>
      <c r="B3482" s="10" t="s">
        <v>6781</v>
      </c>
      <c r="C3482" s="10" t="s">
        <v>6782</v>
      </c>
      <c r="D3482" s="7">
        <v>49.82</v>
      </c>
      <c r="E3482" s="5">
        <v>60</v>
      </c>
      <c r="F3482" s="5">
        <v>28</v>
      </c>
      <c r="G3482" s="12">
        <f>SUM($D$7:D3482)</f>
        <v>10652668.741000045</v>
      </c>
      <c r="H3482" s="11">
        <f t="shared" si="54"/>
        <v>0.99868602067097856</v>
      </c>
    </row>
    <row r="3483" spans="1:8" ht="15" customHeight="1" x14ac:dyDescent="0.25">
      <c r="A3483" s="5">
        <v>3477</v>
      </c>
      <c r="B3483" s="10" t="s">
        <v>6783</v>
      </c>
      <c r="C3483" s="10" t="s">
        <v>6784</v>
      </c>
      <c r="D3483" s="7">
        <v>49.81</v>
      </c>
      <c r="E3483" s="5">
        <v>5</v>
      </c>
      <c r="F3483" s="5">
        <v>5</v>
      </c>
      <c r="G3483" s="12">
        <f>SUM($D$7:D3483)</f>
        <v>10652718.551000046</v>
      </c>
      <c r="H3483" s="11">
        <f t="shared" si="54"/>
        <v>0.99869069035065217</v>
      </c>
    </row>
    <row r="3484" spans="1:8" ht="15" customHeight="1" x14ac:dyDescent="0.25">
      <c r="A3484" s="5">
        <v>3478</v>
      </c>
      <c r="B3484" s="10" t="s">
        <v>6785</v>
      </c>
      <c r="C3484" s="10" t="s">
        <v>6786</v>
      </c>
      <c r="D3484" s="7">
        <v>49.8</v>
      </c>
      <c r="E3484" s="5">
        <v>20</v>
      </c>
      <c r="F3484" s="5">
        <v>14</v>
      </c>
      <c r="G3484" s="12">
        <f>SUM($D$7:D3484)</f>
        <v>10652768.351000046</v>
      </c>
      <c r="H3484" s="11">
        <f t="shared" si="54"/>
        <v>0.99869535909282747</v>
      </c>
    </row>
    <row r="3485" spans="1:8" ht="15" customHeight="1" x14ac:dyDescent="0.25">
      <c r="A3485" s="5">
        <v>3479</v>
      </c>
      <c r="B3485" s="10" t="s">
        <v>2004</v>
      </c>
      <c r="C3485" s="10" t="s">
        <v>6787</v>
      </c>
      <c r="D3485" s="7">
        <v>49.8</v>
      </c>
      <c r="E3485" s="5">
        <v>36</v>
      </c>
      <c r="F3485" s="5">
        <v>3</v>
      </c>
      <c r="G3485" s="12">
        <f>SUM($D$7:D3485)</f>
        <v>10652818.151000047</v>
      </c>
      <c r="H3485" s="11">
        <f t="shared" si="54"/>
        <v>0.99870002783500278</v>
      </c>
    </row>
    <row r="3486" spans="1:8" ht="15" customHeight="1" x14ac:dyDescent="0.25">
      <c r="A3486" s="5">
        <v>3480</v>
      </c>
      <c r="B3486" s="10" t="s">
        <v>6788</v>
      </c>
      <c r="C3486" s="10" t="s">
        <v>6789</v>
      </c>
      <c r="D3486" s="7">
        <v>49.76</v>
      </c>
      <c r="E3486" s="5">
        <v>10</v>
      </c>
      <c r="F3486" s="5">
        <v>4</v>
      </c>
      <c r="G3486" s="12">
        <f>SUM($D$7:D3486)</f>
        <v>10652867.911000047</v>
      </c>
      <c r="H3486" s="11">
        <f t="shared" si="54"/>
        <v>0.99870469282718421</v>
      </c>
    </row>
    <row r="3487" spans="1:8" ht="15" customHeight="1" x14ac:dyDescent="0.25">
      <c r="A3487" s="5">
        <v>3481</v>
      </c>
      <c r="B3487" s="10" t="s">
        <v>6790</v>
      </c>
      <c r="C3487" s="10" t="s">
        <v>6791</v>
      </c>
      <c r="D3487" s="7">
        <v>49.69</v>
      </c>
      <c r="E3487" s="5">
        <v>20</v>
      </c>
      <c r="F3487" s="5">
        <v>16</v>
      </c>
      <c r="G3487" s="12">
        <f>SUM($D$7:D3487)</f>
        <v>10652917.601000046</v>
      </c>
      <c r="H3487" s="11">
        <f t="shared" si="54"/>
        <v>0.99870935125687665</v>
      </c>
    </row>
    <row r="3488" spans="1:8" ht="15" customHeight="1" x14ac:dyDescent="0.25">
      <c r="A3488" s="5">
        <v>3482</v>
      </c>
      <c r="B3488" s="10" t="s">
        <v>6792</v>
      </c>
      <c r="C3488" s="10" t="s">
        <v>6793</v>
      </c>
      <c r="D3488" s="7">
        <v>49.65</v>
      </c>
      <c r="E3488" s="5">
        <v>17</v>
      </c>
      <c r="F3488" s="5">
        <v>10</v>
      </c>
      <c r="G3488" s="12">
        <f>SUM($D$7:D3488)</f>
        <v>10652967.251000047</v>
      </c>
      <c r="H3488" s="11">
        <f t="shared" si="54"/>
        <v>0.99871400593657544</v>
      </c>
    </row>
    <row r="3489" spans="1:8" ht="15" customHeight="1" x14ac:dyDescent="0.25">
      <c r="A3489" s="5">
        <v>3483</v>
      </c>
      <c r="B3489" s="10" t="s">
        <v>6794</v>
      </c>
      <c r="C3489" s="10" t="s">
        <v>6795</v>
      </c>
      <c r="D3489" s="7">
        <v>49.64</v>
      </c>
      <c r="E3489" s="5">
        <v>10</v>
      </c>
      <c r="F3489" s="5">
        <v>4</v>
      </c>
      <c r="G3489" s="12">
        <f>SUM($D$7:D3489)</f>
        <v>10653016.891000047</v>
      </c>
      <c r="H3489" s="11">
        <f t="shared" si="54"/>
        <v>0.99871865967877582</v>
      </c>
    </row>
    <row r="3490" spans="1:8" ht="15" customHeight="1" x14ac:dyDescent="0.25">
      <c r="A3490" s="5">
        <v>3484</v>
      </c>
      <c r="B3490" s="10" t="s">
        <v>6796</v>
      </c>
      <c r="C3490" s="10" t="s">
        <v>6797</v>
      </c>
      <c r="D3490" s="7">
        <v>49.59</v>
      </c>
      <c r="E3490" s="5">
        <v>10</v>
      </c>
      <c r="F3490" s="5">
        <v>5</v>
      </c>
      <c r="G3490" s="12">
        <f>SUM($D$7:D3490)</f>
        <v>10653066.481000047</v>
      </c>
      <c r="H3490" s="11">
        <f t="shared" si="54"/>
        <v>0.99872330873348392</v>
      </c>
    </row>
    <row r="3491" spans="1:8" ht="15" customHeight="1" x14ac:dyDescent="0.25">
      <c r="A3491" s="5">
        <v>3485</v>
      </c>
      <c r="B3491" s="10" t="s">
        <v>5160</v>
      </c>
      <c r="C3491" s="10" t="s">
        <v>6798</v>
      </c>
      <c r="D3491" s="7">
        <v>49.5</v>
      </c>
      <c r="E3491" s="5">
        <v>6</v>
      </c>
      <c r="F3491" s="5">
        <v>2</v>
      </c>
      <c r="G3491" s="12">
        <f>SUM($D$7:D3491)</f>
        <v>10653115.981000047</v>
      </c>
      <c r="H3491" s="11">
        <f t="shared" si="54"/>
        <v>0.9987279493507063</v>
      </c>
    </row>
    <row r="3492" spans="1:8" ht="15" customHeight="1" x14ac:dyDescent="0.25">
      <c r="A3492" s="5">
        <v>3486</v>
      </c>
      <c r="B3492" s="10" t="s">
        <v>6799</v>
      </c>
      <c r="C3492" s="10" t="s">
        <v>6800</v>
      </c>
      <c r="D3492" s="7">
        <v>49.3</v>
      </c>
      <c r="E3492" s="5">
        <v>34</v>
      </c>
      <c r="F3492" s="5">
        <v>7</v>
      </c>
      <c r="G3492" s="12">
        <f>SUM($D$7:D3492)</f>
        <v>10653165.281000048</v>
      </c>
      <c r="H3492" s="11">
        <f t="shared" si="54"/>
        <v>0.99873257121796011</v>
      </c>
    </row>
    <row r="3493" spans="1:8" ht="15" customHeight="1" x14ac:dyDescent="0.25">
      <c r="A3493" s="5">
        <v>3487</v>
      </c>
      <c r="B3493" s="10" t="s">
        <v>6801</v>
      </c>
      <c r="C3493" s="10" t="s">
        <v>6802</v>
      </c>
      <c r="D3493" s="7">
        <v>48.99</v>
      </c>
      <c r="E3493" s="5">
        <v>233</v>
      </c>
      <c r="F3493" s="5">
        <v>25</v>
      </c>
      <c r="G3493" s="12">
        <f>SUM($D$7:D3493)</f>
        <v>10653214.271000048</v>
      </c>
      <c r="H3493" s="11">
        <f t="shared" si="54"/>
        <v>0.99873716402276258</v>
      </c>
    </row>
    <row r="3494" spans="1:8" ht="15" customHeight="1" x14ac:dyDescent="0.25">
      <c r="A3494" s="5">
        <v>3488</v>
      </c>
      <c r="B3494" s="10" t="s">
        <v>6803</v>
      </c>
      <c r="C3494" s="10" t="s">
        <v>6804</v>
      </c>
      <c r="D3494" s="7">
        <v>48.77</v>
      </c>
      <c r="E3494" s="5">
        <v>13</v>
      </c>
      <c r="F3494" s="5">
        <v>8</v>
      </c>
      <c r="G3494" s="12">
        <f>SUM($D$7:D3494)</f>
        <v>10653263.041000048</v>
      </c>
      <c r="H3494" s="11">
        <f t="shared" si="54"/>
        <v>0.99874173620259954</v>
      </c>
    </row>
    <row r="3495" spans="1:8" ht="15" customHeight="1" x14ac:dyDescent="0.25">
      <c r="A3495" s="5">
        <v>3489</v>
      </c>
      <c r="B3495" s="10" t="s">
        <v>6805</v>
      </c>
      <c r="C3495" s="10" t="s">
        <v>6806</v>
      </c>
      <c r="D3495" s="7">
        <v>48.75</v>
      </c>
      <c r="E3495" s="5">
        <v>13</v>
      </c>
      <c r="F3495" s="5">
        <v>7</v>
      </c>
      <c r="G3495" s="12">
        <f>SUM($D$7:D3495)</f>
        <v>10653311.791000048</v>
      </c>
      <c r="H3495" s="11">
        <f t="shared" si="54"/>
        <v>0.99874630650743978</v>
      </c>
    </row>
    <row r="3496" spans="1:8" ht="15" customHeight="1" x14ac:dyDescent="0.25">
      <c r="A3496" s="5">
        <v>3490</v>
      </c>
      <c r="B3496" s="10" t="s">
        <v>6807</v>
      </c>
      <c r="C3496" s="10" t="s">
        <v>6808</v>
      </c>
      <c r="D3496" s="7">
        <v>48.71</v>
      </c>
      <c r="E3496" s="5">
        <v>13</v>
      </c>
      <c r="F3496" s="5">
        <v>9</v>
      </c>
      <c r="G3496" s="12">
        <f>SUM($D$7:D3496)</f>
        <v>10653360.501000049</v>
      </c>
      <c r="H3496" s="11">
        <f t="shared" si="54"/>
        <v>0.99875087306228627</v>
      </c>
    </row>
    <row r="3497" spans="1:8" ht="15" customHeight="1" x14ac:dyDescent="0.25">
      <c r="A3497" s="5">
        <v>3491</v>
      </c>
      <c r="B3497" s="10" t="s">
        <v>6809</v>
      </c>
      <c r="C3497" s="10" t="s">
        <v>6810</v>
      </c>
      <c r="D3497" s="7">
        <v>48.45</v>
      </c>
      <c r="E3497" s="5">
        <v>57</v>
      </c>
      <c r="F3497" s="5">
        <v>8</v>
      </c>
      <c r="G3497" s="12">
        <f>SUM($D$7:D3497)</f>
        <v>10653408.951000048</v>
      </c>
      <c r="H3497" s="11">
        <f t="shared" si="54"/>
        <v>0.99875541524217348</v>
      </c>
    </row>
    <row r="3498" spans="1:8" ht="15" customHeight="1" x14ac:dyDescent="0.25">
      <c r="A3498" s="5">
        <v>3492</v>
      </c>
      <c r="B3498" s="10" t="s">
        <v>6811</v>
      </c>
      <c r="C3498" s="10" t="s">
        <v>6812</v>
      </c>
      <c r="D3498" s="7">
        <v>48.39</v>
      </c>
      <c r="E3498" s="5">
        <v>3</v>
      </c>
      <c r="F3498" s="5">
        <v>2</v>
      </c>
      <c r="G3498" s="12">
        <f>SUM($D$7:D3498)</f>
        <v>10653457.341000048</v>
      </c>
      <c r="H3498" s="11">
        <f t="shared" si="54"/>
        <v>0.99875995179707033</v>
      </c>
    </row>
    <row r="3499" spans="1:8" ht="15" customHeight="1" x14ac:dyDescent="0.25">
      <c r="A3499" s="5">
        <v>3493</v>
      </c>
      <c r="B3499" s="10" t="s">
        <v>6813</v>
      </c>
      <c r="C3499" s="10" t="s">
        <v>4898</v>
      </c>
      <c r="D3499" s="7">
        <v>48.38</v>
      </c>
      <c r="E3499" s="5">
        <v>29</v>
      </c>
      <c r="F3499" s="5">
        <v>22</v>
      </c>
      <c r="G3499" s="12">
        <f>SUM($D$7:D3499)</f>
        <v>10653505.721000049</v>
      </c>
      <c r="H3499" s="11">
        <f t="shared" si="54"/>
        <v>0.99876448741446866</v>
      </c>
    </row>
    <row r="3500" spans="1:8" ht="15" customHeight="1" x14ac:dyDescent="0.25">
      <c r="A3500" s="5">
        <v>3494</v>
      </c>
      <c r="B3500" s="10" t="s">
        <v>6814</v>
      </c>
      <c r="C3500" s="10" t="s">
        <v>6815</v>
      </c>
      <c r="D3500" s="7">
        <v>48.29</v>
      </c>
      <c r="E3500" s="5">
        <v>34</v>
      </c>
      <c r="F3500" s="5">
        <v>16</v>
      </c>
      <c r="G3500" s="12">
        <f>SUM($D$7:D3500)</f>
        <v>10653554.011000048</v>
      </c>
      <c r="H3500" s="11">
        <f t="shared" si="54"/>
        <v>0.99876901459438105</v>
      </c>
    </row>
    <row r="3501" spans="1:8" ht="15" customHeight="1" x14ac:dyDescent="0.25">
      <c r="A3501" s="5">
        <v>3495</v>
      </c>
      <c r="B3501" s="10" t="s">
        <v>6816</v>
      </c>
      <c r="C3501" s="10" t="s">
        <v>6817</v>
      </c>
      <c r="D3501" s="7">
        <v>48.21</v>
      </c>
      <c r="E3501" s="5">
        <v>29</v>
      </c>
      <c r="F3501" s="5">
        <v>15</v>
      </c>
      <c r="G3501" s="12">
        <f>SUM($D$7:D3501)</f>
        <v>10653602.221000049</v>
      </c>
      <c r="H3501" s="11">
        <f t="shared" si="54"/>
        <v>0.99877353427430615</v>
      </c>
    </row>
    <row r="3502" spans="1:8" ht="15" customHeight="1" x14ac:dyDescent="0.25">
      <c r="A3502" s="5">
        <v>3496</v>
      </c>
      <c r="B3502" s="10" t="s">
        <v>6818</v>
      </c>
      <c r="C3502" s="10" t="s">
        <v>6819</v>
      </c>
      <c r="D3502" s="7">
        <v>48.19</v>
      </c>
      <c r="E3502" s="5">
        <v>61</v>
      </c>
      <c r="F3502" s="5">
        <v>3</v>
      </c>
      <c r="G3502" s="12">
        <f>SUM($D$7:D3502)</f>
        <v>10653650.411000049</v>
      </c>
      <c r="H3502" s="11">
        <f t="shared" si="54"/>
        <v>0.9987780520792342</v>
      </c>
    </row>
    <row r="3503" spans="1:8" ht="15" customHeight="1" x14ac:dyDescent="0.25">
      <c r="A3503" s="5">
        <v>3497</v>
      </c>
      <c r="B3503" s="10" t="s">
        <v>6820</v>
      </c>
      <c r="C3503" s="10" t="s">
        <v>6821</v>
      </c>
      <c r="D3503" s="7">
        <v>48.06</v>
      </c>
      <c r="E3503" s="5">
        <v>30</v>
      </c>
      <c r="F3503" s="5">
        <v>12</v>
      </c>
      <c r="G3503" s="12">
        <f>SUM($D$7:D3503)</f>
        <v>10653698.471000049</v>
      </c>
      <c r="H3503" s="11">
        <f t="shared" si="54"/>
        <v>0.99878255769668289</v>
      </c>
    </row>
    <row r="3504" spans="1:8" ht="15" customHeight="1" x14ac:dyDescent="0.25">
      <c r="A3504" s="5">
        <v>3498</v>
      </c>
      <c r="B3504" s="10" t="s">
        <v>6822</v>
      </c>
      <c r="C3504" s="10" t="s">
        <v>6823</v>
      </c>
      <c r="D3504" s="7">
        <v>47.84</v>
      </c>
      <c r="E3504" s="5">
        <v>19</v>
      </c>
      <c r="F3504" s="5">
        <v>11</v>
      </c>
      <c r="G3504" s="12">
        <f>SUM($D$7:D3504)</f>
        <v>10653746.311000049</v>
      </c>
      <c r="H3504" s="11">
        <f t="shared" si="54"/>
        <v>0.99878704268916607</v>
      </c>
    </row>
    <row r="3505" spans="1:8" ht="15" customHeight="1" x14ac:dyDescent="0.25">
      <c r="A3505" s="5">
        <v>3499</v>
      </c>
      <c r="B3505" s="10" t="s">
        <v>6824</v>
      </c>
      <c r="C3505" s="10" t="s">
        <v>6825</v>
      </c>
      <c r="D3505" s="7">
        <v>47.7</v>
      </c>
      <c r="E3505" s="5">
        <v>6</v>
      </c>
      <c r="F3505" s="5">
        <v>4</v>
      </c>
      <c r="G3505" s="12">
        <f>SUM($D$7:D3505)</f>
        <v>10653794.011000048</v>
      </c>
      <c r="H3505" s="11">
        <f t="shared" si="54"/>
        <v>0.99879151455667115</v>
      </c>
    </row>
    <row r="3506" spans="1:8" ht="15" customHeight="1" x14ac:dyDescent="0.25">
      <c r="A3506" s="5">
        <v>3500</v>
      </c>
      <c r="B3506" s="10" t="s">
        <v>3030</v>
      </c>
      <c r="C3506" s="10" t="s">
        <v>6826</v>
      </c>
      <c r="D3506" s="7">
        <v>47.6</v>
      </c>
      <c r="E3506" s="5">
        <v>8</v>
      </c>
      <c r="F3506" s="5">
        <v>2</v>
      </c>
      <c r="G3506" s="12">
        <f>SUM($D$7:D3506)</f>
        <v>10653841.611000048</v>
      </c>
      <c r="H3506" s="11">
        <f t="shared" si="54"/>
        <v>0.99879597704919187</v>
      </c>
    </row>
    <row r="3507" spans="1:8" ht="15" customHeight="1" x14ac:dyDescent="0.25">
      <c r="A3507" s="5">
        <v>3501</v>
      </c>
      <c r="B3507" s="10" t="s">
        <v>6827</v>
      </c>
      <c r="C3507" s="10" t="s">
        <v>6828</v>
      </c>
      <c r="D3507" s="7">
        <v>47.43</v>
      </c>
      <c r="E3507" s="5">
        <v>19</v>
      </c>
      <c r="F3507" s="5">
        <v>18</v>
      </c>
      <c r="G3507" s="12">
        <f>SUM($D$7:D3507)</f>
        <v>10653889.041000048</v>
      </c>
      <c r="H3507" s="11">
        <f t="shared" si="54"/>
        <v>0.99880042360423948</v>
      </c>
    </row>
    <row r="3508" spans="1:8" ht="15" customHeight="1" x14ac:dyDescent="0.25">
      <c r="A3508" s="5">
        <v>3502</v>
      </c>
      <c r="B3508" s="10" t="s">
        <v>6829</v>
      </c>
      <c r="C3508" s="10" t="s">
        <v>6830</v>
      </c>
      <c r="D3508" s="7">
        <v>47.25</v>
      </c>
      <c r="E3508" s="5">
        <v>225</v>
      </c>
      <c r="F3508" s="5">
        <v>8</v>
      </c>
      <c r="G3508" s="12">
        <f>SUM($D$7:D3508)</f>
        <v>10653936.291000048</v>
      </c>
      <c r="H3508" s="11">
        <f t="shared" si="54"/>
        <v>0.99880485328431534</v>
      </c>
    </row>
    <row r="3509" spans="1:8" ht="15" customHeight="1" x14ac:dyDescent="0.25">
      <c r="A3509" s="5">
        <v>3503</v>
      </c>
      <c r="B3509" s="10" t="s">
        <v>6831</v>
      </c>
      <c r="C3509" s="10" t="s">
        <v>6832</v>
      </c>
      <c r="D3509" s="7">
        <v>47.2</v>
      </c>
      <c r="E3509" s="5">
        <v>16</v>
      </c>
      <c r="F3509" s="5">
        <v>7</v>
      </c>
      <c r="G3509" s="12">
        <f>SUM($D$7:D3509)</f>
        <v>10653983.491000047</v>
      </c>
      <c r="H3509" s="11">
        <f t="shared" si="54"/>
        <v>0.99880927827689903</v>
      </c>
    </row>
    <row r="3510" spans="1:8" ht="15" customHeight="1" x14ac:dyDescent="0.25">
      <c r="A3510" s="5">
        <v>3504</v>
      </c>
      <c r="B3510" s="10" t="s">
        <v>6833</v>
      </c>
      <c r="C3510" s="10" t="s">
        <v>6834</v>
      </c>
      <c r="D3510" s="7">
        <v>47.2</v>
      </c>
      <c r="E3510" s="5">
        <v>16</v>
      </c>
      <c r="F3510" s="5">
        <v>10</v>
      </c>
      <c r="G3510" s="12">
        <f>SUM($D$7:D3510)</f>
        <v>10654030.691000046</v>
      </c>
      <c r="H3510" s="11">
        <f t="shared" si="54"/>
        <v>0.9988137032694826</v>
      </c>
    </row>
    <row r="3511" spans="1:8" ht="15" customHeight="1" x14ac:dyDescent="0.25">
      <c r="A3511" s="5">
        <v>3505</v>
      </c>
      <c r="B3511" s="10" t="s">
        <v>6835</v>
      </c>
      <c r="C3511" s="10" t="s">
        <v>6836</v>
      </c>
      <c r="D3511" s="7">
        <v>47.2</v>
      </c>
      <c r="E3511" s="5">
        <v>16</v>
      </c>
      <c r="F3511" s="5">
        <v>3</v>
      </c>
      <c r="G3511" s="12">
        <f>SUM($D$7:D3511)</f>
        <v>10654077.891000045</v>
      </c>
      <c r="H3511" s="11">
        <f t="shared" si="54"/>
        <v>0.99881812826206628</v>
      </c>
    </row>
    <row r="3512" spans="1:8" ht="15" customHeight="1" x14ac:dyDescent="0.25">
      <c r="A3512" s="5">
        <v>3506</v>
      </c>
      <c r="B3512" s="10" t="s">
        <v>6837</v>
      </c>
      <c r="C3512" s="10" t="s">
        <v>6838</v>
      </c>
      <c r="D3512" s="7">
        <v>46.8</v>
      </c>
      <c r="E3512" s="5">
        <v>24</v>
      </c>
      <c r="F3512" s="5">
        <v>1</v>
      </c>
      <c r="G3512" s="12">
        <f>SUM($D$7:D3512)</f>
        <v>10654124.691000046</v>
      </c>
      <c r="H3512" s="11">
        <f t="shared" si="54"/>
        <v>0.99882251575471293</v>
      </c>
    </row>
    <row r="3513" spans="1:8" ht="15" customHeight="1" x14ac:dyDescent="0.25">
      <c r="A3513" s="5">
        <v>3507</v>
      </c>
      <c r="B3513" s="10" t="s">
        <v>6839</v>
      </c>
      <c r="C3513" s="10" t="s">
        <v>6840</v>
      </c>
      <c r="D3513" s="7">
        <v>46.8</v>
      </c>
      <c r="E3513" s="5">
        <v>24</v>
      </c>
      <c r="F3513" s="5">
        <v>1</v>
      </c>
      <c r="G3513" s="12">
        <f>SUM($D$7:D3513)</f>
        <v>10654171.491000047</v>
      </c>
      <c r="H3513" s="11">
        <f t="shared" si="54"/>
        <v>0.99882690324735957</v>
      </c>
    </row>
    <row r="3514" spans="1:8" ht="15" customHeight="1" x14ac:dyDescent="0.25">
      <c r="A3514" s="5">
        <v>3508</v>
      </c>
      <c r="B3514" s="10" t="s">
        <v>6841</v>
      </c>
      <c r="C3514" s="10" t="s">
        <v>6842</v>
      </c>
      <c r="D3514" s="7">
        <v>46.76</v>
      </c>
      <c r="E3514" s="5">
        <v>16</v>
      </c>
      <c r="F3514" s="5">
        <v>10</v>
      </c>
      <c r="G3514" s="12">
        <f>SUM($D$7:D3514)</f>
        <v>10654218.251000047</v>
      </c>
      <c r="H3514" s="11">
        <f t="shared" si="54"/>
        <v>0.99883128699001233</v>
      </c>
    </row>
    <row r="3515" spans="1:8" ht="15" customHeight="1" x14ac:dyDescent="0.25">
      <c r="A3515" s="5">
        <v>3509</v>
      </c>
      <c r="B3515" s="10" t="s">
        <v>6843</v>
      </c>
      <c r="C3515" s="10" t="s">
        <v>6844</v>
      </c>
      <c r="D3515" s="7">
        <v>46.39</v>
      </c>
      <c r="E3515" s="5">
        <v>34</v>
      </c>
      <c r="F3515" s="5">
        <v>7</v>
      </c>
      <c r="G3515" s="12">
        <f>SUM($D$7:D3515)</f>
        <v>10654264.641000047</v>
      </c>
      <c r="H3515" s="11">
        <f t="shared" si="54"/>
        <v>0.99883563604522341</v>
      </c>
    </row>
    <row r="3516" spans="1:8" ht="15" customHeight="1" x14ac:dyDescent="0.25">
      <c r="A3516" s="5">
        <v>3510</v>
      </c>
      <c r="B3516" s="10" t="s">
        <v>3404</v>
      </c>
      <c r="C3516" s="10" t="s">
        <v>6845</v>
      </c>
      <c r="D3516" s="7">
        <v>46.24</v>
      </c>
      <c r="E3516" s="5">
        <v>16</v>
      </c>
      <c r="F3516" s="5">
        <v>2</v>
      </c>
      <c r="G3516" s="12">
        <f>SUM($D$7:D3516)</f>
        <v>10654310.881000048</v>
      </c>
      <c r="H3516" s="11">
        <f t="shared" si="54"/>
        <v>0.99883997103795796</v>
      </c>
    </row>
    <row r="3517" spans="1:8" ht="15" customHeight="1" x14ac:dyDescent="0.25">
      <c r="A3517" s="5">
        <v>3511</v>
      </c>
      <c r="B3517" s="10" t="s">
        <v>6846</v>
      </c>
      <c r="C3517" s="10" t="s">
        <v>6847</v>
      </c>
      <c r="D3517" s="7">
        <v>46.2</v>
      </c>
      <c r="E3517" s="5">
        <v>22</v>
      </c>
      <c r="F3517" s="5">
        <v>3</v>
      </c>
      <c r="G3517" s="12">
        <f>SUM($D$7:D3517)</f>
        <v>10654357.081000047</v>
      </c>
      <c r="H3517" s="11">
        <f t="shared" si="54"/>
        <v>0.99884430228069876</v>
      </c>
    </row>
    <row r="3518" spans="1:8" ht="15" customHeight="1" x14ac:dyDescent="0.25">
      <c r="A3518" s="5">
        <v>3512</v>
      </c>
      <c r="B3518" s="10" t="s">
        <v>5197</v>
      </c>
      <c r="C3518" s="10" t="s">
        <v>6848</v>
      </c>
      <c r="D3518" s="7">
        <v>46</v>
      </c>
      <c r="E3518" s="5">
        <v>8</v>
      </c>
      <c r="F3518" s="5">
        <v>4</v>
      </c>
      <c r="G3518" s="12">
        <f>SUM($D$7:D3518)</f>
        <v>10654403.081000047</v>
      </c>
      <c r="H3518" s="11">
        <f t="shared" si="54"/>
        <v>0.99884861477347098</v>
      </c>
    </row>
    <row r="3519" spans="1:8" ht="15" customHeight="1" x14ac:dyDescent="0.25">
      <c r="A3519" s="5">
        <v>3513</v>
      </c>
      <c r="B3519" s="10" t="s">
        <v>6849</v>
      </c>
      <c r="C3519" s="10" t="s">
        <v>6850</v>
      </c>
      <c r="D3519" s="7">
        <v>45.9</v>
      </c>
      <c r="E3519" s="5">
        <v>16</v>
      </c>
      <c r="F3519" s="5">
        <v>7</v>
      </c>
      <c r="G3519" s="12">
        <f>SUM($D$7:D3519)</f>
        <v>10654448.981000047</v>
      </c>
      <c r="H3519" s="11">
        <f t="shared" si="54"/>
        <v>0.99885291789125896</v>
      </c>
    </row>
    <row r="3520" spans="1:8" ht="15" customHeight="1" x14ac:dyDescent="0.25">
      <c r="A3520" s="5">
        <v>3514</v>
      </c>
      <c r="B3520" s="10" t="s">
        <v>6851</v>
      </c>
      <c r="C3520" s="10" t="s">
        <v>6852</v>
      </c>
      <c r="D3520" s="7">
        <v>45.35</v>
      </c>
      <c r="E3520" s="5">
        <v>13</v>
      </c>
      <c r="F3520" s="5">
        <v>3</v>
      </c>
      <c r="G3520" s="12">
        <f>SUM($D$7:D3520)</f>
        <v>10654494.331000047</v>
      </c>
      <c r="H3520" s="11">
        <f t="shared" si="54"/>
        <v>0.99885716944663339</v>
      </c>
    </row>
    <row r="3521" spans="1:8" ht="15" customHeight="1" x14ac:dyDescent="0.25">
      <c r="A3521" s="5">
        <v>3515</v>
      </c>
      <c r="B3521" s="10" t="s">
        <v>6853</v>
      </c>
      <c r="C3521" s="10" t="s">
        <v>6854</v>
      </c>
      <c r="D3521" s="7">
        <v>45</v>
      </c>
      <c r="E3521" s="5">
        <v>12</v>
      </c>
      <c r="F3521" s="5">
        <v>7</v>
      </c>
      <c r="G3521" s="12">
        <f>SUM($D$7:D3521)</f>
        <v>10654539.331000047</v>
      </c>
      <c r="H3521" s="11">
        <f t="shared" si="54"/>
        <v>0.99886138818956272</v>
      </c>
    </row>
    <row r="3522" spans="1:8" ht="15" customHeight="1" x14ac:dyDescent="0.25">
      <c r="A3522" s="5">
        <v>3516</v>
      </c>
      <c r="B3522" s="10" t="s">
        <v>6855</v>
      </c>
      <c r="C3522" s="10" t="s">
        <v>6856</v>
      </c>
      <c r="D3522" s="7">
        <v>44.91</v>
      </c>
      <c r="E3522" s="5">
        <v>9</v>
      </c>
      <c r="F3522" s="5">
        <v>4</v>
      </c>
      <c r="G3522" s="12">
        <f>SUM($D$7:D3522)</f>
        <v>10654584.241000047</v>
      </c>
      <c r="H3522" s="11">
        <f t="shared" si="54"/>
        <v>0.99886559849500633</v>
      </c>
    </row>
    <row r="3523" spans="1:8" ht="15" customHeight="1" x14ac:dyDescent="0.25">
      <c r="A3523" s="5">
        <v>3517</v>
      </c>
      <c r="B3523" s="10" t="s">
        <v>6857</v>
      </c>
      <c r="C3523" s="10" t="s">
        <v>6858</v>
      </c>
      <c r="D3523" s="7">
        <v>44.86</v>
      </c>
      <c r="E3523" s="5">
        <v>9</v>
      </c>
      <c r="F3523" s="5">
        <v>5</v>
      </c>
      <c r="G3523" s="12">
        <f>SUM($D$7:D3523)</f>
        <v>10654629.101000046</v>
      </c>
      <c r="H3523" s="11">
        <f t="shared" si="54"/>
        <v>0.99886980411295767</v>
      </c>
    </row>
    <row r="3524" spans="1:8" ht="15" customHeight="1" x14ac:dyDescent="0.25">
      <c r="A3524" s="5">
        <v>3518</v>
      </c>
      <c r="B3524" s="10" t="s">
        <v>6404</v>
      </c>
      <c r="C3524" s="10" t="s">
        <v>6859</v>
      </c>
      <c r="D3524" s="7">
        <v>44.85</v>
      </c>
      <c r="E3524" s="5">
        <v>23</v>
      </c>
      <c r="F3524" s="5">
        <v>5</v>
      </c>
      <c r="G3524" s="12">
        <f>SUM($D$7:D3524)</f>
        <v>10654673.951000046</v>
      </c>
      <c r="H3524" s="11">
        <f t="shared" si="54"/>
        <v>0.99887400879341048</v>
      </c>
    </row>
    <row r="3525" spans="1:8" ht="15" customHeight="1" x14ac:dyDescent="0.25">
      <c r="A3525" s="5">
        <v>3519</v>
      </c>
      <c r="B3525" s="10" t="s">
        <v>6860</v>
      </c>
      <c r="C3525" s="10" t="s">
        <v>6861</v>
      </c>
      <c r="D3525" s="7">
        <v>44.25</v>
      </c>
      <c r="E3525" s="5">
        <v>15</v>
      </c>
      <c r="F3525" s="5">
        <v>8</v>
      </c>
      <c r="G3525" s="12">
        <f>SUM($D$7:D3525)</f>
        <v>10654718.201000046</v>
      </c>
      <c r="H3525" s="11">
        <f t="shared" si="54"/>
        <v>0.99887815722395779</v>
      </c>
    </row>
    <row r="3526" spans="1:8" ht="15" customHeight="1" x14ac:dyDescent="0.25">
      <c r="A3526" s="5">
        <v>3520</v>
      </c>
      <c r="B3526" s="10" t="s">
        <v>6862</v>
      </c>
      <c r="C3526" s="10" t="s">
        <v>6863</v>
      </c>
      <c r="D3526" s="7">
        <v>44.04</v>
      </c>
      <c r="E3526" s="5">
        <v>14</v>
      </c>
      <c r="F3526" s="5">
        <v>11</v>
      </c>
      <c r="G3526" s="12">
        <f>SUM($D$7:D3526)</f>
        <v>10654762.241000045</v>
      </c>
      <c r="H3526" s="11">
        <f t="shared" si="54"/>
        <v>0.99888228596703788</v>
      </c>
    </row>
    <row r="3527" spans="1:8" ht="15" customHeight="1" x14ac:dyDescent="0.25">
      <c r="A3527" s="5">
        <v>3521</v>
      </c>
      <c r="B3527" s="10" t="s">
        <v>6864</v>
      </c>
      <c r="C3527" s="10" t="s">
        <v>6865</v>
      </c>
      <c r="D3527" s="7">
        <v>43.66</v>
      </c>
      <c r="E3527" s="5">
        <v>44</v>
      </c>
      <c r="F3527" s="5">
        <v>6</v>
      </c>
      <c r="G3527" s="12">
        <f>SUM($D$7:D3527)</f>
        <v>10654805.901000045</v>
      </c>
      <c r="H3527" s="11">
        <f t="shared" ref="H3527:H3590" si="55">G3527/SUM($D$7:$D$4167)</f>
        <v>0.99888637908517786</v>
      </c>
    </row>
    <row r="3528" spans="1:8" ht="15" customHeight="1" x14ac:dyDescent="0.25">
      <c r="A3528" s="5">
        <v>3522</v>
      </c>
      <c r="B3528" s="10" t="s">
        <v>6866</v>
      </c>
      <c r="C3528" s="10" t="s">
        <v>6867</v>
      </c>
      <c r="D3528" s="7">
        <v>43.65</v>
      </c>
      <c r="E3528" s="5">
        <v>235</v>
      </c>
      <c r="F3528" s="5">
        <v>14</v>
      </c>
      <c r="G3528" s="12">
        <f>SUM($D$7:D3528)</f>
        <v>10654849.551000046</v>
      </c>
      <c r="H3528" s="11">
        <f t="shared" si="55"/>
        <v>0.99889047126581942</v>
      </c>
    </row>
    <row r="3529" spans="1:8" ht="15" customHeight="1" x14ac:dyDescent="0.25">
      <c r="A3529" s="5">
        <v>3523</v>
      </c>
      <c r="B3529" s="10" t="s">
        <v>6868</v>
      </c>
      <c r="C3529" s="10" t="s">
        <v>6869</v>
      </c>
      <c r="D3529" s="7">
        <v>43.51</v>
      </c>
      <c r="E3529" s="5">
        <v>4</v>
      </c>
      <c r="F3529" s="5">
        <v>4</v>
      </c>
      <c r="G3529" s="12">
        <f>SUM($D$7:D3529)</f>
        <v>10654893.061000045</v>
      </c>
      <c r="H3529" s="11">
        <f t="shared" si="55"/>
        <v>0.99889455032148289</v>
      </c>
    </row>
    <row r="3530" spans="1:8" ht="15" customHeight="1" x14ac:dyDescent="0.25">
      <c r="A3530" s="5">
        <v>3524</v>
      </c>
      <c r="B3530" s="10" t="s">
        <v>6870</v>
      </c>
      <c r="C3530" s="10" t="s">
        <v>6871</v>
      </c>
      <c r="D3530" s="7">
        <v>43.35</v>
      </c>
      <c r="E3530" s="5">
        <v>17</v>
      </c>
      <c r="F3530" s="5">
        <v>8</v>
      </c>
      <c r="G3530" s="12">
        <f>SUM($D$7:D3530)</f>
        <v>10654936.411000045</v>
      </c>
      <c r="H3530" s="11">
        <f t="shared" si="55"/>
        <v>0.99889861437717153</v>
      </c>
    </row>
    <row r="3531" spans="1:8" ht="15" customHeight="1" x14ac:dyDescent="0.25">
      <c r="A3531" s="5">
        <v>3525</v>
      </c>
      <c r="B3531" s="10" t="s">
        <v>6872</v>
      </c>
      <c r="C3531" s="10" t="s">
        <v>6873</v>
      </c>
      <c r="D3531" s="7">
        <v>43.15</v>
      </c>
      <c r="E3531" s="5">
        <v>43</v>
      </c>
      <c r="F3531" s="5">
        <v>12</v>
      </c>
      <c r="G3531" s="12">
        <f>SUM($D$7:D3531)</f>
        <v>10654979.561000045</v>
      </c>
      <c r="H3531" s="11">
        <f t="shared" si="55"/>
        <v>0.9989026596828916</v>
      </c>
    </row>
    <row r="3532" spans="1:8" ht="15" customHeight="1" x14ac:dyDescent="0.25">
      <c r="A3532" s="5">
        <v>3526</v>
      </c>
      <c r="B3532" s="10" t="s">
        <v>6874</v>
      </c>
      <c r="C3532" s="10" t="s">
        <v>6875</v>
      </c>
      <c r="D3532" s="7">
        <v>43.05</v>
      </c>
      <c r="E3532" s="5">
        <v>23</v>
      </c>
      <c r="F3532" s="5">
        <v>9</v>
      </c>
      <c r="G3532" s="12">
        <f>SUM($D$7:D3532)</f>
        <v>10655022.611000046</v>
      </c>
      <c r="H3532" s="11">
        <f t="shared" si="55"/>
        <v>0.99890669561362744</v>
      </c>
    </row>
    <row r="3533" spans="1:8" ht="15" customHeight="1" x14ac:dyDescent="0.25">
      <c r="A3533" s="5">
        <v>3527</v>
      </c>
      <c r="B3533" s="10" t="s">
        <v>6876</v>
      </c>
      <c r="C3533" s="10" t="s">
        <v>6877</v>
      </c>
      <c r="D3533" s="7">
        <v>42.92</v>
      </c>
      <c r="E3533" s="5">
        <v>44</v>
      </c>
      <c r="F3533" s="5">
        <v>8</v>
      </c>
      <c r="G3533" s="12">
        <f>SUM($D$7:D3533)</f>
        <v>10655065.531000046</v>
      </c>
      <c r="H3533" s="11">
        <f t="shared" si="55"/>
        <v>0.99891071935688369</v>
      </c>
    </row>
    <row r="3534" spans="1:8" ht="15" customHeight="1" x14ac:dyDescent="0.25">
      <c r="A3534" s="5">
        <v>3528</v>
      </c>
      <c r="B3534" s="10" t="s">
        <v>6878</v>
      </c>
      <c r="C3534" s="10" t="s">
        <v>6879</v>
      </c>
      <c r="D3534" s="7">
        <v>42.9</v>
      </c>
      <c r="E3534" s="5">
        <v>26</v>
      </c>
      <c r="F3534" s="5">
        <v>2</v>
      </c>
      <c r="G3534" s="12">
        <f>SUM($D$7:D3534)</f>
        <v>10655108.431000046</v>
      </c>
      <c r="H3534" s="11">
        <f t="shared" si="55"/>
        <v>0.99891474122514301</v>
      </c>
    </row>
    <row r="3535" spans="1:8" ht="15" customHeight="1" x14ac:dyDescent="0.25">
      <c r="A3535" s="5">
        <v>3529</v>
      </c>
      <c r="B3535" s="10" t="s">
        <v>6880</v>
      </c>
      <c r="C3535" s="10" t="s">
        <v>6881</v>
      </c>
      <c r="D3535" s="7">
        <v>42.84</v>
      </c>
      <c r="E3535" s="5">
        <v>102</v>
      </c>
      <c r="F3535" s="5">
        <v>5</v>
      </c>
      <c r="G3535" s="12">
        <f>SUM($D$7:D3535)</f>
        <v>10655151.271000046</v>
      </c>
      <c r="H3535" s="11">
        <f t="shared" si="55"/>
        <v>0.99891875746841174</v>
      </c>
    </row>
    <row r="3536" spans="1:8" ht="15" customHeight="1" x14ac:dyDescent="0.25">
      <c r="A3536" s="5">
        <v>3530</v>
      </c>
      <c r="B3536" s="10" t="s">
        <v>6882</v>
      </c>
      <c r="C3536" s="10" t="s">
        <v>6883</v>
      </c>
      <c r="D3536" s="7">
        <v>42.7</v>
      </c>
      <c r="E3536" s="5">
        <v>15</v>
      </c>
      <c r="F3536" s="5">
        <v>5</v>
      </c>
      <c r="G3536" s="12">
        <f>SUM($D$7:D3536)</f>
        <v>10655193.971000046</v>
      </c>
      <c r="H3536" s="11">
        <f t="shared" si="55"/>
        <v>0.99892276058670249</v>
      </c>
    </row>
    <row r="3537" spans="1:8" ht="15" customHeight="1" x14ac:dyDescent="0.25">
      <c r="A3537" s="5">
        <v>3531</v>
      </c>
      <c r="B3537" s="10" t="s">
        <v>6884</v>
      </c>
      <c r="C3537" s="10" t="s">
        <v>6885</v>
      </c>
      <c r="D3537" s="7">
        <v>42.58</v>
      </c>
      <c r="E3537" s="5">
        <v>40</v>
      </c>
      <c r="F3537" s="5">
        <v>17</v>
      </c>
      <c r="G3537" s="12">
        <f>SUM($D$7:D3537)</f>
        <v>10655236.551000046</v>
      </c>
      <c r="H3537" s="11">
        <f t="shared" si="55"/>
        <v>0.99892675245501217</v>
      </c>
    </row>
    <row r="3538" spans="1:8" ht="15" customHeight="1" x14ac:dyDescent="0.25">
      <c r="A3538" s="5">
        <v>3532</v>
      </c>
      <c r="B3538" s="10" t="s">
        <v>6886</v>
      </c>
      <c r="C3538" s="10" t="s">
        <v>6887</v>
      </c>
      <c r="D3538" s="7">
        <v>42.29</v>
      </c>
      <c r="E3538" s="5">
        <v>9</v>
      </c>
      <c r="F3538" s="5">
        <v>6</v>
      </c>
      <c r="G3538" s="12">
        <f>SUM($D$7:D3538)</f>
        <v>10655278.841000045</v>
      </c>
      <c r="H3538" s="11">
        <f t="shared" si="55"/>
        <v>0.99893071713586723</v>
      </c>
    </row>
    <row r="3539" spans="1:8" ht="15" customHeight="1" x14ac:dyDescent="0.25">
      <c r="A3539" s="5">
        <v>3533</v>
      </c>
      <c r="B3539" s="10" t="s">
        <v>6888</v>
      </c>
      <c r="C3539" s="10" t="s">
        <v>6889</v>
      </c>
      <c r="D3539" s="7">
        <v>42.14</v>
      </c>
      <c r="E3539" s="5">
        <v>5</v>
      </c>
      <c r="F3539" s="5">
        <v>4</v>
      </c>
      <c r="G3539" s="12">
        <f>SUM($D$7:D3539)</f>
        <v>10655320.981000045</v>
      </c>
      <c r="H3539" s="11">
        <f t="shared" si="55"/>
        <v>0.99893466775424611</v>
      </c>
    </row>
    <row r="3540" spans="1:8" ht="15" customHeight="1" x14ac:dyDescent="0.25">
      <c r="A3540" s="5">
        <v>3534</v>
      </c>
      <c r="B3540" s="10" t="s">
        <v>6890</v>
      </c>
      <c r="C3540" s="10" t="s">
        <v>6891</v>
      </c>
      <c r="D3540" s="7">
        <v>42.13</v>
      </c>
      <c r="E3540" s="5">
        <v>5</v>
      </c>
      <c r="F3540" s="5">
        <v>4</v>
      </c>
      <c r="G3540" s="12">
        <f>SUM($D$7:D3540)</f>
        <v>10655363.111000046</v>
      </c>
      <c r="H3540" s="11">
        <f t="shared" si="55"/>
        <v>0.99893861743512646</v>
      </c>
    </row>
    <row r="3541" spans="1:8" ht="15" customHeight="1" x14ac:dyDescent="0.25">
      <c r="A3541" s="5">
        <v>3535</v>
      </c>
      <c r="B3541" s="10" t="s">
        <v>6892</v>
      </c>
      <c r="C3541" s="10" t="s">
        <v>2437</v>
      </c>
      <c r="D3541" s="7">
        <v>42.02</v>
      </c>
      <c r="E3541" s="5">
        <v>2</v>
      </c>
      <c r="F3541" s="5">
        <v>2</v>
      </c>
      <c r="G3541" s="12">
        <f>SUM($D$7:D3541)</f>
        <v>10655405.131000046</v>
      </c>
      <c r="H3541" s="11">
        <f t="shared" si="55"/>
        <v>0.99894255680352406</v>
      </c>
    </row>
    <row r="3542" spans="1:8" ht="15" customHeight="1" x14ac:dyDescent="0.25">
      <c r="A3542" s="5">
        <v>3536</v>
      </c>
      <c r="B3542" s="10" t="s">
        <v>5816</v>
      </c>
      <c r="C3542" s="10" t="s">
        <v>6893</v>
      </c>
      <c r="D3542" s="7">
        <v>42</v>
      </c>
      <c r="E3542" s="5">
        <v>100</v>
      </c>
      <c r="F3542" s="5">
        <v>4</v>
      </c>
      <c r="G3542" s="12">
        <f>SUM($D$7:D3542)</f>
        <v>10655447.131000046</v>
      </c>
      <c r="H3542" s="11">
        <f t="shared" si="55"/>
        <v>0.99894649429692484</v>
      </c>
    </row>
    <row r="3543" spans="1:8" ht="15" customHeight="1" x14ac:dyDescent="0.25">
      <c r="A3543" s="5">
        <v>3537</v>
      </c>
      <c r="B3543" s="10" t="s">
        <v>2273</v>
      </c>
      <c r="C3543" s="10" t="s">
        <v>6894</v>
      </c>
      <c r="D3543" s="7">
        <v>42</v>
      </c>
      <c r="E3543" s="5">
        <v>100</v>
      </c>
      <c r="F3543" s="5">
        <v>2</v>
      </c>
      <c r="G3543" s="12">
        <f>SUM($D$7:D3543)</f>
        <v>10655489.131000046</v>
      </c>
      <c r="H3543" s="11">
        <f t="shared" si="55"/>
        <v>0.99895043179032561</v>
      </c>
    </row>
    <row r="3544" spans="1:8" ht="15" customHeight="1" x14ac:dyDescent="0.25">
      <c r="A3544" s="5">
        <v>3538</v>
      </c>
      <c r="B3544" s="10" t="s">
        <v>6895</v>
      </c>
      <c r="C3544" s="10" t="s">
        <v>6896</v>
      </c>
      <c r="D3544" s="7">
        <v>42</v>
      </c>
      <c r="E3544" s="5">
        <v>200</v>
      </c>
      <c r="F3544" s="5">
        <v>7</v>
      </c>
      <c r="G3544" s="12">
        <f>SUM($D$7:D3544)</f>
        <v>10655531.131000046</v>
      </c>
      <c r="H3544" s="11">
        <f t="shared" si="55"/>
        <v>0.99895436928372627</v>
      </c>
    </row>
    <row r="3545" spans="1:8" ht="15" customHeight="1" x14ac:dyDescent="0.25">
      <c r="A3545" s="5">
        <v>3539</v>
      </c>
      <c r="B3545" s="10" t="s">
        <v>6897</v>
      </c>
      <c r="C3545" s="10" t="s">
        <v>6898</v>
      </c>
      <c r="D3545" s="7">
        <v>41.79</v>
      </c>
      <c r="E3545" s="5">
        <v>10</v>
      </c>
      <c r="F3545" s="5">
        <v>5</v>
      </c>
      <c r="G3545" s="12">
        <f>SUM($D$7:D3545)</f>
        <v>10655572.921000045</v>
      </c>
      <c r="H3545" s="11">
        <f t="shared" si="55"/>
        <v>0.99895828708965995</v>
      </c>
    </row>
    <row r="3546" spans="1:8" ht="15" customHeight="1" x14ac:dyDescent="0.25">
      <c r="A3546" s="5">
        <v>3540</v>
      </c>
      <c r="B3546" s="10" t="s">
        <v>6899</v>
      </c>
      <c r="C3546" s="10" t="s">
        <v>6900</v>
      </c>
      <c r="D3546" s="7">
        <v>41.53</v>
      </c>
      <c r="E3546" s="5">
        <v>30</v>
      </c>
      <c r="F3546" s="5">
        <v>17</v>
      </c>
      <c r="G3546" s="12">
        <f>SUM($D$7:D3546)</f>
        <v>10655614.451000044</v>
      </c>
      <c r="H3546" s="11">
        <f t="shared" si="55"/>
        <v>0.99896218052063457</v>
      </c>
    </row>
    <row r="3547" spans="1:8" ht="15" customHeight="1" x14ac:dyDescent="0.25">
      <c r="A3547" s="5">
        <v>3541</v>
      </c>
      <c r="B3547" s="10" t="s">
        <v>4639</v>
      </c>
      <c r="C3547" s="10" t="s">
        <v>6901</v>
      </c>
      <c r="D3547" s="7">
        <v>41.5</v>
      </c>
      <c r="E3547" s="5">
        <v>10</v>
      </c>
      <c r="F3547" s="5">
        <v>5</v>
      </c>
      <c r="G3547" s="12">
        <f>SUM($D$7:D3547)</f>
        <v>10655655.951000044</v>
      </c>
      <c r="H3547" s="11">
        <f t="shared" si="55"/>
        <v>0.99896607113911384</v>
      </c>
    </row>
    <row r="3548" spans="1:8" ht="15" customHeight="1" x14ac:dyDescent="0.25">
      <c r="A3548" s="5">
        <v>3542</v>
      </c>
      <c r="B3548" s="10" t="s">
        <v>6902</v>
      </c>
      <c r="C3548" s="10" t="s">
        <v>6903</v>
      </c>
      <c r="D3548" s="7">
        <v>41.47</v>
      </c>
      <c r="E3548" s="5">
        <v>143</v>
      </c>
      <c r="F3548" s="5">
        <v>12</v>
      </c>
      <c r="G3548" s="12">
        <f>SUM($D$7:D3548)</f>
        <v>10655697.421000045</v>
      </c>
      <c r="H3548" s="11">
        <f t="shared" si="55"/>
        <v>0.99896995894509799</v>
      </c>
    </row>
    <row r="3549" spans="1:8" ht="15" customHeight="1" x14ac:dyDescent="0.25">
      <c r="A3549" s="5">
        <v>3543</v>
      </c>
      <c r="B3549" s="10" t="s">
        <v>6904</v>
      </c>
      <c r="C3549" s="10" t="s">
        <v>6905</v>
      </c>
      <c r="D3549" s="7">
        <v>41.45</v>
      </c>
      <c r="E3549" s="5">
        <v>25</v>
      </c>
      <c r="F3549" s="5">
        <v>19</v>
      </c>
      <c r="G3549" s="12">
        <f>SUM($D$7:D3549)</f>
        <v>10655738.871000044</v>
      </c>
      <c r="H3549" s="11">
        <f t="shared" si="55"/>
        <v>0.99897384487608509</v>
      </c>
    </row>
    <row r="3550" spans="1:8" ht="15" customHeight="1" x14ac:dyDescent="0.25">
      <c r="A3550" s="5">
        <v>3544</v>
      </c>
      <c r="B3550" s="10" t="s">
        <v>6906</v>
      </c>
      <c r="C3550" s="10" t="s">
        <v>1607</v>
      </c>
      <c r="D3550" s="7">
        <v>41.45</v>
      </c>
      <c r="E3550" s="5">
        <v>5</v>
      </c>
      <c r="F3550" s="5">
        <v>5</v>
      </c>
      <c r="G3550" s="12">
        <f>SUM($D$7:D3550)</f>
        <v>10655780.321000043</v>
      </c>
      <c r="H3550" s="11">
        <f t="shared" si="55"/>
        <v>0.9989777308070722</v>
      </c>
    </row>
    <row r="3551" spans="1:8" ht="15" customHeight="1" x14ac:dyDescent="0.25">
      <c r="A3551" s="5">
        <v>3545</v>
      </c>
      <c r="B3551" s="10" t="s">
        <v>3636</v>
      </c>
      <c r="C3551" s="10" t="s">
        <v>1627</v>
      </c>
      <c r="D3551" s="7">
        <v>41.45</v>
      </c>
      <c r="E3551" s="5">
        <v>5</v>
      </c>
      <c r="F3551" s="5">
        <v>5</v>
      </c>
      <c r="G3551" s="12">
        <f>SUM($D$7:D3551)</f>
        <v>10655821.771000043</v>
      </c>
      <c r="H3551" s="11">
        <f t="shared" si="55"/>
        <v>0.9989816167380593</v>
      </c>
    </row>
    <row r="3552" spans="1:8" ht="15" customHeight="1" x14ac:dyDescent="0.25">
      <c r="A3552" s="5">
        <v>3546</v>
      </c>
      <c r="B3552" s="10" t="s">
        <v>6907</v>
      </c>
      <c r="C3552" s="10" t="s">
        <v>6908</v>
      </c>
      <c r="D3552" s="7">
        <v>41.37</v>
      </c>
      <c r="E3552" s="5">
        <v>25</v>
      </c>
      <c r="F3552" s="5">
        <v>15</v>
      </c>
      <c r="G3552" s="12">
        <f>SUM($D$7:D3552)</f>
        <v>10655863.141000042</v>
      </c>
      <c r="H3552" s="11">
        <f t="shared" si="55"/>
        <v>0.99898549516905899</v>
      </c>
    </row>
    <row r="3553" spans="1:8" ht="15" customHeight="1" x14ac:dyDescent="0.25">
      <c r="A3553" s="5">
        <v>3547</v>
      </c>
      <c r="B3553" s="10" t="s">
        <v>6909</v>
      </c>
      <c r="C3553" s="10" t="s">
        <v>6910</v>
      </c>
      <c r="D3553" s="7">
        <v>41.31</v>
      </c>
      <c r="E3553" s="5">
        <v>11</v>
      </c>
      <c r="F3553" s="5">
        <v>6</v>
      </c>
      <c r="G3553" s="12">
        <f>SUM($D$7:D3553)</f>
        <v>10655904.451000042</v>
      </c>
      <c r="H3553" s="11">
        <f t="shared" si="55"/>
        <v>0.99898936797506821</v>
      </c>
    </row>
    <row r="3554" spans="1:8" ht="15" customHeight="1" x14ac:dyDescent="0.25">
      <c r="A3554" s="5">
        <v>3548</v>
      </c>
      <c r="B3554" s="10" t="s">
        <v>6911</v>
      </c>
      <c r="C3554" s="10" t="s">
        <v>6912</v>
      </c>
      <c r="D3554" s="7">
        <v>41.3</v>
      </c>
      <c r="E3554" s="5">
        <v>14</v>
      </c>
      <c r="F3554" s="5">
        <v>5</v>
      </c>
      <c r="G3554" s="12">
        <f>SUM($D$7:D3554)</f>
        <v>10655945.751000043</v>
      </c>
      <c r="H3554" s="11">
        <f t="shared" si="55"/>
        <v>0.99899323984357902</v>
      </c>
    </row>
    <row r="3555" spans="1:8" ht="15" customHeight="1" x14ac:dyDescent="0.25">
      <c r="A3555" s="5">
        <v>3549</v>
      </c>
      <c r="B3555" s="10" t="s">
        <v>6913</v>
      </c>
      <c r="C3555" s="10" t="s">
        <v>6914</v>
      </c>
      <c r="D3555" s="7">
        <v>41.3</v>
      </c>
      <c r="E3555" s="5">
        <v>14</v>
      </c>
      <c r="F3555" s="5">
        <v>7</v>
      </c>
      <c r="G3555" s="12">
        <f>SUM($D$7:D3555)</f>
        <v>10655987.051000044</v>
      </c>
      <c r="H3555" s="11">
        <f t="shared" si="55"/>
        <v>0.99899711171208982</v>
      </c>
    </row>
    <row r="3556" spans="1:8" ht="15" customHeight="1" x14ac:dyDescent="0.25">
      <c r="A3556" s="5">
        <v>3550</v>
      </c>
      <c r="B3556" s="10" t="s">
        <v>6915</v>
      </c>
      <c r="C3556" s="10" t="s">
        <v>6916</v>
      </c>
      <c r="D3556" s="7">
        <v>41.25</v>
      </c>
      <c r="E3556" s="5">
        <v>11</v>
      </c>
      <c r="F3556" s="5">
        <v>5</v>
      </c>
      <c r="G3556" s="12">
        <f>SUM($D$7:D3556)</f>
        <v>10656028.301000044</v>
      </c>
      <c r="H3556" s="11">
        <f t="shared" si="55"/>
        <v>0.99900097889310846</v>
      </c>
    </row>
    <row r="3557" spans="1:8" ht="15" customHeight="1" x14ac:dyDescent="0.25">
      <c r="A3557" s="5">
        <v>3551</v>
      </c>
      <c r="B3557" s="10" t="s">
        <v>6917</v>
      </c>
      <c r="C3557" s="10" t="s">
        <v>6918</v>
      </c>
      <c r="D3557" s="7">
        <v>41.25</v>
      </c>
      <c r="E3557" s="5">
        <v>25</v>
      </c>
      <c r="F3557" s="5">
        <v>3</v>
      </c>
      <c r="G3557" s="12">
        <f>SUM($D$7:D3557)</f>
        <v>10656069.551000044</v>
      </c>
      <c r="H3557" s="11">
        <f t="shared" si="55"/>
        <v>0.9990048460741271</v>
      </c>
    </row>
    <row r="3558" spans="1:8" ht="15" customHeight="1" x14ac:dyDescent="0.25">
      <c r="A3558" s="5">
        <v>3552</v>
      </c>
      <c r="B3558" s="10" t="s">
        <v>6919</v>
      </c>
      <c r="C3558" s="10" t="s">
        <v>6920</v>
      </c>
      <c r="D3558" s="7">
        <v>41.25</v>
      </c>
      <c r="E3558" s="5">
        <v>25</v>
      </c>
      <c r="F3558" s="5">
        <v>6</v>
      </c>
      <c r="G3558" s="12">
        <f>SUM($D$7:D3558)</f>
        <v>10656110.801000044</v>
      </c>
      <c r="H3558" s="11">
        <f t="shared" si="55"/>
        <v>0.99900871325514562</v>
      </c>
    </row>
    <row r="3559" spans="1:8" ht="15" customHeight="1" x14ac:dyDescent="0.25">
      <c r="A3559" s="5">
        <v>3553</v>
      </c>
      <c r="B3559" s="10" t="s">
        <v>6921</v>
      </c>
      <c r="C3559" s="10" t="s">
        <v>6922</v>
      </c>
      <c r="D3559" s="7">
        <v>41.15</v>
      </c>
      <c r="E3559" s="5">
        <v>14</v>
      </c>
      <c r="F3559" s="5">
        <v>7</v>
      </c>
      <c r="G3559" s="12">
        <f>SUM($D$7:D3559)</f>
        <v>10656151.951000044</v>
      </c>
      <c r="H3559" s="11">
        <f t="shared" si="55"/>
        <v>0.99901257106118002</v>
      </c>
    </row>
    <row r="3560" spans="1:8" ht="15" customHeight="1" x14ac:dyDescent="0.25">
      <c r="A3560" s="5">
        <v>3554</v>
      </c>
      <c r="B3560" s="10" t="s">
        <v>6923</v>
      </c>
      <c r="C3560" s="10" t="s">
        <v>6924</v>
      </c>
      <c r="D3560" s="7">
        <v>41.08</v>
      </c>
      <c r="E3560" s="5">
        <v>14</v>
      </c>
      <c r="F3560" s="5">
        <v>9</v>
      </c>
      <c r="G3560" s="12">
        <f>SUM($D$7:D3560)</f>
        <v>10656193.031000044</v>
      </c>
      <c r="H3560" s="11">
        <f t="shared" si="55"/>
        <v>0.99901642230472532</v>
      </c>
    </row>
    <row r="3561" spans="1:8" ht="15" customHeight="1" x14ac:dyDescent="0.25">
      <c r="A3561" s="5">
        <v>3555</v>
      </c>
      <c r="B3561" s="10" t="s">
        <v>6925</v>
      </c>
      <c r="C3561" s="10" t="s">
        <v>6926</v>
      </c>
      <c r="D3561" s="7">
        <v>41.01</v>
      </c>
      <c r="E3561" s="5">
        <v>14</v>
      </c>
      <c r="F3561" s="5">
        <v>7</v>
      </c>
      <c r="G3561" s="12">
        <f>SUM($D$7:D3561)</f>
        <v>10656234.041000044</v>
      </c>
      <c r="H3561" s="11">
        <f t="shared" si="55"/>
        <v>0.99902026698578161</v>
      </c>
    </row>
    <row r="3562" spans="1:8" ht="15" customHeight="1" x14ac:dyDescent="0.25">
      <c r="A3562" s="5">
        <v>3556</v>
      </c>
      <c r="B3562" s="10" t="s">
        <v>6927</v>
      </c>
      <c r="C3562" s="10" t="s">
        <v>6928</v>
      </c>
      <c r="D3562" s="7">
        <v>40.96</v>
      </c>
      <c r="E3562" s="5">
        <v>14</v>
      </c>
      <c r="F3562" s="5">
        <v>9</v>
      </c>
      <c r="G3562" s="12">
        <f>SUM($D$7:D3562)</f>
        <v>10656275.001000045</v>
      </c>
      <c r="H3562" s="11">
        <f t="shared" si="55"/>
        <v>0.99902410697934585</v>
      </c>
    </row>
    <row r="3563" spans="1:8" ht="15" customHeight="1" x14ac:dyDescent="0.25">
      <c r="A3563" s="5">
        <v>3557</v>
      </c>
      <c r="B3563" s="10" t="s">
        <v>6929</v>
      </c>
      <c r="C3563" s="10" t="s">
        <v>6930</v>
      </c>
      <c r="D3563" s="7">
        <v>40.950000000000003</v>
      </c>
      <c r="E3563" s="5">
        <v>14</v>
      </c>
      <c r="F3563" s="5">
        <v>13</v>
      </c>
      <c r="G3563" s="12">
        <f>SUM($D$7:D3563)</f>
        <v>10656315.951000044</v>
      </c>
      <c r="H3563" s="11">
        <f t="shared" si="55"/>
        <v>0.99902794603541156</v>
      </c>
    </row>
    <row r="3564" spans="1:8" ht="15" customHeight="1" x14ac:dyDescent="0.25">
      <c r="A3564" s="5">
        <v>3558</v>
      </c>
      <c r="B3564" s="10" t="s">
        <v>6931</v>
      </c>
      <c r="C3564" s="10" t="s">
        <v>6932</v>
      </c>
      <c r="D3564" s="7">
        <v>40.9</v>
      </c>
      <c r="E3564" s="5">
        <v>14</v>
      </c>
      <c r="F3564" s="5">
        <v>9</v>
      </c>
      <c r="G3564" s="12">
        <f>SUM($D$7:D3564)</f>
        <v>10656356.851000044</v>
      </c>
      <c r="H3564" s="11">
        <f t="shared" si="55"/>
        <v>0.99903178040398521</v>
      </c>
    </row>
    <row r="3565" spans="1:8" ht="15" customHeight="1" x14ac:dyDescent="0.25">
      <c r="A3565" s="5">
        <v>3559</v>
      </c>
      <c r="B3565" s="10" t="s">
        <v>2394</v>
      </c>
      <c r="C3565" s="10" t="s">
        <v>6933</v>
      </c>
      <c r="D3565" s="7">
        <v>40.799999999999997</v>
      </c>
      <c r="E3565" s="5">
        <v>48</v>
      </c>
      <c r="F3565" s="5">
        <v>4</v>
      </c>
      <c r="G3565" s="12">
        <f>SUM($D$7:D3565)</f>
        <v>10656397.651000045</v>
      </c>
      <c r="H3565" s="11">
        <f t="shared" si="55"/>
        <v>0.99903560539757452</v>
      </c>
    </row>
    <row r="3566" spans="1:8" ht="15" customHeight="1" x14ac:dyDescent="0.25">
      <c r="A3566" s="5">
        <v>3560</v>
      </c>
      <c r="B3566" s="10" t="s">
        <v>6934</v>
      </c>
      <c r="C3566" s="10" t="s">
        <v>6935</v>
      </c>
      <c r="D3566" s="7">
        <v>40.53</v>
      </c>
      <c r="E3566" s="5">
        <v>193</v>
      </c>
      <c r="F3566" s="5">
        <v>29</v>
      </c>
      <c r="G3566" s="12">
        <f>SUM($D$7:D3566)</f>
        <v>10656438.181000045</v>
      </c>
      <c r="H3566" s="11">
        <f t="shared" si="55"/>
        <v>0.99903940507870626</v>
      </c>
    </row>
    <row r="3567" spans="1:8" ht="15" customHeight="1" x14ac:dyDescent="0.25">
      <c r="A3567" s="5">
        <v>3561</v>
      </c>
      <c r="B3567" s="10" t="s">
        <v>6936</v>
      </c>
      <c r="C3567" s="10" t="s">
        <v>6937</v>
      </c>
      <c r="D3567" s="7">
        <v>40.380000000000003</v>
      </c>
      <c r="E3567" s="5">
        <v>103</v>
      </c>
      <c r="F3567" s="5">
        <v>8</v>
      </c>
      <c r="G3567" s="12">
        <f>SUM($D$7:D3567)</f>
        <v>10656478.561000045</v>
      </c>
      <c r="H3567" s="11">
        <f t="shared" si="55"/>
        <v>0.99904319069736158</v>
      </c>
    </row>
    <row r="3568" spans="1:8" ht="15" customHeight="1" x14ac:dyDescent="0.25">
      <c r="A3568" s="5">
        <v>3562</v>
      </c>
      <c r="B3568" s="10" t="s">
        <v>6938</v>
      </c>
      <c r="C3568" s="10" t="s">
        <v>6939</v>
      </c>
      <c r="D3568" s="7">
        <v>40.200000000000003</v>
      </c>
      <c r="E3568" s="5">
        <v>60</v>
      </c>
      <c r="F3568" s="5">
        <v>30</v>
      </c>
      <c r="G3568" s="12">
        <f>SUM($D$7:D3568)</f>
        <v>10656518.761000045</v>
      </c>
      <c r="H3568" s="11">
        <f t="shared" si="55"/>
        <v>0.99904695944104516</v>
      </c>
    </row>
    <row r="3569" spans="1:8" ht="15" customHeight="1" x14ac:dyDescent="0.25">
      <c r="A3569" s="5">
        <v>3563</v>
      </c>
      <c r="B3569" s="10" t="s">
        <v>6940</v>
      </c>
      <c r="C3569" s="10" t="s">
        <v>6941</v>
      </c>
      <c r="D3569" s="7">
        <v>40.049999999999997</v>
      </c>
      <c r="E3569" s="5">
        <v>27</v>
      </c>
      <c r="F3569" s="5">
        <v>2</v>
      </c>
      <c r="G3569" s="12">
        <f>SUM($D$7:D3569)</f>
        <v>10656558.811000045</v>
      </c>
      <c r="H3569" s="11">
        <f t="shared" si="55"/>
        <v>0.99905071412225233</v>
      </c>
    </row>
    <row r="3570" spans="1:8" ht="15" customHeight="1" x14ac:dyDescent="0.25">
      <c r="A3570" s="5">
        <v>3564</v>
      </c>
      <c r="B3570" s="10" t="s">
        <v>6942</v>
      </c>
      <c r="C3570" s="10" t="s">
        <v>6943</v>
      </c>
      <c r="D3570" s="7">
        <v>40.03</v>
      </c>
      <c r="E3570" s="5">
        <v>12</v>
      </c>
      <c r="F3570" s="5">
        <v>8</v>
      </c>
      <c r="G3570" s="12">
        <f>SUM($D$7:D3570)</f>
        <v>10656598.841000045</v>
      </c>
      <c r="H3570" s="11">
        <f t="shared" si="55"/>
        <v>0.99905446692846256</v>
      </c>
    </row>
    <row r="3571" spans="1:8" ht="15" customHeight="1" x14ac:dyDescent="0.25">
      <c r="A3571" s="5">
        <v>3565</v>
      </c>
      <c r="B3571" s="10" t="s">
        <v>6944</v>
      </c>
      <c r="C3571" s="10" t="s">
        <v>6945</v>
      </c>
      <c r="D3571" s="7">
        <v>39.979999999999997</v>
      </c>
      <c r="E3571" s="5">
        <v>16</v>
      </c>
      <c r="F3571" s="5">
        <v>15</v>
      </c>
      <c r="G3571" s="12">
        <f>SUM($D$7:D3571)</f>
        <v>10656638.821000045</v>
      </c>
      <c r="H3571" s="11">
        <f t="shared" si="55"/>
        <v>0.99905821504718073</v>
      </c>
    </row>
    <row r="3572" spans="1:8" ht="15" customHeight="1" x14ac:dyDescent="0.25">
      <c r="A3572" s="5">
        <v>3566</v>
      </c>
      <c r="B3572" s="10" t="s">
        <v>6946</v>
      </c>
      <c r="C3572" s="10" t="s">
        <v>6947</v>
      </c>
      <c r="D3572" s="7">
        <v>39.92</v>
      </c>
      <c r="E3572" s="5">
        <v>30</v>
      </c>
      <c r="F3572" s="5">
        <v>5</v>
      </c>
      <c r="G3572" s="12">
        <f>SUM($D$7:D3572)</f>
        <v>10656678.741000045</v>
      </c>
      <c r="H3572" s="11">
        <f t="shared" si="55"/>
        <v>0.99906195754090832</v>
      </c>
    </row>
    <row r="3573" spans="1:8" ht="15" customHeight="1" x14ac:dyDescent="0.25">
      <c r="A3573" s="5">
        <v>3567</v>
      </c>
      <c r="B3573" s="10" t="s">
        <v>2609</v>
      </c>
      <c r="C3573" s="10" t="s">
        <v>6948</v>
      </c>
      <c r="D3573" s="7">
        <v>39.9</v>
      </c>
      <c r="E3573" s="5">
        <v>2</v>
      </c>
      <c r="F3573" s="5">
        <v>1</v>
      </c>
      <c r="G3573" s="12">
        <f>SUM($D$7:D3573)</f>
        <v>10656718.641000045</v>
      </c>
      <c r="H3573" s="11">
        <f t="shared" si="55"/>
        <v>0.99906569815963908</v>
      </c>
    </row>
    <row r="3574" spans="1:8" ht="15" customHeight="1" x14ac:dyDescent="0.25">
      <c r="A3574" s="5">
        <v>3568</v>
      </c>
      <c r="B3574" s="10" t="s">
        <v>6949</v>
      </c>
      <c r="C3574" s="10" t="s">
        <v>6950</v>
      </c>
      <c r="D3574" s="7">
        <v>39.659999999999997</v>
      </c>
      <c r="E3574" s="5">
        <v>8</v>
      </c>
      <c r="F3574" s="5">
        <v>2</v>
      </c>
      <c r="G3574" s="12">
        <f>SUM($D$7:D3574)</f>
        <v>10656758.301000046</v>
      </c>
      <c r="H3574" s="11">
        <f t="shared" si="55"/>
        <v>0.99906941627840751</v>
      </c>
    </row>
    <row r="3575" spans="1:8" ht="15" customHeight="1" x14ac:dyDescent="0.25">
      <c r="A3575" s="5">
        <v>3569</v>
      </c>
      <c r="B3575" s="10" t="s">
        <v>6951</v>
      </c>
      <c r="C3575" s="10" t="s">
        <v>6952</v>
      </c>
      <c r="D3575" s="7">
        <v>39.65</v>
      </c>
      <c r="E3575" s="5">
        <v>41</v>
      </c>
      <c r="F3575" s="5">
        <v>18</v>
      </c>
      <c r="G3575" s="12">
        <f>SUM($D$7:D3575)</f>
        <v>10656797.951000046</v>
      </c>
      <c r="H3575" s="11">
        <f t="shared" si="55"/>
        <v>0.99907313345967763</v>
      </c>
    </row>
    <row r="3576" spans="1:8" ht="15" customHeight="1" x14ac:dyDescent="0.25">
      <c r="A3576" s="5">
        <v>3570</v>
      </c>
      <c r="B3576" s="10" t="s">
        <v>1638</v>
      </c>
      <c r="C3576" s="10" t="s">
        <v>6953</v>
      </c>
      <c r="D3576" s="7">
        <v>39.6</v>
      </c>
      <c r="E3576" s="5">
        <v>24</v>
      </c>
      <c r="F3576" s="5">
        <v>2</v>
      </c>
      <c r="G3576" s="12">
        <f>SUM($D$7:D3576)</f>
        <v>10656837.551000046</v>
      </c>
      <c r="H3576" s="11">
        <f t="shared" si="55"/>
        <v>0.99907684595345547</v>
      </c>
    </row>
    <row r="3577" spans="1:8" ht="15" customHeight="1" x14ac:dyDescent="0.25">
      <c r="A3577" s="5">
        <v>3571</v>
      </c>
      <c r="B3577" s="10" t="s">
        <v>6954</v>
      </c>
      <c r="C3577" s="10" t="s">
        <v>2264</v>
      </c>
      <c r="D3577" s="7">
        <v>39.36</v>
      </c>
      <c r="E3577" s="5">
        <v>16</v>
      </c>
      <c r="F3577" s="5">
        <v>12</v>
      </c>
      <c r="G3577" s="12">
        <f>SUM($D$7:D3577)</f>
        <v>10656876.911000045</v>
      </c>
      <c r="H3577" s="11">
        <f t="shared" si="55"/>
        <v>0.99908053594727098</v>
      </c>
    </row>
    <row r="3578" spans="1:8" ht="15" customHeight="1" x14ac:dyDescent="0.25">
      <c r="A3578" s="5">
        <v>3572</v>
      </c>
      <c r="B3578" s="10" t="s">
        <v>6955</v>
      </c>
      <c r="C3578" s="10" t="s">
        <v>6956</v>
      </c>
      <c r="D3578" s="7">
        <v>39.299999999999997</v>
      </c>
      <c r="E3578" s="5">
        <v>14</v>
      </c>
      <c r="F3578" s="5">
        <v>4</v>
      </c>
      <c r="G3578" s="12">
        <f>SUM($D$7:D3578)</f>
        <v>10656916.211000046</v>
      </c>
      <c r="H3578" s="11">
        <f t="shared" si="55"/>
        <v>0.99908422031609601</v>
      </c>
    </row>
    <row r="3579" spans="1:8" ht="15" customHeight="1" x14ac:dyDescent="0.25">
      <c r="A3579" s="5">
        <v>3573</v>
      </c>
      <c r="B3579" s="10" t="s">
        <v>6957</v>
      </c>
      <c r="C3579" s="10" t="s">
        <v>6958</v>
      </c>
      <c r="D3579" s="7">
        <v>39.200000000000003</v>
      </c>
      <c r="E3579" s="5">
        <v>79</v>
      </c>
      <c r="F3579" s="5">
        <v>13</v>
      </c>
      <c r="G3579" s="12">
        <f>SUM($D$7:D3579)</f>
        <v>10656955.411000045</v>
      </c>
      <c r="H3579" s="11">
        <f t="shared" si="55"/>
        <v>0.99908789530993669</v>
      </c>
    </row>
    <row r="3580" spans="1:8" ht="15" customHeight="1" x14ac:dyDescent="0.25">
      <c r="A3580" s="5">
        <v>3574</v>
      </c>
      <c r="B3580" s="10" t="s">
        <v>6959</v>
      </c>
      <c r="C3580" s="10" t="s">
        <v>6960</v>
      </c>
      <c r="D3580" s="7">
        <v>39</v>
      </c>
      <c r="E3580" s="5">
        <v>20</v>
      </c>
      <c r="F3580" s="5">
        <v>4</v>
      </c>
      <c r="G3580" s="12">
        <f>SUM($D$7:D3580)</f>
        <v>10656994.411000045</v>
      </c>
      <c r="H3580" s="11">
        <f t="shared" si="55"/>
        <v>0.9990915515538088</v>
      </c>
    </row>
    <row r="3581" spans="1:8" ht="15" customHeight="1" x14ac:dyDescent="0.25">
      <c r="A3581" s="5">
        <v>3575</v>
      </c>
      <c r="B3581" s="10" t="s">
        <v>6961</v>
      </c>
      <c r="C3581" s="10" t="s">
        <v>6962</v>
      </c>
      <c r="D3581" s="7">
        <v>38.75</v>
      </c>
      <c r="E3581" s="5">
        <v>27</v>
      </c>
      <c r="F3581" s="5">
        <v>5</v>
      </c>
      <c r="G3581" s="12">
        <f>SUM($D$7:D3581)</f>
        <v>10657033.161000045</v>
      </c>
      <c r="H3581" s="11">
        <f t="shared" si="55"/>
        <v>0.99909518436022016</v>
      </c>
    </row>
    <row r="3582" spans="1:8" ht="15" customHeight="1" x14ac:dyDescent="0.25">
      <c r="A3582" s="5">
        <v>3576</v>
      </c>
      <c r="B3582" s="10" t="s">
        <v>6963</v>
      </c>
      <c r="C3582" s="10" t="s">
        <v>6964</v>
      </c>
      <c r="D3582" s="7">
        <v>38.700000000000003</v>
      </c>
      <c r="E3582" s="5">
        <v>10</v>
      </c>
      <c r="F3582" s="5">
        <v>6</v>
      </c>
      <c r="G3582" s="12">
        <f>SUM($D$7:D3582)</f>
        <v>10657071.861000044</v>
      </c>
      <c r="H3582" s="11">
        <f t="shared" si="55"/>
        <v>0.99909881247913945</v>
      </c>
    </row>
    <row r="3583" spans="1:8" ht="15" customHeight="1" x14ac:dyDescent="0.25">
      <c r="A3583" s="5">
        <v>3577</v>
      </c>
      <c r="B3583" s="10" t="s">
        <v>6965</v>
      </c>
      <c r="C3583" s="10" t="s">
        <v>6966</v>
      </c>
      <c r="D3583" s="7">
        <v>38.69</v>
      </c>
      <c r="E3583" s="5">
        <v>19</v>
      </c>
      <c r="F3583" s="5">
        <v>8</v>
      </c>
      <c r="G3583" s="12">
        <f>SUM($D$7:D3583)</f>
        <v>10657110.551000044</v>
      </c>
      <c r="H3583" s="11">
        <f t="shared" si="55"/>
        <v>0.99910243966056023</v>
      </c>
    </row>
    <row r="3584" spans="1:8" ht="15" customHeight="1" x14ac:dyDescent="0.25">
      <c r="A3584" s="5">
        <v>3578</v>
      </c>
      <c r="B3584" s="10" t="s">
        <v>6967</v>
      </c>
      <c r="C3584" s="10" t="s">
        <v>6968</v>
      </c>
      <c r="D3584" s="7">
        <v>38.67</v>
      </c>
      <c r="E3584" s="5">
        <v>29</v>
      </c>
      <c r="F3584" s="5">
        <v>7</v>
      </c>
      <c r="G3584" s="12">
        <f>SUM($D$7:D3584)</f>
        <v>10657149.221000044</v>
      </c>
      <c r="H3584" s="11">
        <f t="shared" si="55"/>
        <v>0.99910606496698418</v>
      </c>
    </row>
    <row r="3585" spans="1:8" ht="15" customHeight="1" x14ac:dyDescent="0.25">
      <c r="A3585" s="5">
        <v>3579</v>
      </c>
      <c r="B3585" s="10" t="s">
        <v>6969</v>
      </c>
      <c r="C3585" s="10" t="s">
        <v>6970</v>
      </c>
      <c r="D3585" s="7">
        <v>38.380000000000003</v>
      </c>
      <c r="E3585" s="5">
        <v>202</v>
      </c>
      <c r="F3585" s="5">
        <v>13</v>
      </c>
      <c r="G3585" s="12">
        <f>SUM($D$7:D3585)</f>
        <v>10657187.601000044</v>
      </c>
      <c r="H3585" s="11">
        <f t="shared" si="55"/>
        <v>0.99910966308595384</v>
      </c>
    </row>
    <row r="3586" spans="1:8" ht="15" customHeight="1" x14ac:dyDescent="0.25">
      <c r="A3586" s="5">
        <v>3580</v>
      </c>
      <c r="B3586" s="10" t="s">
        <v>6971</v>
      </c>
      <c r="C3586" s="10" t="s">
        <v>5500</v>
      </c>
      <c r="D3586" s="7">
        <v>38.33</v>
      </c>
      <c r="E3586" s="5">
        <v>23</v>
      </c>
      <c r="F3586" s="5">
        <v>20</v>
      </c>
      <c r="G3586" s="12">
        <f>SUM($D$7:D3586)</f>
        <v>10657225.931000045</v>
      </c>
      <c r="H3586" s="11">
        <f t="shared" si="55"/>
        <v>0.99911325651743121</v>
      </c>
    </row>
    <row r="3587" spans="1:8" ht="15" customHeight="1" x14ac:dyDescent="0.25">
      <c r="A3587" s="5">
        <v>3581</v>
      </c>
      <c r="B3587" s="10" t="s">
        <v>6972</v>
      </c>
      <c r="C3587" s="10" t="s">
        <v>6973</v>
      </c>
      <c r="D3587" s="7">
        <v>38.31</v>
      </c>
      <c r="E3587" s="5">
        <v>14</v>
      </c>
      <c r="F3587" s="5">
        <v>9</v>
      </c>
      <c r="G3587" s="12">
        <f>SUM($D$7:D3587)</f>
        <v>10657264.241000045</v>
      </c>
      <c r="H3587" s="11">
        <f t="shared" si="55"/>
        <v>0.99911684807391177</v>
      </c>
    </row>
    <row r="3588" spans="1:8" ht="15" customHeight="1" x14ac:dyDescent="0.25">
      <c r="A3588" s="5">
        <v>3582</v>
      </c>
      <c r="B3588" s="10" t="s">
        <v>6974</v>
      </c>
      <c r="C3588" s="10" t="s">
        <v>6975</v>
      </c>
      <c r="D3588" s="7">
        <v>38.25</v>
      </c>
      <c r="E3588" s="5">
        <v>15</v>
      </c>
      <c r="F3588" s="5">
        <v>10</v>
      </c>
      <c r="G3588" s="12">
        <f>SUM($D$7:D3588)</f>
        <v>10657302.491000045</v>
      </c>
      <c r="H3588" s="11">
        <f t="shared" si="55"/>
        <v>0.99912043400540185</v>
      </c>
    </row>
    <row r="3589" spans="1:8" ht="15" customHeight="1" x14ac:dyDescent="0.25">
      <c r="A3589" s="5">
        <v>3583</v>
      </c>
      <c r="B3589" s="10" t="s">
        <v>6976</v>
      </c>
      <c r="C3589" s="10" t="s">
        <v>6977</v>
      </c>
      <c r="D3589" s="7">
        <v>38.25</v>
      </c>
      <c r="E3589" s="5">
        <v>3</v>
      </c>
      <c r="F3589" s="5">
        <v>3</v>
      </c>
      <c r="G3589" s="12">
        <f>SUM($D$7:D3589)</f>
        <v>10657340.741000045</v>
      </c>
      <c r="H3589" s="11">
        <f t="shared" si="55"/>
        <v>0.99912401993689182</v>
      </c>
    </row>
    <row r="3590" spans="1:8" ht="15" customHeight="1" x14ac:dyDescent="0.25">
      <c r="A3590" s="5">
        <v>3584</v>
      </c>
      <c r="B3590" s="10" t="s">
        <v>6978</v>
      </c>
      <c r="C3590" s="10" t="s">
        <v>6979</v>
      </c>
      <c r="D3590" s="7">
        <v>38.18</v>
      </c>
      <c r="E3590" s="5">
        <v>13</v>
      </c>
      <c r="F3590" s="5">
        <v>7</v>
      </c>
      <c r="G3590" s="12">
        <f>SUM($D$7:D3590)</f>
        <v>10657378.921000045</v>
      </c>
      <c r="H3590" s="11">
        <f t="shared" si="55"/>
        <v>0.99912759930589268</v>
      </c>
    </row>
    <row r="3591" spans="1:8" ht="15" customHeight="1" x14ac:dyDescent="0.25">
      <c r="A3591" s="5">
        <v>3585</v>
      </c>
      <c r="B3591" s="10" t="s">
        <v>6980</v>
      </c>
      <c r="C3591" s="10" t="s">
        <v>6981</v>
      </c>
      <c r="D3591" s="7">
        <v>38</v>
      </c>
      <c r="E3591" s="5">
        <v>200</v>
      </c>
      <c r="F3591" s="5">
        <v>9</v>
      </c>
      <c r="G3591" s="12">
        <f>SUM($D$7:D3591)</f>
        <v>10657416.921000045</v>
      </c>
      <c r="H3591" s="11">
        <f t="shared" ref="H3591:H3654" si="56">G3591/SUM($D$7:$D$4167)</f>
        <v>0.99913116179992201</v>
      </c>
    </row>
    <row r="3592" spans="1:8" ht="15" customHeight="1" x14ac:dyDescent="0.25">
      <c r="A3592" s="5">
        <v>3586</v>
      </c>
      <c r="B3592" s="10" t="s">
        <v>6982</v>
      </c>
      <c r="C3592" s="10" t="s">
        <v>6983</v>
      </c>
      <c r="D3592" s="7">
        <v>37.950000000000003</v>
      </c>
      <c r="E3592" s="5">
        <v>23</v>
      </c>
      <c r="F3592" s="5">
        <v>7</v>
      </c>
      <c r="G3592" s="12">
        <f>SUM($D$7:D3592)</f>
        <v>10657454.871000044</v>
      </c>
      <c r="H3592" s="11">
        <f t="shared" si="56"/>
        <v>0.99913471960645905</v>
      </c>
    </row>
    <row r="3593" spans="1:8" ht="15" customHeight="1" x14ac:dyDescent="0.25">
      <c r="A3593" s="5">
        <v>3587</v>
      </c>
      <c r="B3593" s="10" t="s">
        <v>6984</v>
      </c>
      <c r="C3593" s="10" t="s">
        <v>6985</v>
      </c>
      <c r="D3593" s="7">
        <v>37.799999999999997</v>
      </c>
      <c r="E3593" s="5">
        <v>18</v>
      </c>
      <c r="F3593" s="5">
        <v>1</v>
      </c>
      <c r="G3593" s="12">
        <f>SUM($D$7:D3593)</f>
        <v>10657492.671000045</v>
      </c>
      <c r="H3593" s="11">
        <f t="shared" si="56"/>
        <v>0.99913826335051981</v>
      </c>
    </row>
    <row r="3594" spans="1:8" ht="15" customHeight="1" x14ac:dyDescent="0.25">
      <c r="A3594" s="5">
        <v>3588</v>
      </c>
      <c r="B3594" s="10" t="s">
        <v>6986</v>
      </c>
      <c r="C3594" s="10" t="s">
        <v>6987</v>
      </c>
      <c r="D3594" s="7">
        <v>37.659999999999997</v>
      </c>
      <c r="E3594" s="5">
        <v>4</v>
      </c>
      <c r="F3594" s="5">
        <v>3</v>
      </c>
      <c r="G3594" s="12">
        <f>SUM($D$7:D3594)</f>
        <v>10657530.331000045</v>
      </c>
      <c r="H3594" s="11">
        <f t="shared" si="56"/>
        <v>0.99914179396960245</v>
      </c>
    </row>
    <row r="3595" spans="1:8" ht="15" customHeight="1" x14ac:dyDescent="0.25">
      <c r="A3595" s="5">
        <v>3589</v>
      </c>
      <c r="B3595" s="10" t="s">
        <v>6988</v>
      </c>
      <c r="C3595" s="10" t="s">
        <v>6989</v>
      </c>
      <c r="D3595" s="7">
        <v>37.619999999999997</v>
      </c>
      <c r="E3595" s="5">
        <v>6</v>
      </c>
      <c r="F3595" s="5">
        <v>6</v>
      </c>
      <c r="G3595" s="12">
        <f>SUM($D$7:D3595)</f>
        <v>10657567.951000044</v>
      </c>
      <c r="H3595" s="11">
        <f t="shared" si="56"/>
        <v>0.99914532083869134</v>
      </c>
    </row>
    <row r="3596" spans="1:8" ht="15" customHeight="1" x14ac:dyDescent="0.25">
      <c r="A3596" s="5">
        <v>3590</v>
      </c>
      <c r="B3596" s="10" t="s">
        <v>6990</v>
      </c>
      <c r="C3596" s="10" t="s">
        <v>6991</v>
      </c>
      <c r="D3596" s="7">
        <v>37.619999999999997</v>
      </c>
      <c r="E3596" s="5">
        <v>10</v>
      </c>
      <c r="F3596" s="5">
        <v>8</v>
      </c>
      <c r="G3596" s="12">
        <f>SUM($D$7:D3596)</f>
        <v>10657605.571000043</v>
      </c>
      <c r="H3596" s="11">
        <f t="shared" si="56"/>
        <v>0.99914884770778023</v>
      </c>
    </row>
    <row r="3597" spans="1:8" ht="15" customHeight="1" x14ac:dyDescent="0.25">
      <c r="A3597" s="5">
        <v>3591</v>
      </c>
      <c r="B3597" s="10" t="s">
        <v>6992</v>
      </c>
      <c r="C3597" s="10" t="s">
        <v>6027</v>
      </c>
      <c r="D3597" s="7">
        <v>37.61</v>
      </c>
      <c r="E3597" s="5">
        <v>35</v>
      </c>
      <c r="F3597" s="5">
        <v>16</v>
      </c>
      <c r="G3597" s="12">
        <f>SUM($D$7:D3597)</f>
        <v>10657643.181000043</v>
      </c>
      <c r="H3597" s="11">
        <f t="shared" si="56"/>
        <v>0.99915237363937071</v>
      </c>
    </row>
    <row r="3598" spans="1:8" ht="15" customHeight="1" x14ac:dyDescent="0.25">
      <c r="A3598" s="5">
        <v>3592</v>
      </c>
      <c r="B3598" s="10" t="s">
        <v>4495</v>
      </c>
      <c r="C3598" s="10" t="s">
        <v>6993</v>
      </c>
      <c r="D3598" s="7">
        <v>37.5</v>
      </c>
      <c r="E3598" s="5">
        <v>6</v>
      </c>
      <c r="F3598" s="5">
        <v>3</v>
      </c>
      <c r="G3598" s="12">
        <f>SUM($D$7:D3598)</f>
        <v>10657680.681000043</v>
      </c>
      <c r="H3598" s="11">
        <f t="shared" si="56"/>
        <v>0.99915588925847854</v>
      </c>
    </row>
    <row r="3599" spans="1:8" ht="15" customHeight="1" x14ac:dyDescent="0.25">
      <c r="A3599" s="5">
        <v>3593</v>
      </c>
      <c r="B3599" s="10" t="s">
        <v>6994</v>
      </c>
      <c r="C3599" s="10" t="s">
        <v>6995</v>
      </c>
      <c r="D3599" s="7">
        <v>37.4</v>
      </c>
      <c r="E3599" s="5">
        <v>44</v>
      </c>
      <c r="F3599" s="5">
        <v>7</v>
      </c>
      <c r="G3599" s="12">
        <f>SUM($D$7:D3599)</f>
        <v>10657718.081000043</v>
      </c>
      <c r="H3599" s="11">
        <f t="shared" si="56"/>
        <v>0.99915939550260213</v>
      </c>
    </row>
    <row r="3600" spans="1:8" ht="15" customHeight="1" x14ac:dyDescent="0.25">
      <c r="A3600" s="5">
        <v>3594</v>
      </c>
      <c r="B3600" s="10" t="s">
        <v>6996</v>
      </c>
      <c r="C3600" s="10" t="s">
        <v>4552</v>
      </c>
      <c r="D3600" s="7">
        <v>37.33</v>
      </c>
      <c r="E3600" s="5">
        <v>9</v>
      </c>
      <c r="F3600" s="5">
        <v>9</v>
      </c>
      <c r="G3600" s="12">
        <f>SUM($D$7:D3600)</f>
        <v>10657755.411000043</v>
      </c>
      <c r="H3600" s="11">
        <f t="shared" si="56"/>
        <v>0.99916289518423673</v>
      </c>
    </row>
    <row r="3601" spans="1:8" ht="15" customHeight="1" x14ac:dyDescent="0.25">
      <c r="A3601" s="5">
        <v>3595</v>
      </c>
      <c r="B3601" s="10" t="s">
        <v>6997</v>
      </c>
      <c r="C3601" s="10" t="s">
        <v>3687</v>
      </c>
      <c r="D3601" s="7">
        <v>37.299999999999997</v>
      </c>
      <c r="E3601" s="5">
        <v>5</v>
      </c>
      <c r="F3601" s="5">
        <v>4</v>
      </c>
      <c r="G3601" s="12">
        <f>SUM($D$7:D3601)</f>
        <v>10657792.711000044</v>
      </c>
      <c r="H3601" s="11">
        <f t="shared" si="56"/>
        <v>0.99916639205337598</v>
      </c>
    </row>
    <row r="3602" spans="1:8" ht="15" customHeight="1" x14ac:dyDescent="0.25">
      <c r="A3602" s="5">
        <v>3596</v>
      </c>
      <c r="B3602" s="10" t="s">
        <v>6998</v>
      </c>
      <c r="C3602" s="10" t="s">
        <v>6999</v>
      </c>
      <c r="D3602" s="7">
        <v>37.24</v>
      </c>
      <c r="E3602" s="5">
        <v>4</v>
      </c>
      <c r="F3602" s="5">
        <v>3</v>
      </c>
      <c r="G3602" s="12">
        <f>SUM($D$7:D3602)</f>
        <v>10657829.951000044</v>
      </c>
      <c r="H3602" s="11">
        <f t="shared" si="56"/>
        <v>0.99916988329752465</v>
      </c>
    </row>
    <row r="3603" spans="1:8" ht="15" customHeight="1" x14ac:dyDescent="0.25">
      <c r="A3603" s="5">
        <v>3597</v>
      </c>
      <c r="B3603" s="10" t="s">
        <v>959</v>
      </c>
      <c r="C3603" s="10" t="s">
        <v>7000</v>
      </c>
      <c r="D3603" s="7">
        <v>37.200000000000003</v>
      </c>
      <c r="E3603" s="5">
        <v>8</v>
      </c>
      <c r="F3603" s="5">
        <v>1</v>
      </c>
      <c r="G3603" s="12">
        <f>SUM($D$7:D3603)</f>
        <v>10657867.151000043</v>
      </c>
      <c r="H3603" s="11">
        <f t="shared" si="56"/>
        <v>0.99917337079167956</v>
      </c>
    </row>
    <row r="3604" spans="1:8" ht="15" customHeight="1" x14ac:dyDescent="0.25">
      <c r="A3604" s="5">
        <v>3598</v>
      </c>
      <c r="B3604" s="10" t="s">
        <v>6584</v>
      </c>
      <c r="C3604" s="10" t="s">
        <v>7001</v>
      </c>
      <c r="D3604" s="7">
        <v>36.78</v>
      </c>
      <c r="E3604" s="5">
        <v>44</v>
      </c>
      <c r="F3604" s="5">
        <v>11</v>
      </c>
      <c r="G3604" s="12">
        <f>SUM($D$7:D3604)</f>
        <v>10657903.931000043</v>
      </c>
      <c r="H3604" s="11">
        <f t="shared" si="56"/>
        <v>0.99917681891090049</v>
      </c>
    </row>
    <row r="3605" spans="1:8" ht="15" customHeight="1" x14ac:dyDescent="0.25">
      <c r="A3605" s="5">
        <v>3599</v>
      </c>
      <c r="B3605" s="10" t="s">
        <v>7002</v>
      </c>
      <c r="C3605" s="10" t="s">
        <v>7003</v>
      </c>
      <c r="D3605" s="7">
        <v>36.76</v>
      </c>
      <c r="E3605" s="5">
        <v>48</v>
      </c>
      <c r="F3605" s="5">
        <v>30</v>
      </c>
      <c r="G3605" s="12">
        <f>SUM($D$7:D3605)</f>
        <v>10657940.691000042</v>
      </c>
      <c r="H3605" s="11">
        <f t="shared" si="56"/>
        <v>0.99918026515512459</v>
      </c>
    </row>
    <row r="3606" spans="1:8" ht="15" customHeight="1" x14ac:dyDescent="0.25">
      <c r="A3606" s="5">
        <v>3600</v>
      </c>
      <c r="B3606" s="10" t="s">
        <v>7004</v>
      </c>
      <c r="C3606" s="10" t="s">
        <v>7005</v>
      </c>
      <c r="D3606" s="7">
        <v>36.76</v>
      </c>
      <c r="E3606" s="5">
        <v>34</v>
      </c>
      <c r="F3606" s="5">
        <v>10</v>
      </c>
      <c r="G3606" s="12">
        <f>SUM($D$7:D3606)</f>
        <v>10657977.451000042</v>
      </c>
      <c r="H3606" s="11">
        <f t="shared" si="56"/>
        <v>0.99918371139934858</v>
      </c>
    </row>
    <row r="3607" spans="1:8" ht="15" customHeight="1" x14ac:dyDescent="0.25">
      <c r="A3607" s="5">
        <v>3601</v>
      </c>
      <c r="B3607" s="10" t="s">
        <v>7006</v>
      </c>
      <c r="C3607" s="10" t="s">
        <v>7007</v>
      </c>
      <c r="D3607" s="7">
        <v>36.76</v>
      </c>
      <c r="E3607" s="5">
        <v>20</v>
      </c>
      <c r="F3607" s="5">
        <v>12</v>
      </c>
      <c r="G3607" s="12">
        <f>SUM($D$7:D3607)</f>
        <v>10658014.211000042</v>
      </c>
      <c r="H3607" s="11">
        <f t="shared" si="56"/>
        <v>0.99918715764357269</v>
      </c>
    </row>
    <row r="3608" spans="1:8" ht="15" customHeight="1" x14ac:dyDescent="0.25">
      <c r="A3608" s="5">
        <v>3602</v>
      </c>
      <c r="B3608" s="10" t="s">
        <v>7008</v>
      </c>
      <c r="C3608" s="10" t="s">
        <v>7009</v>
      </c>
      <c r="D3608" s="7">
        <v>36.520000000000003</v>
      </c>
      <c r="E3608" s="5">
        <v>52</v>
      </c>
      <c r="F3608" s="5">
        <v>8</v>
      </c>
      <c r="G3608" s="12">
        <f>SUM($D$7:D3608)</f>
        <v>10658050.731000042</v>
      </c>
      <c r="H3608" s="11">
        <f t="shared" si="56"/>
        <v>0.99919058138783445</v>
      </c>
    </row>
    <row r="3609" spans="1:8" ht="15" customHeight="1" x14ac:dyDescent="0.25">
      <c r="A3609" s="5">
        <v>3603</v>
      </c>
      <c r="B3609" s="10" t="s">
        <v>7010</v>
      </c>
      <c r="C3609" s="10" t="s">
        <v>7011</v>
      </c>
      <c r="D3609" s="7">
        <v>36.33</v>
      </c>
      <c r="E3609" s="5">
        <v>37</v>
      </c>
      <c r="F3609" s="5">
        <v>10</v>
      </c>
      <c r="G3609" s="12">
        <f>SUM($D$7:D3609)</f>
        <v>10658087.061000042</v>
      </c>
      <c r="H3609" s="11">
        <f t="shared" si="56"/>
        <v>0.99919398731962616</v>
      </c>
    </row>
    <row r="3610" spans="1:8" ht="15" customHeight="1" x14ac:dyDescent="0.25">
      <c r="A3610" s="5">
        <v>3604</v>
      </c>
      <c r="B3610" s="10" t="s">
        <v>7012</v>
      </c>
      <c r="C3610" s="10" t="s">
        <v>7013</v>
      </c>
      <c r="D3610" s="7">
        <v>36.299999999999997</v>
      </c>
      <c r="E3610" s="5">
        <v>22</v>
      </c>
      <c r="F3610" s="5">
        <v>4</v>
      </c>
      <c r="G3610" s="12">
        <f>SUM($D$7:D3610)</f>
        <v>10658123.361000042</v>
      </c>
      <c r="H3610" s="11">
        <f t="shared" si="56"/>
        <v>0.99919739043892253</v>
      </c>
    </row>
    <row r="3611" spans="1:8" ht="15" customHeight="1" x14ac:dyDescent="0.25">
      <c r="A3611" s="5">
        <v>3605</v>
      </c>
      <c r="B3611" s="10" t="s">
        <v>7014</v>
      </c>
      <c r="C3611" s="10" t="s">
        <v>7015</v>
      </c>
      <c r="D3611" s="7">
        <v>36.25</v>
      </c>
      <c r="E3611" s="5">
        <v>29</v>
      </c>
      <c r="F3611" s="5">
        <v>12</v>
      </c>
      <c r="G3611" s="12">
        <f>SUM($D$7:D3611)</f>
        <v>10658159.611000042</v>
      </c>
      <c r="H3611" s="11">
        <f t="shared" si="56"/>
        <v>0.99920078887072683</v>
      </c>
    </row>
    <row r="3612" spans="1:8" ht="15" customHeight="1" x14ac:dyDescent="0.25">
      <c r="A3612" s="5">
        <v>3606</v>
      </c>
      <c r="B3612" s="10" t="s">
        <v>7016</v>
      </c>
      <c r="C3612" s="10" t="s">
        <v>7017</v>
      </c>
      <c r="D3612" s="7">
        <v>36.21</v>
      </c>
      <c r="E3612" s="5">
        <v>51</v>
      </c>
      <c r="F3612" s="5">
        <v>10</v>
      </c>
      <c r="G3612" s="12">
        <f>SUM($D$7:D3612)</f>
        <v>10658195.821000043</v>
      </c>
      <c r="H3612" s="11">
        <f t="shared" si="56"/>
        <v>0.99920418355253737</v>
      </c>
    </row>
    <row r="3613" spans="1:8" ht="15" customHeight="1" x14ac:dyDescent="0.25">
      <c r="A3613" s="5">
        <v>3607</v>
      </c>
      <c r="B3613" s="10" t="s">
        <v>7018</v>
      </c>
      <c r="C3613" s="10" t="s">
        <v>7019</v>
      </c>
      <c r="D3613" s="7">
        <v>35.75</v>
      </c>
      <c r="E3613" s="5">
        <v>55</v>
      </c>
      <c r="F3613" s="5">
        <v>8</v>
      </c>
      <c r="G3613" s="12">
        <f>SUM($D$7:D3613)</f>
        <v>10658231.571000043</v>
      </c>
      <c r="H3613" s="11">
        <f t="shared" si="56"/>
        <v>0.99920753510942018</v>
      </c>
    </row>
    <row r="3614" spans="1:8" ht="15" customHeight="1" x14ac:dyDescent="0.25">
      <c r="A3614" s="5">
        <v>3608</v>
      </c>
      <c r="B3614" s="10" t="s">
        <v>7020</v>
      </c>
      <c r="C3614" s="10" t="s">
        <v>7021</v>
      </c>
      <c r="D3614" s="7">
        <v>35.700000000000003</v>
      </c>
      <c r="E3614" s="5">
        <v>14</v>
      </c>
      <c r="F3614" s="5">
        <v>13</v>
      </c>
      <c r="G3614" s="12">
        <f>SUM($D$7:D3614)</f>
        <v>10658267.271000043</v>
      </c>
      <c r="H3614" s="11">
        <f t="shared" si="56"/>
        <v>0.99921088197881081</v>
      </c>
    </row>
    <row r="3615" spans="1:8" ht="15" customHeight="1" x14ac:dyDescent="0.25">
      <c r="A3615" s="5">
        <v>3609</v>
      </c>
      <c r="B3615" s="10" t="s">
        <v>7022</v>
      </c>
      <c r="C3615" s="10" t="s">
        <v>7023</v>
      </c>
      <c r="D3615" s="7">
        <v>35.44</v>
      </c>
      <c r="E3615" s="5">
        <v>6</v>
      </c>
      <c r="F3615" s="5">
        <v>6</v>
      </c>
      <c r="G3615" s="12">
        <f>SUM($D$7:D3615)</f>
        <v>10658302.711000042</v>
      </c>
      <c r="H3615" s="11">
        <f t="shared" si="56"/>
        <v>0.99921420447324216</v>
      </c>
    </row>
    <row r="3616" spans="1:8" ht="15" customHeight="1" x14ac:dyDescent="0.25">
      <c r="A3616" s="5">
        <v>3610</v>
      </c>
      <c r="B3616" s="10" t="s">
        <v>7024</v>
      </c>
      <c r="C3616" s="10" t="s">
        <v>7025</v>
      </c>
      <c r="D3616" s="7">
        <v>35.33</v>
      </c>
      <c r="E3616" s="5">
        <v>190</v>
      </c>
      <c r="F3616" s="5">
        <v>11</v>
      </c>
      <c r="G3616" s="12">
        <f>SUM($D$7:D3616)</f>
        <v>10658338.041000042</v>
      </c>
      <c r="H3616" s="11">
        <f t="shared" si="56"/>
        <v>0.99921751665519098</v>
      </c>
    </row>
    <row r="3617" spans="1:8" ht="15" customHeight="1" x14ac:dyDescent="0.25">
      <c r="A3617" s="5">
        <v>3611</v>
      </c>
      <c r="B3617" s="10" t="s">
        <v>7026</v>
      </c>
      <c r="C3617" s="10" t="s">
        <v>7027</v>
      </c>
      <c r="D3617" s="7">
        <v>35.31</v>
      </c>
      <c r="E3617" s="5">
        <v>6</v>
      </c>
      <c r="F3617" s="5">
        <v>5</v>
      </c>
      <c r="G3617" s="12">
        <f>SUM($D$7:D3617)</f>
        <v>10658373.351000043</v>
      </c>
      <c r="H3617" s="11">
        <f t="shared" si="56"/>
        <v>0.99922082696214298</v>
      </c>
    </row>
    <row r="3618" spans="1:8" ht="15" customHeight="1" x14ac:dyDescent="0.25">
      <c r="A3618" s="5">
        <v>3612</v>
      </c>
      <c r="B3618" s="10" t="s">
        <v>7028</v>
      </c>
      <c r="C3618" s="10" t="s">
        <v>7029</v>
      </c>
      <c r="D3618" s="7">
        <v>35.31</v>
      </c>
      <c r="E3618" s="5">
        <v>6</v>
      </c>
      <c r="F3618" s="5">
        <v>5</v>
      </c>
      <c r="G3618" s="12">
        <f>SUM($D$7:D3618)</f>
        <v>10658408.661000043</v>
      </c>
      <c r="H3618" s="11">
        <f t="shared" si="56"/>
        <v>0.99922413726909498</v>
      </c>
    </row>
    <row r="3619" spans="1:8" ht="15" customHeight="1" x14ac:dyDescent="0.25">
      <c r="A3619" s="5">
        <v>3613</v>
      </c>
      <c r="B3619" s="10" t="s">
        <v>7030</v>
      </c>
      <c r="C3619" s="10" t="s">
        <v>7031</v>
      </c>
      <c r="D3619" s="7">
        <v>35.270000000000003</v>
      </c>
      <c r="E3619" s="5">
        <v>12</v>
      </c>
      <c r="F3619" s="5">
        <v>7</v>
      </c>
      <c r="G3619" s="12">
        <f>SUM($D$7:D3619)</f>
        <v>10658443.931000043</v>
      </c>
      <c r="H3619" s="11">
        <f t="shared" si="56"/>
        <v>0.99922744382605311</v>
      </c>
    </row>
    <row r="3620" spans="1:8" ht="15" customHeight="1" x14ac:dyDescent="0.25">
      <c r="A3620" s="5">
        <v>3614</v>
      </c>
      <c r="B3620" s="10" t="s">
        <v>7032</v>
      </c>
      <c r="C3620" s="10" t="s">
        <v>7033</v>
      </c>
      <c r="D3620" s="7">
        <v>35.159999999999997</v>
      </c>
      <c r="E3620" s="5">
        <v>6</v>
      </c>
      <c r="F3620" s="5">
        <v>6</v>
      </c>
      <c r="G3620" s="12">
        <f>SUM($D$7:D3620)</f>
        <v>10658479.091000043</v>
      </c>
      <c r="H3620" s="11">
        <f t="shared" si="56"/>
        <v>0.99923074007052859</v>
      </c>
    </row>
    <row r="3621" spans="1:8" ht="15" customHeight="1" x14ac:dyDescent="0.25">
      <c r="A3621" s="5">
        <v>3615</v>
      </c>
      <c r="B3621" s="10" t="s">
        <v>7034</v>
      </c>
      <c r="C3621" s="10" t="s">
        <v>7035</v>
      </c>
      <c r="D3621" s="7">
        <v>35.11</v>
      </c>
      <c r="E3621" s="5">
        <v>12</v>
      </c>
      <c r="F3621" s="5">
        <v>9</v>
      </c>
      <c r="G3621" s="12">
        <f>SUM($D$7:D3621)</f>
        <v>10658514.201000042</v>
      </c>
      <c r="H3621" s="11">
        <f t="shared" si="56"/>
        <v>0.9992340316275119</v>
      </c>
    </row>
    <row r="3622" spans="1:8" ht="15" customHeight="1" x14ac:dyDescent="0.25">
      <c r="A3622" s="5">
        <v>3616</v>
      </c>
      <c r="B3622" s="10" t="s">
        <v>7036</v>
      </c>
      <c r="C3622" s="10" t="s">
        <v>7037</v>
      </c>
      <c r="D3622" s="7">
        <v>34.869999999999997</v>
      </c>
      <c r="E3622" s="5">
        <v>5</v>
      </c>
      <c r="F3622" s="5">
        <v>2</v>
      </c>
      <c r="G3622" s="12">
        <f>SUM($D$7:D3622)</f>
        <v>10658549.071000041</v>
      </c>
      <c r="H3622" s="11">
        <f t="shared" si="56"/>
        <v>0.99923730068453287</v>
      </c>
    </row>
    <row r="3623" spans="1:8" ht="15" customHeight="1" x14ac:dyDescent="0.25">
      <c r="A3623" s="5">
        <v>3617</v>
      </c>
      <c r="B3623" s="10" t="s">
        <v>1829</v>
      </c>
      <c r="C3623" s="10" t="s">
        <v>7038</v>
      </c>
      <c r="D3623" s="7">
        <v>34.799999999999997</v>
      </c>
      <c r="E3623" s="5">
        <v>24</v>
      </c>
      <c r="F3623" s="5">
        <v>2</v>
      </c>
      <c r="G3623" s="12">
        <f>SUM($D$7:D3623)</f>
        <v>10658583.871000042</v>
      </c>
      <c r="H3623" s="11">
        <f t="shared" si="56"/>
        <v>0.99924056317906507</v>
      </c>
    </row>
    <row r="3624" spans="1:8" ht="15" customHeight="1" x14ac:dyDescent="0.25">
      <c r="A3624" s="5">
        <v>3618</v>
      </c>
      <c r="B3624" s="10" t="s">
        <v>7039</v>
      </c>
      <c r="C3624" s="10" t="s">
        <v>7040</v>
      </c>
      <c r="D3624" s="7">
        <v>34.770000000000003</v>
      </c>
      <c r="E3624" s="5">
        <v>5</v>
      </c>
      <c r="F3624" s="5">
        <v>3</v>
      </c>
      <c r="G3624" s="12">
        <f>SUM($D$7:D3624)</f>
        <v>10658618.641000042</v>
      </c>
      <c r="H3624" s="11">
        <f t="shared" si="56"/>
        <v>0.9992438228611018</v>
      </c>
    </row>
    <row r="3625" spans="1:8" ht="15" customHeight="1" x14ac:dyDescent="0.25">
      <c r="A3625" s="5">
        <v>3619</v>
      </c>
      <c r="B3625" s="10" t="s">
        <v>7041</v>
      </c>
      <c r="C3625" s="10" t="s">
        <v>7042</v>
      </c>
      <c r="D3625" s="7">
        <v>34.69</v>
      </c>
      <c r="E3625" s="5">
        <v>21</v>
      </c>
      <c r="F3625" s="5">
        <v>14</v>
      </c>
      <c r="G3625" s="12">
        <f>SUM($D$7:D3625)</f>
        <v>10658653.331000041</v>
      </c>
      <c r="H3625" s="11">
        <f t="shared" si="56"/>
        <v>0.99924707504315102</v>
      </c>
    </row>
    <row r="3626" spans="1:8" ht="15" customHeight="1" x14ac:dyDescent="0.25">
      <c r="A3626" s="5">
        <v>3620</v>
      </c>
      <c r="B3626" s="10" t="s">
        <v>7043</v>
      </c>
      <c r="C3626" s="10" t="s">
        <v>7044</v>
      </c>
      <c r="D3626" s="7">
        <v>34.32</v>
      </c>
      <c r="E3626" s="5">
        <v>88</v>
      </c>
      <c r="F3626" s="5">
        <v>2</v>
      </c>
      <c r="G3626" s="12">
        <f>SUM($D$7:D3626)</f>
        <v>10658687.651000042</v>
      </c>
      <c r="H3626" s="11">
        <f t="shared" si="56"/>
        <v>0.99925029253775854</v>
      </c>
    </row>
    <row r="3627" spans="1:8" ht="15" customHeight="1" x14ac:dyDescent="0.25">
      <c r="A3627" s="5">
        <v>3621</v>
      </c>
      <c r="B3627" s="10" t="s">
        <v>7045</v>
      </c>
      <c r="C3627" s="10" t="s">
        <v>6348</v>
      </c>
      <c r="D3627" s="7">
        <v>34.119999999999997</v>
      </c>
      <c r="E3627" s="5">
        <v>144</v>
      </c>
      <c r="F3627" s="5">
        <v>8</v>
      </c>
      <c r="G3627" s="12">
        <f>SUM($D$7:D3627)</f>
        <v>10658721.771000041</v>
      </c>
      <c r="H3627" s="11">
        <f t="shared" si="56"/>
        <v>0.99925349128239738</v>
      </c>
    </row>
    <row r="3628" spans="1:8" ht="15" customHeight="1" x14ac:dyDescent="0.25">
      <c r="A3628" s="5">
        <v>3622</v>
      </c>
      <c r="B3628" s="10" t="s">
        <v>7046</v>
      </c>
      <c r="C3628" s="10" t="s">
        <v>7047</v>
      </c>
      <c r="D3628" s="7">
        <v>33.93</v>
      </c>
      <c r="E3628" s="5">
        <v>117</v>
      </c>
      <c r="F3628" s="5">
        <v>8</v>
      </c>
      <c r="G3628" s="12">
        <f>SUM($D$7:D3628)</f>
        <v>10658755.70100004</v>
      </c>
      <c r="H3628" s="11">
        <f t="shared" si="56"/>
        <v>0.99925667221456616</v>
      </c>
    </row>
    <row r="3629" spans="1:8" ht="15" customHeight="1" x14ac:dyDescent="0.25">
      <c r="A3629" s="5">
        <v>3623</v>
      </c>
      <c r="B3629" s="10" t="s">
        <v>7048</v>
      </c>
      <c r="C3629" s="10" t="s">
        <v>7049</v>
      </c>
      <c r="D3629" s="7">
        <v>33.9</v>
      </c>
      <c r="E3629" s="5">
        <v>2</v>
      </c>
      <c r="F3629" s="5">
        <v>2</v>
      </c>
      <c r="G3629" s="12">
        <f>SUM($D$7:D3629)</f>
        <v>10658789.601000041</v>
      </c>
      <c r="H3629" s="11">
        <f t="shared" si="56"/>
        <v>0.99925985033423959</v>
      </c>
    </row>
    <row r="3630" spans="1:8" ht="15" customHeight="1" x14ac:dyDescent="0.25">
      <c r="A3630" s="5">
        <v>3624</v>
      </c>
      <c r="B3630" s="10" t="s">
        <v>7050</v>
      </c>
      <c r="C3630" s="10" t="s">
        <v>7051</v>
      </c>
      <c r="D3630" s="7">
        <v>33.82</v>
      </c>
      <c r="E3630" s="5">
        <v>4</v>
      </c>
      <c r="F3630" s="5">
        <v>3</v>
      </c>
      <c r="G3630" s="12">
        <f>SUM($D$7:D3630)</f>
        <v>10658823.421000041</v>
      </c>
      <c r="H3630" s="11">
        <f t="shared" si="56"/>
        <v>0.99926302095392572</v>
      </c>
    </row>
    <row r="3631" spans="1:8" ht="15" customHeight="1" x14ac:dyDescent="0.25">
      <c r="A3631" s="5">
        <v>3625</v>
      </c>
      <c r="B3631" s="10" t="s">
        <v>7052</v>
      </c>
      <c r="C3631" s="10" t="s">
        <v>7053</v>
      </c>
      <c r="D3631" s="7">
        <v>33.81</v>
      </c>
      <c r="E3631" s="5">
        <v>4</v>
      </c>
      <c r="F3631" s="5">
        <v>3</v>
      </c>
      <c r="G3631" s="12">
        <f>SUM($D$7:D3631)</f>
        <v>10658857.231000042</v>
      </c>
      <c r="H3631" s="11">
        <f t="shared" si="56"/>
        <v>0.99926619063611333</v>
      </c>
    </row>
    <row r="3632" spans="1:8" ht="15" customHeight="1" x14ac:dyDescent="0.25">
      <c r="A3632" s="5">
        <v>3626</v>
      </c>
      <c r="B3632" s="10" t="s">
        <v>7054</v>
      </c>
      <c r="C3632" s="10" t="s">
        <v>7055</v>
      </c>
      <c r="D3632" s="7">
        <v>33.75</v>
      </c>
      <c r="E3632" s="5">
        <v>404</v>
      </c>
      <c r="F3632" s="5">
        <v>17</v>
      </c>
      <c r="G3632" s="12">
        <f>SUM($D$7:D3632)</f>
        <v>10658890.981000042</v>
      </c>
      <c r="H3632" s="11">
        <f t="shared" si="56"/>
        <v>0.99926935469331035</v>
      </c>
    </row>
    <row r="3633" spans="1:8" ht="15" customHeight="1" x14ac:dyDescent="0.25">
      <c r="A3633" s="5">
        <v>3627</v>
      </c>
      <c r="B3633" s="10" t="s">
        <v>7056</v>
      </c>
      <c r="C3633" s="10" t="s">
        <v>7057</v>
      </c>
      <c r="D3633" s="7">
        <v>33.69</v>
      </c>
      <c r="E3633" s="5">
        <v>9</v>
      </c>
      <c r="F3633" s="5">
        <v>4</v>
      </c>
      <c r="G3633" s="12">
        <f>SUM($D$7:D3633)</f>
        <v>10658924.671000041</v>
      </c>
      <c r="H3633" s="11">
        <f t="shared" si="56"/>
        <v>0.99927251312551679</v>
      </c>
    </row>
    <row r="3634" spans="1:8" ht="15" customHeight="1" x14ac:dyDescent="0.25">
      <c r="A3634" s="5">
        <v>3628</v>
      </c>
      <c r="B3634" s="10" t="s">
        <v>7058</v>
      </c>
      <c r="C3634" s="10" t="s">
        <v>7059</v>
      </c>
      <c r="D3634" s="7">
        <v>33.6</v>
      </c>
      <c r="E3634" s="5">
        <v>16</v>
      </c>
      <c r="F3634" s="5">
        <v>2</v>
      </c>
      <c r="G3634" s="12">
        <f>SUM($D$7:D3634)</f>
        <v>10658958.271000041</v>
      </c>
      <c r="H3634" s="11">
        <f t="shared" si="56"/>
        <v>0.99927566312023741</v>
      </c>
    </row>
    <row r="3635" spans="1:8" ht="15" customHeight="1" x14ac:dyDescent="0.25">
      <c r="A3635" s="5">
        <v>3629</v>
      </c>
      <c r="B3635" s="10" t="s">
        <v>7060</v>
      </c>
      <c r="C3635" s="10" t="s">
        <v>7061</v>
      </c>
      <c r="D3635" s="7">
        <v>33.44</v>
      </c>
      <c r="E3635" s="5">
        <v>14</v>
      </c>
      <c r="F3635" s="5">
        <v>7</v>
      </c>
      <c r="G3635" s="12">
        <f>SUM($D$7:D3635)</f>
        <v>10658991.71100004</v>
      </c>
      <c r="H3635" s="11">
        <f t="shared" si="56"/>
        <v>0.9992787981149831</v>
      </c>
    </row>
    <row r="3636" spans="1:8" ht="15" customHeight="1" x14ac:dyDescent="0.25">
      <c r="A3636" s="5">
        <v>3630</v>
      </c>
      <c r="B3636" s="10" t="s">
        <v>1654</v>
      </c>
      <c r="C3636" s="10" t="s">
        <v>7062</v>
      </c>
      <c r="D3636" s="7">
        <v>33.200000000000003</v>
      </c>
      <c r="E3636" s="5">
        <v>8</v>
      </c>
      <c r="F3636" s="5">
        <v>2</v>
      </c>
      <c r="G3636" s="12">
        <f>SUM($D$7:D3636)</f>
        <v>10659024.911000039</v>
      </c>
      <c r="H3636" s="11">
        <f t="shared" si="56"/>
        <v>0.99928191060976645</v>
      </c>
    </row>
    <row r="3637" spans="1:8" ht="15" customHeight="1" x14ac:dyDescent="0.25">
      <c r="A3637" s="5">
        <v>3631</v>
      </c>
      <c r="B3637" s="10" t="s">
        <v>7063</v>
      </c>
      <c r="C3637" s="10" t="s">
        <v>7064</v>
      </c>
      <c r="D3637" s="7">
        <v>33.18</v>
      </c>
      <c r="E3637" s="5">
        <v>78</v>
      </c>
      <c r="F3637" s="5">
        <v>3</v>
      </c>
      <c r="G3637" s="12">
        <f>SUM($D$7:D3637)</f>
        <v>10659058.091000039</v>
      </c>
      <c r="H3637" s="11">
        <f t="shared" si="56"/>
        <v>0.99928502122955309</v>
      </c>
    </row>
    <row r="3638" spans="1:8" ht="15" customHeight="1" x14ac:dyDescent="0.25">
      <c r="A3638" s="5">
        <v>3632</v>
      </c>
      <c r="B3638" s="10" t="s">
        <v>7065</v>
      </c>
      <c r="C3638" s="10" t="s">
        <v>2366</v>
      </c>
      <c r="D3638" s="7">
        <v>33.159999999999997</v>
      </c>
      <c r="E3638" s="5">
        <v>4</v>
      </c>
      <c r="F3638" s="5">
        <v>4</v>
      </c>
      <c r="G3638" s="12">
        <f>SUM($D$7:D3638)</f>
        <v>10659091.251000039</v>
      </c>
      <c r="H3638" s="11">
        <f t="shared" si="56"/>
        <v>0.9992881299743428</v>
      </c>
    </row>
    <row r="3639" spans="1:8" ht="15" customHeight="1" x14ac:dyDescent="0.25">
      <c r="A3639" s="5">
        <v>3633</v>
      </c>
      <c r="B3639" s="10" t="s">
        <v>7066</v>
      </c>
      <c r="C3639" s="10" t="s">
        <v>7067</v>
      </c>
      <c r="D3639" s="7">
        <v>32.51</v>
      </c>
      <c r="E3639" s="5">
        <v>25</v>
      </c>
      <c r="F3639" s="5">
        <v>2</v>
      </c>
      <c r="G3639" s="12">
        <f>SUM($D$7:D3639)</f>
        <v>10659123.761000039</v>
      </c>
      <c r="H3639" s="11">
        <f t="shared" si="56"/>
        <v>0.99929117778173471</v>
      </c>
    </row>
    <row r="3640" spans="1:8" ht="15" customHeight="1" x14ac:dyDescent="0.25">
      <c r="A3640" s="5">
        <v>3634</v>
      </c>
      <c r="B3640" s="10" t="s">
        <v>7068</v>
      </c>
      <c r="C3640" s="10" t="s">
        <v>7069</v>
      </c>
      <c r="D3640" s="7">
        <v>32.42</v>
      </c>
      <c r="E3640" s="5">
        <v>65</v>
      </c>
      <c r="F3640" s="5">
        <v>13</v>
      </c>
      <c r="G3640" s="12">
        <f>SUM($D$7:D3640)</f>
        <v>10659156.181000039</v>
      </c>
      <c r="H3640" s="11">
        <f t="shared" si="56"/>
        <v>0.99929421715164068</v>
      </c>
    </row>
    <row r="3641" spans="1:8" ht="15" customHeight="1" x14ac:dyDescent="0.25">
      <c r="A3641" s="5">
        <v>3635</v>
      </c>
      <c r="B3641" s="10" t="s">
        <v>7070</v>
      </c>
      <c r="C3641" s="10" t="s">
        <v>7071</v>
      </c>
      <c r="D3641" s="7">
        <v>32.35</v>
      </c>
      <c r="E3641" s="5">
        <v>61</v>
      </c>
      <c r="F3641" s="5">
        <v>5</v>
      </c>
      <c r="G3641" s="12">
        <f>SUM($D$7:D3641)</f>
        <v>10659188.531000039</v>
      </c>
      <c r="H3641" s="11">
        <f t="shared" si="56"/>
        <v>0.99929724995905767</v>
      </c>
    </row>
    <row r="3642" spans="1:8" ht="15" customHeight="1" x14ac:dyDescent="0.25">
      <c r="A3642" s="5">
        <v>3636</v>
      </c>
      <c r="B3642" s="10" t="s">
        <v>7072</v>
      </c>
      <c r="C3642" s="10" t="s">
        <v>7073</v>
      </c>
      <c r="D3642" s="7">
        <v>31.9</v>
      </c>
      <c r="E3642" s="5">
        <v>2</v>
      </c>
      <c r="F3642" s="5">
        <v>2</v>
      </c>
      <c r="G3642" s="12">
        <f>SUM($D$7:D3642)</f>
        <v>10659220.431000039</v>
      </c>
      <c r="H3642" s="11">
        <f t="shared" si="56"/>
        <v>0.99930024057904543</v>
      </c>
    </row>
    <row r="3643" spans="1:8" ht="15" customHeight="1" x14ac:dyDescent="0.25">
      <c r="A3643" s="5">
        <v>3637</v>
      </c>
      <c r="B3643" s="10" t="s">
        <v>7074</v>
      </c>
      <c r="C3643" s="10" t="s">
        <v>7075</v>
      </c>
      <c r="D3643" s="7">
        <v>31.8</v>
      </c>
      <c r="E3643" s="5">
        <v>4</v>
      </c>
      <c r="F3643" s="5">
        <v>2</v>
      </c>
      <c r="G3643" s="12">
        <f>SUM($D$7:D3643)</f>
        <v>10659252.23100004</v>
      </c>
      <c r="H3643" s="11">
        <f t="shared" si="56"/>
        <v>0.99930322182404896</v>
      </c>
    </row>
    <row r="3644" spans="1:8" ht="15" customHeight="1" x14ac:dyDescent="0.25">
      <c r="A3644" s="5">
        <v>3638</v>
      </c>
      <c r="B3644" s="10" t="s">
        <v>7076</v>
      </c>
      <c r="C3644" s="10" t="s">
        <v>7077</v>
      </c>
      <c r="D3644" s="7">
        <v>31.25</v>
      </c>
      <c r="E3644" s="5">
        <v>25</v>
      </c>
      <c r="F3644" s="5">
        <v>7</v>
      </c>
      <c r="G3644" s="12">
        <f>SUM($D$7:D3644)</f>
        <v>10659283.48100004</v>
      </c>
      <c r="H3644" s="11">
        <f t="shared" si="56"/>
        <v>0.99930615150663871</v>
      </c>
    </row>
    <row r="3645" spans="1:8" ht="15" customHeight="1" x14ac:dyDescent="0.25">
      <c r="A3645" s="5">
        <v>3639</v>
      </c>
      <c r="B3645" s="10" t="s">
        <v>7078</v>
      </c>
      <c r="C3645" s="10" t="s">
        <v>7079</v>
      </c>
      <c r="D3645" s="7">
        <v>31.2</v>
      </c>
      <c r="E3645" s="5">
        <v>15</v>
      </c>
      <c r="F3645" s="5">
        <v>10</v>
      </c>
      <c r="G3645" s="12">
        <f>SUM($D$7:D3645)</f>
        <v>10659314.681000039</v>
      </c>
      <c r="H3645" s="11">
        <f t="shared" si="56"/>
        <v>0.99930907650173639</v>
      </c>
    </row>
    <row r="3646" spans="1:8" ht="15" customHeight="1" x14ac:dyDescent="0.25">
      <c r="A3646" s="5">
        <v>3640</v>
      </c>
      <c r="B3646" s="10" t="s">
        <v>2522</v>
      </c>
      <c r="C3646" s="10" t="s">
        <v>7080</v>
      </c>
      <c r="D3646" s="7">
        <v>31.2</v>
      </c>
      <c r="E3646" s="5">
        <v>48</v>
      </c>
      <c r="F3646" s="5">
        <v>3</v>
      </c>
      <c r="G3646" s="12">
        <f>SUM($D$7:D3646)</f>
        <v>10659345.881000038</v>
      </c>
      <c r="H3646" s="11">
        <f t="shared" si="56"/>
        <v>0.99931200149683408</v>
      </c>
    </row>
    <row r="3647" spans="1:8" ht="15" customHeight="1" x14ac:dyDescent="0.25">
      <c r="A3647" s="5">
        <v>3641</v>
      </c>
      <c r="B3647" s="10" t="s">
        <v>1882</v>
      </c>
      <c r="C3647" s="10" t="s">
        <v>7081</v>
      </c>
      <c r="D3647" s="7">
        <v>30.6</v>
      </c>
      <c r="E3647" s="5">
        <v>12</v>
      </c>
      <c r="F3647" s="5">
        <v>2</v>
      </c>
      <c r="G3647" s="12">
        <f>SUM($D$7:D3647)</f>
        <v>10659376.481000038</v>
      </c>
      <c r="H3647" s="11">
        <f t="shared" si="56"/>
        <v>0.99931487024202603</v>
      </c>
    </row>
    <row r="3648" spans="1:8" ht="15" customHeight="1" x14ac:dyDescent="0.25">
      <c r="A3648" s="5">
        <v>3642</v>
      </c>
      <c r="B3648" s="10" t="s">
        <v>1882</v>
      </c>
      <c r="C3648" s="10" t="s">
        <v>7082</v>
      </c>
      <c r="D3648" s="7">
        <v>30.6</v>
      </c>
      <c r="E3648" s="5">
        <v>12</v>
      </c>
      <c r="F3648" s="5">
        <v>1</v>
      </c>
      <c r="G3648" s="12">
        <f>SUM($D$7:D3648)</f>
        <v>10659407.081000037</v>
      </c>
      <c r="H3648" s="11">
        <f t="shared" si="56"/>
        <v>0.99931773898721798</v>
      </c>
    </row>
    <row r="3649" spans="1:8" ht="15" customHeight="1" x14ac:dyDescent="0.25">
      <c r="A3649" s="5">
        <v>3643</v>
      </c>
      <c r="B3649" s="10" t="s">
        <v>7083</v>
      </c>
      <c r="C3649" s="10" t="s">
        <v>7084</v>
      </c>
      <c r="D3649" s="7">
        <v>30.6</v>
      </c>
      <c r="E3649" s="5">
        <v>36</v>
      </c>
      <c r="F3649" s="5">
        <v>2</v>
      </c>
      <c r="G3649" s="12">
        <f>SUM($D$7:D3649)</f>
        <v>10659437.681000037</v>
      </c>
      <c r="H3649" s="11">
        <f t="shared" si="56"/>
        <v>0.99932060773240983</v>
      </c>
    </row>
    <row r="3650" spans="1:8" ht="15" customHeight="1" x14ac:dyDescent="0.25">
      <c r="A3650" s="5">
        <v>3644</v>
      </c>
      <c r="B3650" s="10" t="s">
        <v>7085</v>
      </c>
      <c r="C3650" s="10" t="s">
        <v>7086</v>
      </c>
      <c r="D3650" s="7">
        <v>30.6</v>
      </c>
      <c r="E3650" s="5">
        <v>12</v>
      </c>
      <c r="F3650" s="5">
        <v>7</v>
      </c>
      <c r="G3650" s="12">
        <f>SUM($D$7:D3650)</f>
        <v>10659468.281000037</v>
      </c>
      <c r="H3650" s="11">
        <f t="shared" si="56"/>
        <v>0.99932347647760178</v>
      </c>
    </row>
    <row r="3651" spans="1:8" ht="15" customHeight="1" x14ac:dyDescent="0.25">
      <c r="A3651" s="5">
        <v>3645</v>
      </c>
      <c r="B3651" s="10" t="s">
        <v>7087</v>
      </c>
      <c r="C3651" s="10" t="s">
        <v>7088</v>
      </c>
      <c r="D3651" s="7">
        <v>30.43</v>
      </c>
      <c r="E3651" s="5">
        <v>29</v>
      </c>
      <c r="F3651" s="5">
        <v>3</v>
      </c>
      <c r="G3651" s="12">
        <f>SUM($D$7:D3651)</f>
        <v>10659498.711000036</v>
      </c>
      <c r="H3651" s="11">
        <f t="shared" si="56"/>
        <v>0.9993263292853205</v>
      </c>
    </row>
    <row r="3652" spans="1:8" ht="15" customHeight="1" x14ac:dyDescent="0.25">
      <c r="A3652" s="5">
        <v>3646</v>
      </c>
      <c r="B3652" s="10" t="s">
        <v>7089</v>
      </c>
      <c r="C3652" s="10" t="s">
        <v>7090</v>
      </c>
      <c r="D3652" s="7">
        <v>30.12</v>
      </c>
      <c r="E3652" s="5">
        <v>4</v>
      </c>
      <c r="F3652" s="5">
        <v>3</v>
      </c>
      <c r="G3652" s="12">
        <f>SUM($D$7:D3652)</f>
        <v>10659528.831000036</v>
      </c>
      <c r="H3652" s="11">
        <f t="shared" si="56"/>
        <v>0.99932915303058778</v>
      </c>
    </row>
    <row r="3653" spans="1:8" ht="15" customHeight="1" x14ac:dyDescent="0.25">
      <c r="A3653" s="5">
        <v>3647</v>
      </c>
      <c r="B3653" s="10" t="s">
        <v>2016</v>
      </c>
      <c r="C3653" s="10" t="s">
        <v>7091</v>
      </c>
      <c r="D3653" s="7">
        <v>30</v>
      </c>
      <c r="E3653" s="5">
        <v>8</v>
      </c>
      <c r="F3653" s="5">
        <v>2</v>
      </c>
      <c r="G3653" s="12">
        <f>SUM($D$7:D3653)</f>
        <v>10659558.831000036</v>
      </c>
      <c r="H3653" s="11">
        <f t="shared" si="56"/>
        <v>0.99933196552587411</v>
      </c>
    </row>
    <row r="3654" spans="1:8" ht="15" customHeight="1" x14ac:dyDescent="0.25">
      <c r="A3654" s="5">
        <v>3648</v>
      </c>
      <c r="B3654" s="10" t="s">
        <v>2672</v>
      </c>
      <c r="C3654" s="10" t="s">
        <v>7092</v>
      </c>
      <c r="D3654" s="7">
        <v>30</v>
      </c>
      <c r="E3654" s="5">
        <v>24</v>
      </c>
      <c r="F3654" s="5">
        <v>2</v>
      </c>
      <c r="G3654" s="12">
        <f>SUM($D$7:D3654)</f>
        <v>10659588.831000036</v>
      </c>
      <c r="H3654" s="11">
        <f t="shared" si="56"/>
        <v>0.99933477802116033</v>
      </c>
    </row>
    <row r="3655" spans="1:8" ht="15" customHeight="1" x14ac:dyDescent="0.25">
      <c r="A3655" s="5">
        <v>3649</v>
      </c>
      <c r="B3655" s="10" t="s">
        <v>4177</v>
      </c>
      <c r="C3655" s="10" t="s">
        <v>7093</v>
      </c>
      <c r="D3655" s="7">
        <v>30</v>
      </c>
      <c r="E3655" s="5">
        <v>24</v>
      </c>
      <c r="F3655" s="5">
        <v>1</v>
      </c>
      <c r="G3655" s="12">
        <f>SUM($D$7:D3655)</f>
        <v>10659618.831000036</v>
      </c>
      <c r="H3655" s="11">
        <f t="shared" ref="H3655:H3718" si="57">G3655/SUM($D$7:$D$4167)</f>
        <v>0.99933759051644655</v>
      </c>
    </row>
    <row r="3656" spans="1:8" ht="15" customHeight="1" x14ac:dyDescent="0.25">
      <c r="A3656" s="5">
        <v>3650</v>
      </c>
      <c r="B3656" s="10" t="s">
        <v>7094</v>
      </c>
      <c r="C3656" s="10" t="s">
        <v>7095</v>
      </c>
      <c r="D3656" s="7">
        <v>30</v>
      </c>
      <c r="E3656" s="5">
        <v>24</v>
      </c>
      <c r="F3656" s="5">
        <v>1</v>
      </c>
      <c r="G3656" s="12">
        <f>SUM($D$7:D3656)</f>
        <v>10659648.831000036</v>
      </c>
      <c r="H3656" s="11">
        <f t="shared" si="57"/>
        <v>0.99934040301173288</v>
      </c>
    </row>
    <row r="3657" spans="1:8" ht="15" customHeight="1" x14ac:dyDescent="0.25">
      <c r="A3657" s="5">
        <v>3651</v>
      </c>
      <c r="B3657" s="10" t="s">
        <v>1952</v>
      </c>
      <c r="C3657" s="10" t="s">
        <v>7096</v>
      </c>
      <c r="D3657" s="7">
        <v>30</v>
      </c>
      <c r="E3657" s="5">
        <v>8</v>
      </c>
      <c r="F3657" s="5">
        <v>2</v>
      </c>
      <c r="G3657" s="12">
        <f>SUM($D$7:D3657)</f>
        <v>10659678.831000036</v>
      </c>
      <c r="H3657" s="11">
        <f t="shared" si="57"/>
        <v>0.9993432155070191</v>
      </c>
    </row>
    <row r="3658" spans="1:8" ht="15" customHeight="1" x14ac:dyDescent="0.25">
      <c r="A3658" s="5">
        <v>3652</v>
      </c>
      <c r="B3658" s="10" t="s">
        <v>1968</v>
      </c>
      <c r="C3658" s="10" t="s">
        <v>7097</v>
      </c>
      <c r="D3658" s="7">
        <v>30</v>
      </c>
      <c r="E3658" s="5">
        <v>24</v>
      </c>
      <c r="F3658" s="5">
        <v>2</v>
      </c>
      <c r="G3658" s="12">
        <f>SUM($D$7:D3658)</f>
        <v>10659708.831000036</v>
      </c>
      <c r="H3658" s="11">
        <f t="shared" si="57"/>
        <v>0.99934602800230532</v>
      </c>
    </row>
    <row r="3659" spans="1:8" ht="15" customHeight="1" x14ac:dyDescent="0.25">
      <c r="A3659" s="5">
        <v>3653</v>
      </c>
      <c r="B3659" s="10" t="s">
        <v>7098</v>
      </c>
      <c r="C3659" s="10" t="s">
        <v>7099</v>
      </c>
      <c r="D3659" s="7">
        <v>29.98</v>
      </c>
      <c r="E3659" s="5">
        <v>4</v>
      </c>
      <c r="F3659" s="5">
        <v>4</v>
      </c>
      <c r="G3659" s="12">
        <f>SUM($D$7:D3659)</f>
        <v>10659738.811000036</v>
      </c>
      <c r="H3659" s="11">
        <f t="shared" si="57"/>
        <v>0.99934883862259483</v>
      </c>
    </row>
    <row r="3660" spans="1:8" ht="15" customHeight="1" x14ac:dyDescent="0.25">
      <c r="A3660" s="5">
        <v>3654</v>
      </c>
      <c r="B3660" s="10" t="s">
        <v>7100</v>
      </c>
      <c r="C3660" s="10" t="s">
        <v>7101</v>
      </c>
      <c r="D3660" s="7">
        <v>29.98</v>
      </c>
      <c r="E3660" s="5">
        <v>4</v>
      </c>
      <c r="F3660" s="5">
        <v>3</v>
      </c>
      <c r="G3660" s="12">
        <f>SUM($D$7:D3660)</f>
        <v>10659768.791000037</v>
      </c>
      <c r="H3660" s="11">
        <f t="shared" si="57"/>
        <v>0.99935164924288422</v>
      </c>
    </row>
    <row r="3661" spans="1:8" ht="15" customHeight="1" x14ac:dyDescent="0.25">
      <c r="A3661" s="5">
        <v>3655</v>
      </c>
      <c r="B3661" s="10" t="s">
        <v>7102</v>
      </c>
      <c r="C3661" s="10" t="s">
        <v>7103</v>
      </c>
      <c r="D3661" s="7">
        <v>29.96</v>
      </c>
      <c r="E3661" s="5">
        <v>8</v>
      </c>
      <c r="F3661" s="5">
        <v>3</v>
      </c>
      <c r="G3661" s="12">
        <f>SUM($D$7:D3661)</f>
        <v>10659798.751000037</v>
      </c>
      <c r="H3661" s="11">
        <f t="shared" si="57"/>
        <v>0.9993544579881769</v>
      </c>
    </row>
    <row r="3662" spans="1:8" ht="15" customHeight="1" x14ac:dyDescent="0.25">
      <c r="A3662" s="5">
        <v>3656</v>
      </c>
      <c r="B3662" s="10" t="s">
        <v>7104</v>
      </c>
      <c r="C3662" s="10" t="s">
        <v>7105</v>
      </c>
      <c r="D3662" s="7">
        <v>29.95</v>
      </c>
      <c r="E3662" s="5">
        <v>1</v>
      </c>
      <c r="F3662" s="5">
        <v>1</v>
      </c>
      <c r="G3662" s="12">
        <f>SUM($D$7:D3662)</f>
        <v>10659828.701000037</v>
      </c>
      <c r="H3662" s="11">
        <f t="shared" si="57"/>
        <v>0.99935726579597095</v>
      </c>
    </row>
    <row r="3663" spans="1:8" ht="15" customHeight="1" x14ac:dyDescent="0.25">
      <c r="A3663" s="5">
        <v>3657</v>
      </c>
      <c r="B3663" s="10" t="s">
        <v>7106</v>
      </c>
      <c r="C3663" s="10" t="s">
        <v>7107</v>
      </c>
      <c r="D3663" s="7">
        <v>29.93</v>
      </c>
      <c r="E3663" s="5">
        <v>6</v>
      </c>
      <c r="F3663" s="5">
        <v>6</v>
      </c>
      <c r="G3663" s="12">
        <f>SUM($D$7:D3663)</f>
        <v>10659858.631000036</v>
      </c>
      <c r="H3663" s="11">
        <f t="shared" si="57"/>
        <v>0.99936007172876817</v>
      </c>
    </row>
    <row r="3664" spans="1:8" ht="15" customHeight="1" x14ac:dyDescent="0.25">
      <c r="A3664" s="5">
        <v>3658</v>
      </c>
      <c r="B3664" s="10" t="s">
        <v>7108</v>
      </c>
      <c r="C3664" s="10" t="s">
        <v>7109</v>
      </c>
      <c r="D3664" s="7">
        <v>29.9</v>
      </c>
      <c r="E3664" s="5">
        <v>2</v>
      </c>
      <c r="F3664" s="5">
        <v>1</v>
      </c>
      <c r="G3664" s="12">
        <f>SUM($D$7:D3664)</f>
        <v>10659888.531000037</v>
      </c>
      <c r="H3664" s="11">
        <f t="shared" si="57"/>
        <v>0.99936287484907016</v>
      </c>
    </row>
    <row r="3665" spans="1:8" ht="15" customHeight="1" x14ac:dyDescent="0.25">
      <c r="A3665" s="5">
        <v>3659</v>
      </c>
      <c r="B3665" s="10" t="s">
        <v>7110</v>
      </c>
      <c r="C3665" s="10" t="s">
        <v>7111</v>
      </c>
      <c r="D3665" s="7">
        <v>29.85</v>
      </c>
      <c r="E3665" s="5">
        <v>3</v>
      </c>
      <c r="F3665" s="5">
        <v>2</v>
      </c>
      <c r="G3665" s="12">
        <f>SUM($D$7:D3665)</f>
        <v>10659918.381000036</v>
      </c>
      <c r="H3665" s="11">
        <f t="shared" si="57"/>
        <v>0.99936567328187997</v>
      </c>
    </row>
    <row r="3666" spans="1:8" ht="15" customHeight="1" x14ac:dyDescent="0.25">
      <c r="A3666" s="5">
        <v>3660</v>
      </c>
      <c r="B3666" s="10" t="s">
        <v>7112</v>
      </c>
      <c r="C3666" s="10" t="s">
        <v>7113</v>
      </c>
      <c r="D3666" s="7">
        <v>29.85</v>
      </c>
      <c r="E3666" s="5">
        <v>3</v>
      </c>
      <c r="F3666" s="5">
        <v>2</v>
      </c>
      <c r="G3666" s="12">
        <f>SUM($D$7:D3666)</f>
        <v>10659948.231000036</v>
      </c>
      <c r="H3666" s="11">
        <f t="shared" si="57"/>
        <v>0.99936847171468979</v>
      </c>
    </row>
    <row r="3667" spans="1:8" ht="15" customHeight="1" x14ac:dyDescent="0.25">
      <c r="A3667" s="5">
        <v>3661</v>
      </c>
      <c r="B3667" s="10" t="s">
        <v>7114</v>
      </c>
      <c r="C3667" s="10" t="s">
        <v>3741</v>
      </c>
      <c r="D3667" s="7">
        <v>29.84</v>
      </c>
      <c r="E3667" s="5">
        <v>4</v>
      </c>
      <c r="F3667" s="5">
        <v>2</v>
      </c>
      <c r="G3667" s="12">
        <f>SUM($D$7:D3667)</f>
        <v>10659978.071000036</v>
      </c>
      <c r="H3667" s="11">
        <f t="shared" si="57"/>
        <v>0.99937126921000108</v>
      </c>
    </row>
    <row r="3668" spans="1:8" ht="15" customHeight="1" x14ac:dyDescent="0.25">
      <c r="A3668" s="5">
        <v>3662</v>
      </c>
      <c r="B3668" s="10" t="s">
        <v>7115</v>
      </c>
      <c r="C3668" s="10" t="s">
        <v>7116</v>
      </c>
      <c r="D3668" s="7">
        <v>29.79</v>
      </c>
      <c r="E3668" s="5">
        <v>6</v>
      </c>
      <c r="F3668" s="5">
        <v>5</v>
      </c>
      <c r="G3668" s="12">
        <f>SUM($D$7:D3668)</f>
        <v>10660007.861000035</v>
      </c>
      <c r="H3668" s="11">
        <f t="shared" si="57"/>
        <v>0.99937406201782031</v>
      </c>
    </row>
    <row r="3669" spans="1:8" ht="15" customHeight="1" x14ac:dyDescent="0.25">
      <c r="A3669" s="5">
        <v>3663</v>
      </c>
      <c r="B3669" s="10" t="s">
        <v>7117</v>
      </c>
      <c r="C3669" s="10" t="s">
        <v>7118</v>
      </c>
      <c r="D3669" s="7">
        <v>29.73</v>
      </c>
      <c r="E3669" s="5">
        <v>7</v>
      </c>
      <c r="F3669" s="5">
        <v>3</v>
      </c>
      <c r="G3669" s="12">
        <f>SUM($D$7:D3669)</f>
        <v>10660037.591000035</v>
      </c>
      <c r="H3669" s="11">
        <f t="shared" si="57"/>
        <v>0.99937684920064906</v>
      </c>
    </row>
    <row r="3670" spans="1:8" ht="15" customHeight="1" x14ac:dyDescent="0.25">
      <c r="A3670" s="5">
        <v>3664</v>
      </c>
      <c r="B3670" s="10" t="s">
        <v>7119</v>
      </c>
      <c r="C3670" s="10" t="s">
        <v>7120</v>
      </c>
      <c r="D3670" s="7">
        <v>29.73</v>
      </c>
      <c r="E3670" s="5">
        <v>7</v>
      </c>
      <c r="F3670" s="5">
        <v>5</v>
      </c>
      <c r="G3670" s="12">
        <f>SUM($D$7:D3670)</f>
        <v>10660067.321000036</v>
      </c>
      <c r="H3670" s="11">
        <f t="shared" si="57"/>
        <v>0.99937963638347771</v>
      </c>
    </row>
    <row r="3671" spans="1:8" ht="15" customHeight="1" x14ac:dyDescent="0.25">
      <c r="A3671" s="5">
        <v>3665</v>
      </c>
      <c r="B3671" s="10" t="s">
        <v>7121</v>
      </c>
      <c r="C3671" s="10" t="s">
        <v>7122</v>
      </c>
      <c r="D3671" s="7">
        <v>29.7</v>
      </c>
      <c r="E3671" s="5">
        <v>6</v>
      </c>
      <c r="F3671" s="5">
        <v>3</v>
      </c>
      <c r="G3671" s="12">
        <f>SUM($D$7:D3671)</f>
        <v>10660097.021000035</v>
      </c>
      <c r="H3671" s="11">
        <f t="shared" si="57"/>
        <v>0.99938242075381112</v>
      </c>
    </row>
    <row r="3672" spans="1:8" ht="15" customHeight="1" x14ac:dyDescent="0.25">
      <c r="A3672" s="5">
        <v>3666</v>
      </c>
      <c r="B3672" s="10" t="s">
        <v>1212</v>
      </c>
      <c r="C3672" s="10" t="s">
        <v>7123</v>
      </c>
      <c r="D3672" s="7">
        <v>29.7</v>
      </c>
      <c r="E3672" s="5">
        <v>6</v>
      </c>
      <c r="F3672" s="5">
        <v>1</v>
      </c>
      <c r="G3672" s="12">
        <f>SUM($D$7:D3672)</f>
        <v>10660126.721000034</v>
      </c>
      <c r="H3672" s="11">
        <f t="shared" si="57"/>
        <v>0.99938520512414442</v>
      </c>
    </row>
    <row r="3673" spans="1:8" ht="15" customHeight="1" x14ac:dyDescent="0.25">
      <c r="A3673" s="5">
        <v>3667</v>
      </c>
      <c r="B3673" s="10" t="s">
        <v>7124</v>
      </c>
      <c r="C3673" s="10" t="s">
        <v>7125</v>
      </c>
      <c r="D3673" s="7">
        <v>29.7</v>
      </c>
      <c r="E3673" s="5">
        <v>22</v>
      </c>
      <c r="F3673" s="5">
        <v>8</v>
      </c>
      <c r="G3673" s="12">
        <f>SUM($D$7:D3673)</f>
        <v>10660156.421000034</v>
      </c>
      <c r="H3673" s="11">
        <f t="shared" si="57"/>
        <v>0.99938798949447771</v>
      </c>
    </row>
    <row r="3674" spans="1:8" ht="15" customHeight="1" x14ac:dyDescent="0.25">
      <c r="A3674" s="5">
        <v>3668</v>
      </c>
      <c r="B3674" s="10" t="s">
        <v>7126</v>
      </c>
      <c r="C3674" s="10" t="s">
        <v>7127</v>
      </c>
      <c r="D3674" s="7">
        <v>29.64</v>
      </c>
      <c r="E3674" s="5">
        <v>78</v>
      </c>
      <c r="F3674" s="5">
        <v>2</v>
      </c>
      <c r="G3674" s="12">
        <f>SUM($D$7:D3674)</f>
        <v>10660186.061000034</v>
      </c>
      <c r="H3674" s="11">
        <f t="shared" si="57"/>
        <v>0.99939076823982065</v>
      </c>
    </row>
    <row r="3675" spans="1:8" ht="15" customHeight="1" x14ac:dyDescent="0.25">
      <c r="A3675" s="5">
        <v>3669</v>
      </c>
      <c r="B3675" s="10" t="s">
        <v>7128</v>
      </c>
      <c r="C3675" s="10" t="s">
        <v>7129</v>
      </c>
      <c r="D3675" s="7">
        <v>29.62</v>
      </c>
      <c r="E3675" s="5">
        <v>38</v>
      </c>
      <c r="F3675" s="5">
        <v>13</v>
      </c>
      <c r="G3675" s="12">
        <f>SUM($D$7:D3675)</f>
        <v>10660215.681000033</v>
      </c>
      <c r="H3675" s="11">
        <f t="shared" si="57"/>
        <v>0.99939354511016654</v>
      </c>
    </row>
    <row r="3676" spans="1:8" ht="15" customHeight="1" x14ac:dyDescent="0.25">
      <c r="A3676" s="5">
        <v>3670</v>
      </c>
      <c r="B3676" s="10" t="s">
        <v>7130</v>
      </c>
      <c r="C3676" s="10" t="s">
        <v>7131</v>
      </c>
      <c r="D3676" s="7">
        <v>29.6</v>
      </c>
      <c r="E3676" s="5">
        <v>8</v>
      </c>
      <c r="F3676" s="5">
        <v>4</v>
      </c>
      <c r="G3676" s="12">
        <f>SUM($D$7:D3676)</f>
        <v>10660245.281000033</v>
      </c>
      <c r="H3676" s="11">
        <f t="shared" si="57"/>
        <v>0.9993963201055156</v>
      </c>
    </row>
    <row r="3677" spans="1:8" ht="15" customHeight="1" x14ac:dyDescent="0.25">
      <c r="A3677" s="5">
        <v>3671</v>
      </c>
      <c r="B3677" s="10" t="s">
        <v>7132</v>
      </c>
      <c r="C3677" s="10" t="s">
        <v>7133</v>
      </c>
      <c r="D3677" s="7">
        <v>29.5</v>
      </c>
      <c r="E3677" s="5">
        <v>10</v>
      </c>
      <c r="F3677" s="5">
        <v>5</v>
      </c>
      <c r="G3677" s="12">
        <f>SUM($D$7:D3677)</f>
        <v>10660274.781000033</v>
      </c>
      <c r="H3677" s="11">
        <f t="shared" si="57"/>
        <v>0.99939908572588043</v>
      </c>
    </row>
    <row r="3678" spans="1:8" ht="15" customHeight="1" x14ac:dyDescent="0.25">
      <c r="A3678" s="5">
        <v>3672</v>
      </c>
      <c r="B3678" s="10" t="s">
        <v>7134</v>
      </c>
      <c r="C3678" s="10" t="s">
        <v>7135</v>
      </c>
      <c r="D3678" s="7">
        <v>29.5</v>
      </c>
      <c r="E3678" s="5">
        <v>10</v>
      </c>
      <c r="F3678" s="5">
        <v>7</v>
      </c>
      <c r="G3678" s="12">
        <f>SUM($D$7:D3678)</f>
        <v>10660304.281000033</v>
      </c>
      <c r="H3678" s="11">
        <f t="shared" si="57"/>
        <v>0.99940185134624515</v>
      </c>
    </row>
    <row r="3679" spans="1:8" ht="15" customHeight="1" x14ac:dyDescent="0.25">
      <c r="A3679" s="5">
        <v>3673</v>
      </c>
      <c r="B3679" s="10" t="s">
        <v>7136</v>
      </c>
      <c r="C3679" s="10" t="s">
        <v>7137</v>
      </c>
      <c r="D3679" s="7">
        <v>29.4</v>
      </c>
      <c r="E3679" s="5">
        <v>14</v>
      </c>
      <c r="F3679" s="5">
        <v>3</v>
      </c>
      <c r="G3679" s="12">
        <f>SUM($D$7:D3679)</f>
        <v>10660333.681000033</v>
      </c>
      <c r="H3679" s="11">
        <f t="shared" si="57"/>
        <v>0.99940460759162575</v>
      </c>
    </row>
    <row r="3680" spans="1:8" ht="15" customHeight="1" x14ac:dyDescent="0.25">
      <c r="A3680" s="5">
        <v>3674</v>
      </c>
      <c r="B3680" s="10" t="s">
        <v>7138</v>
      </c>
      <c r="C3680" s="10" t="s">
        <v>3353</v>
      </c>
      <c r="D3680" s="7">
        <v>29.31</v>
      </c>
      <c r="E3680" s="5">
        <v>5</v>
      </c>
      <c r="F3680" s="5">
        <v>5</v>
      </c>
      <c r="G3680" s="12">
        <f>SUM($D$7:D3680)</f>
        <v>10660362.991000034</v>
      </c>
      <c r="H3680" s="11">
        <f t="shared" si="57"/>
        <v>0.99940735539952053</v>
      </c>
    </row>
    <row r="3681" spans="1:8" ht="15" customHeight="1" x14ac:dyDescent="0.25">
      <c r="A3681" s="5">
        <v>3675</v>
      </c>
      <c r="B3681" s="10" t="s">
        <v>7139</v>
      </c>
      <c r="C3681" s="10" t="s">
        <v>7140</v>
      </c>
      <c r="D3681" s="7">
        <v>29.25</v>
      </c>
      <c r="E3681" s="5">
        <v>15</v>
      </c>
      <c r="F3681" s="5">
        <v>6</v>
      </c>
      <c r="G3681" s="12">
        <f>SUM($D$7:D3681)</f>
        <v>10660392.241000034</v>
      </c>
      <c r="H3681" s="11">
        <f t="shared" si="57"/>
        <v>0.99941009758242461</v>
      </c>
    </row>
    <row r="3682" spans="1:8" ht="15" customHeight="1" x14ac:dyDescent="0.25">
      <c r="A3682" s="5">
        <v>3676</v>
      </c>
      <c r="B3682" s="10" t="s">
        <v>7141</v>
      </c>
      <c r="C3682" s="10" t="s">
        <v>7142</v>
      </c>
      <c r="D3682" s="7">
        <v>29.23</v>
      </c>
      <c r="E3682" s="5">
        <v>41</v>
      </c>
      <c r="F3682" s="5">
        <v>24</v>
      </c>
      <c r="G3682" s="12">
        <f>SUM($D$7:D3682)</f>
        <v>10660421.471000034</v>
      </c>
      <c r="H3682" s="11">
        <f t="shared" si="57"/>
        <v>0.99941283789033186</v>
      </c>
    </row>
    <row r="3683" spans="1:8" ht="15" customHeight="1" x14ac:dyDescent="0.25">
      <c r="A3683" s="5">
        <v>3677</v>
      </c>
      <c r="B3683" s="10" t="s">
        <v>7143</v>
      </c>
      <c r="C3683" s="10" t="s">
        <v>7144</v>
      </c>
      <c r="D3683" s="7">
        <v>29.19</v>
      </c>
      <c r="E3683" s="5">
        <v>139</v>
      </c>
      <c r="F3683" s="5">
        <v>31</v>
      </c>
      <c r="G3683" s="12">
        <f>SUM($D$7:D3683)</f>
        <v>10660450.661000034</v>
      </c>
      <c r="H3683" s="11">
        <f t="shared" si="57"/>
        <v>0.99941557444824536</v>
      </c>
    </row>
    <row r="3684" spans="1:8" ht="15" customHeight="1" x14ac:dyDescent="0.25">
      <c r="A3684" s="5">
        <v>3678</v>
      </c>
      <c r="B3684" s="10" t="s">
        <v>7145</v>
      </c>
      <c r="C3684" s="10" t="s">
        <v>7146</v>
      </c>
      <c r="D3684" s="7">
        <v>29</v>
      </c>
      <c r="E3684" s="5">
        <v>20</v>
      </c>
      <c r="F3684" s="5">
        <v>3</v>
      </c>
      <c r="G3684" s="12">
        <f>SUM($D$7:D3684)</f>
        <v>10660479.661000034</v>
      </c>
      <c r="H3684" s="11">
        <f t="shared" si="57"/>
        <v>0.99941829319368869</v>
      </c>
    </row>
    <row r="3685" spans="1:8" ht="15" customHeight="1" x14ac:dyDescent="0.25">
      <c r="A3685" s="5">
        <v>3679</v>
      </c>
      <c r="B3685" s="10" t="s">
        <v>7147</v>
      </c>
      <c r="C3685" s="10" t="s">
        <v>3557</v>
      </c>
      <c r="D3685" s="7">
        <v>28.91</v>
      </c>
      <c r="E3685" s="5">
        <v>7</v>
      </c>
      <c r="F3685" s="5">
        <v>1</v>
      </c>
      <c r="G3685" s="12">
        <f>SUM($D$7:D3685)</f>
        <v>10660508.571000034</v>
      </c>
      <c r="H3685" s="11">
        <f t="shared" si="57"/>
        <v>0.99942100350164631</v>
      </c>
    </row>
    <row r="3686" spans="1:8" ht="15" customHeight="1" x14ac:dyDescent="0.25">
      <c r="A3686" s="5">
        <v>3680</v>
      </c>
      <c r="B3686" s="10" t="s">
        <v>7148</v>
      </c>
      <c r="C3686" s="10" t="s">
        <v>7149</v>
      </c>
      <c r="D3686" s="7">
        <v>28.76</v>
      </c>
      <c r="E3686" s="5">
        <v>5</v>
      </c>
      <c r="F3686" s="5">
        <v>5</v>
      </c>
      <c r="G3686" s="12">
        <f>SUM($D$7:D3686)</f>
        <v>10660537.331000034</v>
      </c>
      <c r="H3686" s="11">
        <f t="shared" si="57"/>
        <v>0.9994236997471273</v>
      </c>
    </row>
    <row r="3687" spans="1:8" ht="15" customHeight="1" x14ac:dyDescent="0.25">
      <c r="A3687" s="5">
        <v>3681</v>
      </c>
      <c r="B3687" s="10" t="s">
        <v>7150</v>
      </c>
      <c r="C3687" s="10" t="s">
        <v>7151</v>
      </c>
      <c r="D3687" s="7">
        <v>28.73</v>
      </c>
      <c r="E3687" s="5">
        <v>17</v>
      </c>
      <c r="F3687" s="5">
        <v>4</v>
      </c>
      <c r="G3687" s="12">
        <f>SUM($D$7:D3687)</f>
        <v>10660566.061000034</v>
      </c>
      <c r="H3687" s="11">
        <f t="shared" si="57"/>
        <v>0.99942639318011317</v>
      </c>
    </row>
    <row r="3688" spans="1:8" ht="15" customHeight="1" x14ac:dyDescent="0.25">
      <c r="A3688" s="5">
        <v>3682</v>
      </c>
      <c r="B3688" s="10" t="s">
        <v>7152</v>
      </c>
      <c r="C3688" s="10" t="s">
        <v>7153</v>
      </c>
      <c r="D3688" s="7">
        <v>28.57</v>
      </c>
      <c r="E3688" s="5">
        <v>52</v>
      </c>
      <c r="F3688" s="5">
        <v>10</v>
      </c>
      <c r="G3688" s="12">
        <f>SUM($D$7:D3688)</f>
        <v>10660594.631000035</v>
      </c>
      <c r="H3688" s="11">
        <f t="shared" si="57"/>
        <v>0.99942907161312422</v>
      </c>
    </row>
    <row r="3689" spans="1:8" ht="15" customHeight="1" x14ac:dyDescent="0.25">
      <c r="A3689" s="5">
        <v>3683</v>
      </c>
      <c r="B3689" s="10" t="s">
        <v>7154</v>
      </c>
      <c r="C3689" s="10" t="s">
        <v>7155</v>
      </c>
      <c r="D3689" s="7">
        <v>28.4</v>
      </c>
      <c r="E3689" s="5">
        <v>9</v>
      </c>
      <c r="F3689" s="5">
        <v>6</v>
      </c>
      <c r="G3689" s="12">
        <f>SUM($D$7:D3689)</f>
        <v>10660623.031000035</v>
      </c>
      <c r="H3689" s="11">
        <f t="shared" si="57"/>
        <v>0.99943173410866182</v>
      </c>
    </row>
    <row r="3690" spans="1:8" ht="15" customHeight="1" x14ac:dyDescent="0.25">
      <c r="A3690" s="5">
        <v>3684</v>
      </c>
      <c r="B3690" s="10" t="s">
        <v>7156</v>
      </c>
      <c r="C3690" s="10" t="s">
        <v>7157</v>
      </c>
      <c r="D3690" s="7">
        <v>28.35</v>
      </c>
      <c r="E3690" s="5">
        <v>27</v>
      </c>
      <c r="F3690" s="5">
        <v>7</v>
      </c>
      <c r="G3690" s="12">
        <f>SUM($D$7:D3690)</f>
        <v>10660651.381000035</v>
      </c>
      <c r="H3690" s="11">
        <f t="shared" si="57"/>
        <v>0.99943439191670735</v>
      </c>
    </row>
    <row r="3691" spans="1:8" ht="15" customHeight="1" x14ac:dyDescent="0.25">
      <c r="A3691" s="5">
        <v>3685</v>
      </c>
      <c r="B3691" s="10" t="s">
        <v>3419</v>
      </c>
      <c r="C3691" s="10" t="s">
        <v>7158</v>
      </c>
      <c r="D3691" s="7">
        <v>28.08</v>
      </c>
      <c r="E3691" s="5">
        <v>72</v>
      </c>
      <c r="F3691" s="5">
        <v>2</v>
      </c>
      <c r="G3691" s="12">
        <f>SUM($D$7:D3691)</f>
        <v>10660679.461000035</v>
      </c>
      <c r="H3691" s="11">
        <f t="shared" si="57"/>
        <v>0.99943702441229532</v>
      </c>
    </row>
    <row r="3692" spans="1:8" ht="15" customHeight="1" x14ac:dyDescent="0.25">
      <c r="A3692" s="5">
        <v>3686</v>
      </c>
      <c r="B3692" s="10" t="s">
        <v>7159</v>
      </c>
      <c r="C3692" s="10" t="s">
        <v>7160</v>
      </c>
      <c r="D3692" s="7">
        <v>28.05</v>
      </c>
      <c r="E3692" s="5">
        <v>11</v>
      </c>
      <c r="F3692" s="5">
        <v>3</v>
      </c>
      <c r="G3692" s="12">
        <f>SUM($D$7:D3692)</f>
        <v>10660707.511000035</v>
      </c>
      <c r="H3692" s="11">
        <f t="shared" si="57"/>
        <v>0.99943965409538804</v>
      </c>
    </row>
    <row r="3693" spans="1:8" ht="15" customHeight="1" x14ac:dyDescent="0.25">
      <c r="A3693" s="5">
        <v>3687</v>
      </c>
      <c r="B3693" s="10" t="s">
        <v>7161</v>
      </c>
      <c r="C3693" s="10" t="s">
        <v>7162</v>
      </c>
      <c r="D3693" s="7">
        <v>28.02</v>
      </c>
      <c r="E3693" s="5">
        <v>14</v>
      </c>
      <c r="F3693" s="5">
        <v>10</v>
      </c>
      <c r="G3693" s="12">
        <f>SUM($D$7:D3693)</f>
        <v>10660735.531000035</v>
      </c>
      <c r="H3693" s="11">
        <f t="shared" si="57"/>
        <v>0.99944228096598531</v>
      </c>
    </row>
    <row r="3694" spans="1:8" ht="15" customHeight="1" x14ac:dyDescent="0.25">
      <c r="A3694" s="5">
        <v>3688</v>
      </c>
      <c r="B3694" s="10" t="s">
        <v>7163</v>
      </c>
      <c r="C3694" s="10" t="s">
        <v>7164</v>
      </c>
      <c r="D3694" s="7">
        <v>28.01</v>
      </c>
      <c r="E3694" s="5">
        <v>41</v>
      </c>
      <c r="F3694" s="5">
        <v>25</v>
      </c>
      <c r="G3694" s="12">
        <f>SUM($D$7:D3694)</f>
        <v>10660763.541000035</v>
      </c>
      <c r="H3694" s="11">
        <f t="shared" si="57"/>
        <v>0.99944490689908427</v>
      </c>
    </row>
    <row r="3695" spans="1:8" ht="15" customHeight="1" x14ac:dyDescent="0.25">
      <c r="A3695" s="5">
        <v>3689</v>
      </c>
      <c r="B3695" s="10" t="s">
        <v>7165</v>
      </c>
      <c r="C3695" s="10" t="s">
        <v>7166</v>
      </c>
      <c r="D3695" s="7">
        <v>27.9</v>
      </c>
      <c r="E3695" s="5">
        <v>6</v>
      </c>
      <c r="F3695" s="5">
        <v>3</v>
      </c>
      <c r="G3695" s="12">
        <f>SUM($D$7:D3695)</f>
        <v>10660791.441000035</v>
      </c>
      <c r="H3695" s="11">
        <f t="shared" si="57"/>
        <v>0.99944752251970048</v>
      </c>
    </row>
    <row r="3696" spans="1:8" ht="15" customHeight="1" x14ac:dyDescent="0.25">
      <c r="A3696" s="5">
        <v>3690</v>
      </c>
      <c r="B3696" s="10" t="s">
        <v>7167</v>
      </c>
      <c r="C3696" s="10" t="s">
        <v>3980</v>
      </c>
      <c r="D3696" s="7">
        <v>27.77</v>
      </c>
      <c r="E3696" s="5">
        <v>17</v>
      </c>
      <c r="F3696" s="5">
        <v>10</v>
      </c>
      <c r="G3696" s="12">
        <f>SUM($D$7:D3696)</f>
        <v>10660819.211000035</v>
      </c>
      <c r="H3696" s="11">
        <f t="shared" si="57"/>
        <v>0.99945012595283711</v>
      </c>
    </row>
    <row r="3697" spans="1:8" ht="15" customHeight="1" x14ac:dyDescent="0.25">
      <c r="A3697" s="5">
        <v>3691</v>
      </c>
      <c r="B3697" s="10" t="s">
        <v>7168</v>
      </c>
      <c r="C3697" s="10" t="s">
        <v>7169</v>
      </c>
      <c r="D3697" s="7">
        <v>27.39</v>
      </c>
      <c r="E3697" s="5">
        <v>11</v>
      </c>
      <c r="F3697" s="5">
        <v>9</v>
      </c>
      <c r="G3697" s="12">
        <f>SUM($D$7:D3697)</f>
        <v>10660846.601000035</v>
      </c>
      <c r="H3697" s="11">
        <f t="shared" si="57"/>
        <v>0.99945269376103352</v>
      </c>
    </row>
    <row r="3698" spans="1:8" ht="15" customHeight="1" x14ac:dyDescent="0.25">
      <c r="A3698" s="5">
        <v>3692</v>
      </c>
      <c r="B3698" s="10" t="s">
        <v>7170</v>
      </c>
      <c r="C3698" s="10" t="s">
        <v>7171</v>
      </c>
      <c r="D3698" s="7">
        <v>27.39</v>
      </c>
      <c r="E3698" s="5">
        <v>11</v>
      </c>
      <c r="F3698" s="5">
        <v>6</v>
      </c>
      <c r="G3698" s="12">
        <f>SUM($D$7:D3698)</f>
        <v>10660873.991000036</v>
      </c>
      <c r="H3698" s="11">
        <f t="shared" si="57"/>
        <v>0.99945526156922992</v>
      </c>
    </row>
    <row r="3699" spans="1:8" ht="15" customHeight="1" x14ac:dyDescent="0.25">
      <c r="A3699" s="5">
        <v>3693</v>
      </c>
      <c r="B3699" s="10" t="s">
        <v>5718</v>
      </c>
      <c r="C3699" s="10" t="s">
        <v>7172</v>
      </c>
      <c r="D3699" s="7">
        <v>27.3</v>
      </c>
      <c r="E3699" s="5">
        <v>65</v>
      </c>
      <c r="F3699" s="5">
        <v>7</v>
      </c>
      <c r="G3699" s="12">
        <f>SUM($D$7:D3699)</f>
        <v>10660901.291000037</v>
      </c>
      <c r="H3699" s="11">
        <f t="shared" si="57"/>
        <v>0.99945782093994051</v>
      </c>
    </row>
    <row r="3700" spans="1:8" ht="15" customHeight="1" x14ac:dyDescent="0.25">
      <c r="A3700" s="5">
        <v>3694</v>
      </c>
      <c r="B3700" s="10" t="s">
        <v>7173</v>
      </c>
      <c r="C3700" s="10" t="s">
        <v>7174</v>
      </c>
      <c r="D3700" s="7">
        <v>27.14</v>
      </c>
      <c r="E3700" s="5">
        <v>2</v>
      </c>
      <c r="F3700" s="5">
        <v>1</v>
      </c>
      <c r="G3700" s="12">
        <f>SUM($D$7:D3700)</f>
        <v>10660928.431000037</v>
      </c>
      <c r="H3700" s="11">
        <f t="shared" si="57"/>
        <v>0.99946036531067617</v>
      </c>
    </row>
    <row r="3701" spans="1:8" ht="15" customHeight="1" x14ac:dyDescent="0.25">
      <c r="A3701" s="5">
        <v>3695</v>
      </c>
      <c r="B3701" s="10" t="s">
        <v>7175</v>
      </c>
      <c r="C3701" s="10" t="s">
        <v>7176</v>
      </c>
      <c r="D3701" s="7">
        <v>27.02</v>
      </c>
      <c r="E3701" s="5">
        <v>50</v>
      </c>
      <c r="F3701" s="5">
        <v>10</v>
      </c>
      <c r="G3701" s="12">
        <f>SUM($D$7:D3701)</f>
        <v>10660955.451000037</v>
      </c>
      <c r="H3701" s="11">
        <f t="shared" si="57"/>
        <v>0.99946289843143066</v>
      </c>
    </row>
    <row r="3702" spans="1:8" ht="15" customHeight="1" x14ac:dyDescent="0.25">
      <c r="A3702" s="5">
        <v>3696</v>
      </c>
      <c r="B3702" s="10" t="s">
        <v>7177</v>
      </c>
      <c r="C3702" s="10" t="s">
        <v>7178</v>
      </c>
      <c r="D3702" s="7">
        <v>27</v>
      </c>
      <c r="E3702" s="5">
        <v>4</v>
      </c>
      <c r="F3702" s="5">
        <v>3</v>
      </c>
      <c r="G3702" s="12">
        <f>SUM($D$7:D3702)</f>
        <v>10660982.451000037</v>
      </c>
      <c r="H3702" s="11">
        <f t="shared" si="57"/>
        <v>0.99946542967718821</v>
      </c>
    </row>
    <row r="3703" spans="1:8" ht="15" customHeight="1" x14ac:dyDescent="0.25">
      <c r="A3703" s="5">
        <v>3697</v>
      </c>
      <c r="B3703" s="10" t="s">
        <v>7179</v>
      </c>
      <c r="C3703" s="10" t="s">
        <v>7180</v>
      </c>
      <c r="D3703" s="7">
        <v>27</v>
      </c>
      <c r="E3703" s="5">
        <v>4</v>
      </c>
      <c r="F3703" s="5">
        <v>1</v>
      </c>
      <c r="G3703" s="12">
        <f>SUM($D$7:D3703)</f>
        <v>10661009.451000037</v>
      </c>
      <c r="H3703" s="11">
        <f t="shared" si="57"/>
        <v>0.99946796092294587</v>
      </c>
    </row>
    <row r="3704" spans="1:8" ht="15" customHeight="1" x14ac:dyDescent="0.25">
      <c r="A3704" s="5">
        <v>3698</v>
      </c>
      <c r="B3704" s="10" t="s">
        <v>7181</v>
      </c>
      <c r="C3704" s="10" t="s">
        <v>5802</v>
      </c>
      <c r="D3704" s="7">
        <v>26.56</v>
      </c>
      <c r="E3704" s="5">
        <v>32</v>
      </c>
      <c r="F3704" s="5">
        <v>19</v>
      </c>
      <c r="G3704" s="12">
        <f>SUM($D$7:D3704)</f>
        <v>10661036.011000037</v>
      </c>
      <c r="H3704" s="11">
        <f t="shared" si="57"/>
        <v>0.99947045091877273</v>
      </c>
    </row>
    <row r="3705" spans="1:8" ht="15" customHeight="1" x14ac:dyDescent="0.25">
      <c r="A3705" s="5">
        <v>3699</v>
      </c>
      <c r="B3705" s="10" t="s">
        <v>7182</v>
      </c>
      <c r="C3705" s="10" t="s">
        <v>7183</v>
      </c>
      <c r="D3705" s="7">
        <v>26.55</v>
      </c>
      <c r="E3705" s="5">
        <v>9</v>
      </c>
      <c r="F3705" s="5">
        <v>2</v>
      </c>
      <c r="G3705" s="12">
        <f>SUM($D$7:D3705)</f>
        <v>10661062.561000038</v>
      </c>
      <c r="H3705" s="11">
        <f t="shared" si="57"/>
        <v>0.99947293997710107</v>
      </c>
    </row>
    <row r="3706" spans="1:8" ht="15" customHeight="1" x14ac:dyDescent="0.25">
      <c r="A3706" s="5">
        <v>3700</v>
      </c>
      <c r="B3706" s="10" t="s">
        <v>7184</v>
      </c>
      <c r="C3706" s="10" t="s">
        <v>7185</v>
      </c>
      <c r="D3706" s="7">
        <v>26.55</v>
      </c>
      <c r="E3706" s="5">
        <v>9</v>
      </c>
      <c r="F3706" s="5">
        <v>2</v>
      </c>
      <c r="G3706" s="12">
        <f>SUM($D$7:D3706)</f>
        <v>10661089.111000039</v>
      </c>
      <c r="H3706" s="11">
        <f t="shared" si="57"/>
        <v>0.99947542903542952</v>
      </c>
    </row>
    <row r="3707" spans="1:8" ht="15" customHeight="1" x14ac:dyDescent="0.25">
      <c r="A3707" s="5">
        <v>3701</v>
      </c>
      <c r="B3707" s="10" t="s">
        <v>7186</v>
      </c>
      <c r="C3707" s="10" t="s">
        <v>7187</v>
      </c>
      <c r="D3707" s="7">
        <v>26.52</v>
      </c>
      <c r="E3707" s="5">
        <v>16</v>
      </c>
      <c r="F3707" s="5">
        <v>10</v>
      </c>
      <c r="G3707" s="12">
        <f>SUM($D$7:D3707)</f>
        <v>10661115.631000038</v>
      </c>
      <c r="H3707" s="11">
        <f t="shared" si="57"/>
        <v>0.99947791528126251</v>
      </c>
    </row>
    <row r="3708" spans="1:8" ht="15" customHeight="1" x14ac:dyDescent="0.25">
      <c r="A3708" s="5">
        <v>3702</v>
      </c>
      <c r="B3708" s="10" t="s">
        <v>7188</v>
      </c>
      <c r="C3708" s="10" t="s">
        <v>7189</v>
      </c>
      <c r="D3708" s="7">
        <v>26.49</v>
      </c>
      <c r="E3708" s="5">
        <v>5</v>
      </c>
      <c r="F3708" s="5">
        <v>3</v>
      </c>
      <c r="G3708" s="12">
        <f>SUM($D$7:D3708)</f>
        <v>10661142.121000038</v>
      </c>
      <c r="H3708" s="11">
        <f t="shared" si="57"/>
        <v>0.99948039871460037</v>
      </c>
    </row>
    <row r="3709" spans="1:8" ht="15" customHeight="1" x14ac:dyDescent="0.25">
      <c r="A3709" s="5">
        <v>3703</v>
      </c>
      <c r="B3709" s="10" t="s">
        <v>7190</v>
      </c>
      <c r="C3709" s="10" t="s">
        <v>7191</v>
      </c>
      <c r="D3709" s="7">
        <v>26.35</v>
      </c>
      <c r="E3709" s="5">
        <v>31</v>
      </c>
      <c r="F3709" s="5">
        <v>8</v>
      </c>
      <c r="G3709" s="12">
        <f>SUM($D$7:D3709)</f>
        <v>10661168.471000038</v>
      </c>
      <c r="H3709" s="11">
        <f t="shared" si="57"/>
        <v>0.99948286902296002</v>
      </c>
    </row>
    <row r="3710" spans="1:8" ht="15" customHeight="1" x14ac:dyDescent="0.25">
      <c r="A3710" s="5">
        <v>3704</v>
      </c>
      <c r="B3710" s="10" t="s">
        <v>7192</v>
      </c>
      <c r="C3710" s="10" t="s">
        <v>7193</v>
      </c>
      <c r="D3710" s="7">
        <v>26.25</v>
      </c>
      <c r="E3710" s="5">
        <v>7</v>
      </c>
      <c r="F3710" s="5">
        <v>3</v>
      </c>
      <c r="G3710" s="12">
        <f>SUM($D$7:D3710)</f>
        <v>10661194.721000038</v>
      </c>
      <c r="H3710" s="11">
        <f t="shared" si="57"/>
        <v>0.99948532995633554</v>
      </c>
    </row>
    <row r="3711" spans="1:8" ht="15" customHeight="1" x14ac:dyDescent="0.25">
      <c r="A3711" s="5">
        <v>3705</v>
      </c>
      <c r="B3711" s="10" t="s">
        <v>7194</v>
      </c>
      <c r="C3711" s="10" t="s">
        <v>7195</v>
      </c>
      <c r="D3711" s="7">
        <v>26.19</v>
      </c>
      <c r="E3711" s="5">
        <v>9</v>
      </c>
      <c r="F3711" s="5">
        <v>7</v>
      </c>
      <c r="G3711" s="12">
        <f>SUM($D$7:D3711)</f>
        <v>10661220.911000038</v>
      </c>
      <c r="H3711" s="11">
        <f t="shared" si="57"/>
        <v>0.99948778526472037</v>
      </c>
    </row>
    <row r="3712" spans="1:8" ht="15" customHeight="1" x14ac:dyDescent="0.25">
      <c r="A3712" s="5">
        <v>3706</v>
      </c>
      <c r="B3712" s="10" t="s">
        <v>7196</v>
      </c>
      <c r="C3712" s="10" t="s">
        <v>7197</v>
      </c>
      <c r="D3712" s="7">
        <v>26.15</v>
      </c>
      <c r="E3712" s="5">
        <v>9</v>
      </c>
      <c r="F3712" s="5">
        <v>9</v>
      </c>
      <c r="G3712" s="12">
        <f>SUM($D$7:D3712)</f>
        <v>10661247.061000038</v>
      </c>
      <c r="H3712" s="11">
        <f t="shared" si="57"/>
        <v>0.99949023682311156</v>
      </c>
    </row>
    <row r="3713" spans="1:8" ht="15" customHeight="1" x14ac:dyDescent="0.25">
      <c r="A3713" s="5">
        <v>3707</v>
      </c>
      <c r="B3713" s="10" t="s">
        <v>6769</v>
      </c>
      <c r="C3713" s="10" t="s">
        <v>7198</v>
      </c>
      <c r="D3713" s="7">
        <v>26.11</v>
      </c>
      <c r="E3713" s="5">
        <v>16</v>
      </c>
      <c r="F3713" s="5">
        <v>2</v>
      </c>
      <c r="G3713" s="12">
        <f>SUM($D$7:D3713)</f>
        <v>10661273.171000037</v>
      </c>
      <c r="H3713" s="11">
        <f t="shared" si="57"/>
        <v>0.99949268463150898</v>
      </c>
    </row>
    <row r="3714" spans="1:8" ht="15" customHeight="1" x14ac:dyDescent="0.25">
      <c r="A3714" s="5">
        <v>3708</v>
      </c>
      <c r="B3714" s="10" t="s">
        <v>7199</v>
      </c>
      <c r="C3714" s="10" t="s">
        <v>7200</v>
      </c>
      <c r="D3714" s="7">
        <v>25.81</v>
      </c>
      <c r="E3714" s="5">
        <v>11</v>
      </c>
      <c r="F3714" s="5">
        <v>6</v>
      </c>
      <c r="G3714" s="12">
        <f>SUM($D$7:D3714)</f>
        <v>10661298.981000038</v>
      </c>
      <c r="H3714" s="11">
        <f t="shared" si="57"/>
        <v>0.9994951043149537</v>
      </c>
    </row>
    <row r="3715" spans="1:8" ht="15" customHeight="1" x14ac:dyDescent="0.25">
      <c r="A3715" s="5">
        <v>3709</v>
      </c>
      <c r="B3715" s="10" t="s">
        <v>7201</v>
      </c>
      <c r="C3715" s="10" t="s">
        <v>7202</v>
      </c>
      <c r="D3715" s="7">
        <v>25.5</v>
      </c>
      <c r="E3715" s="5">
        <v>3</v>
      </c>
      <c r="F3715" s="5">
        <v>3</v>
      </c>
      <c r="G3715" s="12">
        <f>SUM($D$7:D3715)</f>
        <v>10661324.481000038</v>
      </c>
      <c r="H3715" s="11">
        <f t="shared" si="57"/>
        <v>0.99949749493594697</v>
      </c>
    </row>
    <row r="3716" spans="1:8" ht="15" customHeight="1" x14ac:dyDescent="0.25">
      <c r="A3716" s="5">
        <v>3710</v>
      </c>
      <c r="B3716" s="10" t="s">
        <v>7203</v>
      </c>
      <c r="C3716" s="10" t="s">
        <v>7204</v>
      </c>
      <c r="D3716" s="7">
        <v>25.5</v>
      </c>
      <c r="E3716" s="5">
        <v>2</v>
      </c>
      <c r="F3716" s="5">
        <v>2</v>
      </c>
      <c r="G3716" s="12">
        <f>SUM($D$7:D3716)</f>
        <v>10661349.981000038</v>
      </c>
      <c r="H3716" s="11">
        <f t="shared" si="57"/>
        <v>0.99949988555694036</v>
      </c>
    </row>
    <row r="3717" spans="1:8" ht="15" customHeight="1" x14ac:dyDescent="0.25">
      <c r="A3717" s="5">
        <v>3711</v>
      </c>
      <c r="B3717" s="10" t="s">
        <v>7205</v>
      </c>
      <c r="C3717" s="10" t="s">
        <v>2296</v>
      </c>
      <c r="D3717" s="7">
        <v>25.49</v>
      </c>
      <c r="E3717" s="5">
        <v>1</v>
      </c>
      <c r="F3717" s="5">
        <v>1</v>
      </c>
      <c r="G3717" s="12">
        <f>SUM($D$7:D3717)</f>
        <v>10661375.471000038</v>
      </c>
      <c r="H3717" s="11">
        <f t="shared" si="57"/>
        <v>0.99950227524043522</v>
      </c>
    </row>
    <row r="3718" spans="1:8" ht="15" customHeight="1" x14ac:dyDescent="0.25">
      <c r="A3718" s="5">
        <v>3712</v>
      </c>
      <c r="B3718" s="10" t="s">
        <v>7206</v>
      </c>
      <c r="C3718" s="10" t="s">
        <v>7207</v>
      </c>
      <c r="D3718" s="7">
        <v>25.35</v>
      </c>
      <c r="E3718" s="5">
        <v>13</v>
      </c>
      <c r="F3718" s="5">
        <v>3</v>
      </c>
      <c r="G3718" s="12">
        <f>SUM($D$7:D3718)</f>
        <v>10661400.821000038</v>
      </c>
      <c r="H3718" s="11">
        <f t="shared" si="57"/>
        <v>0.99950465179895209</v>
      </c>
    </row>
    <row r="3719" spans="1:8" ht="15" customHeight="1" x14ac:dyDescent="0.25">
      <c r="A3719" s="5">
        <v>3713</v>
      </c>
      <c r="B3719" s="10" t="s">
        <v>7208</v>
      </c>
      <c r="C3719" s="10" t="s">
        <v>7209</v>
      </c>
      <c r="D3719" s="7">
        <v>25.32</v>
      </c>
      <c r="E3719" s="5">
        <v>3</v>
      </c>
      <c r="F3719" s="5">
        <v>3</v>
      </c>
      <c r="G3719" s="12">
        <f>SUM($D$7:D3719)</f>
        <v>10661426.141000038</v>
      </c>
      <c r="H3719" s="11">
        <f t="shared" ref="H3719:H3782" si="58">G3719/SUM($D$7:$D$4167)</f>
        <v>0.99950702554497373</v>
      </c>
    </row>
    <row r="3720" spans="1:8" ht="15" customHeight="1" x14ac:dyDescent="0.25">
      <c r="A3720" s="5">
        <v>3714</v>
      </c>
      <c r="B3720" s="10" t="s">
        <v>7210</v>
      </c>
      <c r="C3720" s="10" t="s">
        <v>7211</v>
      </c>
      <c r="D3720" s="7">
        <v>25.28</v>
      </c>
      <c r="E3720" s="5">
        <v>10</v>
      </c>
      <c r="F3720" s="5">
        <v>5</v>
      </c>
      <c r="G3720" s="12">
        <f>SUM($D$7:D3720)</f>
        <v>10661451.421000037</v>
      </c>
      <c r="H3720" s="11">
        <f t="shared" si="58"/>
        <v>0.99950939554100149</v>
      </c>
    </row>
    <row r="3721" spans="1:8" ht="15" customHeight="1" x14ac:dyDescent="0.25">
      <c r="A3721" s="5">
        <v>3715</v>
      </c>
      <c r="B3721" s="10" t="s">
        <v>7212</v>
      </c>
      <c r="C3721" s="10" t="s">
        <v>7213</v>
      </c>
      <c r="D3721" s="7">
        <v>25.17</v>
      </c>
      <c r="E3721" s="5">
        <v>6</v>
      </c>
      <c r="F3721" s="5">
        <v>3</v>
      </c>
      <c r="G3721" s="12">
        <f>SUM($D$7:D3721)</f>
        <v>10661476.591000037</v>
      </c>
      <c r="H3721" s="11">
        <f t="shared" si="58"/>
        <v>0.99951175522454672</v>
      </c>
    </row>
    <row r="3722" spans="1:8" ht="15" customHeight="1" x14ac:dyDescent="0.25">
      <c r="A3722" s="5">
        <v>3716</v>
      </c>
      <c r="B3722" s="10" t="s">
        <v>7214</v>
      </c>
      <c r="C3722" s="10" t="s">
        <v>7215</v>
      </c>
      <c r="D3722" s="7">
        <v>25.13</v>
      </c>
      <c r="E3722" s="5">
        <v>10</v>
      </c>
      <c r="F3722" s="5">
        <v>7</v>
      </c>
      <c r="G3722" s="12">
        <f>SUM($D$7:D3722)</f>
        <v>10661501.721000038</v>
      </c>
      <c r="H3722" s="11">
        <f t="shared" si="58"/>
        <v>0.99951411115809818</v>
      </c>
    </row>
    <row r="3723" spans="1:8" ht="15" customHeight="1" x14ac:dyDescent="0.25">
      <c r="A3723" s="5">
        <v>3717</v>
      </c>
      <c r="B3723" s="10" t="s">
        <v>7216</v>
      </c>
      <c r="C3723" s="10" t="s">
        <v>4792</v>
      </c>
      <c r="D3723" s="7">
        <v>25.1</v>
      </c>
      <c r="E3723" s="5">
        <v>10</v>
      </c>
      <c r="F3723" s="5">
        <v>6</v>
      </c>
      <c r="G3723" s="12">
        <f>SUM($D$7:D3723)</f>
        <v>10661526.821000038</v>
      </c>
      <c r="H3723" s="11">
        <f t="shared" si="58"/>
        <v>0.99951646427915442</v>
      </c>
    </row>
    <row r="3724" spans="1:8" ht="15" customHeight="1" x14ac:dyDescent="0.25">
      <c r="A3724" s="5">
        <v>3718</v>
      </c>
      <c r="B3724" s="10" t="s">
        <v>7217</v>
      </c>
      <c r="C3724" s="10" t="s">
        <v>7218</v>
      </c>
      <c r="D3724" s="7">
        <v>25.07</v>
      </c>
      <c r="E3724" s="5">
        <v>10</v>
      </c>
      <c r="F3724" s="5">
        <v>9</v>
      </c>
      <c r="G3724" s="12">
        <f>SUM($D$7:D3724)</f>
        <v>10661551.891000038</v>
      </c>
      <c r="H3724" s="11">
        <f t="shared" si="58"/>
        <v>0.9995188145877153</v>
      </c>
    </row>
    <row r="3725" spans="1:8" ht="15" customHeight="1" x14ac:dyDescent="0.25">
      <c r="A3725" s="5">
        <v>3719</v>
      </c>
      <c r="B3725" s="10" t="s">
        <v>2820</v>
      </c>
      <c r="C3725" s="10" t="s">
        <v>7219</v>
      </c>
      <c r="D3725" s="7">
        <v>25</v>
      </c>
      <c r="E3725" s="5">
        <v>2</v>
      </c>
      <c r="F3725" s="5">
        <v>1</v>
      </c>
      <c r="G3725" s="12">
        <f>SUM($D$7:D3725)</f>
        <v>10661576.891000038</v>
      </c>
      <c r="H3725" s="11">
        <f t="shared" si="58"/>
        <v>0.99952115833378719</v>
      </c>
    </row>
    <row r="3726" spans="1:8" ht="15" customHeight="1" x14ac:dyDescent="0.25">
      <c r="A3726" s="5">
        <v>3720</v>
      </c>
      <c r="B3726" s="10" t="s">
        <v>5158</v>
      </c>
      <c r="C3726" s="10" t="s">
        <v>7220</v>
      </c>
      <c r="D3726" s="7">
        <v>24.98</v>
      </c>
      <c r="E3726" s="5">
        <v>39</v>
      </c>
      <c r="F3726" s="5">
        <v>13</v>
      </c>
      <c r="G3726" s="12">
        <f>SUM($D$7:D3726)</f>
        <v>10661601.871000038</v>
      </c>
      <c r="H3726" s="11">
        <f t="shared" si="58"/>
        <v>0.99952350020486225</v>
      </c>
    </row>
    <row r="3727" spans="1:8" ht="15" customHeight="1" x14ac:dyDescent="0.25">
      <c r="A3727" s="5">
        <v>3721</v>
      </c>
      <c r="B3727" s="10" t="s">
        <v>2476</v>
      </c>
      <c r="C3727" s="10" t="s">
        <v>7221</v>
      </c>
      <c r="D3727" s="7">
        <v>24.96</v>
      </c>
      <c r="E3727" s="5">
        <v>12</v>
      </c>
      <c r="F3727" s="5">
        <v>1</v>
      </c>
      <c r="G3727" s="12">
        <f>SUM($D$7:D3727)</f>
        <v>10661626.831000039</v>
      </c>
      <c r="H3727" s="11">
        <f t="shared" si="58"/>
        <v>0.99952584020094049</v>
      </c>
    </row>
    <row r="3728" spans="1:8" ht="15" customHeight="1" x14ac:dyDescent="0.25">
      <c r="A3728" s="5">
        <v>3722</v>
      </c>
      <c r="B3728" s="10" t="s">
        <v>7222</v>
      </c>
      <c r="C3728" s="10" t="s">
        <v>7223</v>
      </c>
      <c r="D3728" s="7">
        <v>24.96</v>
      </c>
      <c r="E3728" s="5">
        <v>3</v>
      </c>
      <c r="F3728" s="5">
        <v>3</v>
      </c>
      <c r="G3728" s="12">
        <f>SUM($D$7:D3728)</f>
        <v>10661651.79100004</v>
      </c>
      <c r="H3728" s="11">
        <f t="shared" si="58"/>
        <v>0.99952818019701872</v>
      </c>
    </row>
    <row r="3729" spans="1:8" ht="15" customHeight="1" x14ac:dyDescent="0.25">
      <c r="A3729" s="5">
        <v>3723</v>
      </c>
      <c r="B3729" s="10" t="s">
        <v>7224</v>
      </c>
      <c r="C3729" s="10" t="s">
        <v>7225</v>
      </c>
      <c r="D3729" s="7">
        <v>24.9</v>
      </c>
      <c r="E3729" s="5">
        <v>10</v>
      </c>
      <c r="F3729" s="5">
        <v>7</v>
      </c>
      <c r="G3729" s="12">
        <f>SUM($D$7:D3729)</f>
        <v>10661676.691000041</v>
      </c>
      <c r="H3729" s="11">
        <f t="shared" si="58"/>
        <v>0.99953051456810638</v>
      </c>
    </row>
    <row r="3730" spans="1:8" ht="15" customHeight="1" x14ac:dyDescent="0.25">
      <c r="A3730" s="5">
        <v>3724</v>
      </c>
      <c r="B3730" s="10" t="s">
        <v>542</v>
      </c>
      <c r="C3730" s="10" t="s">
        <v>7226</v>
      </c>
      <c r="D3730" s="7">
        <v>24.9</v>
      </c>
      <c r="E3730" s="5">
        <v>6</v>
      </c>
      <c r="F3730" s="5">
        <v>1</v>
      </c>
      <c r="G3730" s="12">
        <f>SUM($D$7:D3730)</f>
        <v>10661701.591000041</v>
      </c>
      <c r="H3730" s="11">
        <f t="shared" si="58"/>
        <v>0.99953284893919403</v>
      </c>
    </row>
    <row r="3731" spans="1:8" ht="15" customHeight="1" x14ac:dyDescent="0.25">
      <c r="A3731" s="5">
        <v>3725</v>
      </c>
      <c r="B3731" s="10" t="s">
        <v>7227</v>
      </c>
      <c r="C3731" s="10" t="s">
        <v>7228</v>
      </c>
      <c r="D3731" s="7">
        <v>24.87</v>
      </c>
      <c r="E3731" s="5">
        <v>3</v>
      </c>
      <c r="F3731" s="5">
        <v>1</v>
      </c>
      <c r="G3731" s="12">
        <f>SUM($D$7:D3731)</f>
        <v>10661726.46100004</v>
      </c>
      <c r="H3731" s="11">
        <f t="shared" si="58"/>
        <v>0.99953518049778622</v>
      </c>
    </row>
    <row r="3732" spans="1:8" ht="15" customHeight="1" x14ac:dyDescent="0.25">
      <c r="A3732" s="5">
        <v>3726</v>
      </c>
      <c r="B3732" s="10" t="s">
        <v>7229</v>
      </c>
      <c r="C3732" s="10" t="s">
        <v>1455</v>
      </c>
      <c r="D3732" s="7">
        <v>24.87</v>
      </c>
      <c r="E3732" s="5">
        <v>3</v>
      </c>
      <c r="F3732" s="5">
        <v>3</v>
      </c>
      <c r="G3732" s="12">
        <f>SUM($D$7:D3732)</f>
        <v>10661751.331000039</v>
      </c>
      <c r="H3732" s="11">
        <f t="shared" si="58"/>
        <v>0.99953751205637842</v>
      </c>
    </row>
    <row r="3733" spans="1:8" ht="15" customHeight="1" x14ac:dyDescent="0.25">
      <c r="A3733" s="5">
        <v>3727</v>
      </c>
      <c r="B3733" s="10" t="s">
        <v>7230</v>
      </c>
      <c r="C3733" s="10" t="s">
        <v>2379</v>
      </c>
      <c r="D3733" s="7">
        <v>24.87</v>
      </c>
      <c r="E3733" s="5">
        <v>3</v>
      </c>
      <c r="F3733" s="5">
        <v>3</v>
      </c>
      <c r="G3733" s="12">
        <f>SUM($D$7:D3733)</f>
        <v>10661776.201000039</v>
      </c>
      <c r="H3733" s="11">
        <f t="shared" si="58"/>
        <v>0.99953984361497072</v>
      </c>
    </row>
    <row r="3734" spans="1:8" ht="15" customHeight="1" x14ac:dyDescent="0.25">
      <c r="A3734" s="5">
        <v>3728</v>
      </c>
      <c r="B3734" s="10" t="s">
        <v>7231</v>
      </c>
      <c r="C3734" s="10" t="s">
        <v>3497</v>
      </c>
      <c r="D3734" s="7">
        <v>24.87</v>
      </c>
      <c r="E3734" s="5">
        <v>3</v>
      </c>
      <c r="F3734" s="5">
        <v>3</v>
      </c>
      <c r="G3734" s="12">
        <f>SUM($D$7:D3734)</f>
        <v>10661801.071000038</v>
      </c>
      <c r="H3734" s="11">
        <f t="shared" si="58"/>
        <v>0.99954217517356292</v>
      </c>
    </row>
    <row r="3735" spans="1:8" ht="15" customHeight="1" x14ac:dyDescent="0.25">
      <c r="A3735" s="5">
        <v>3729</v>
      </c>
      <c r="B3735" s="10" t="s">
        <v>7232</v>
      </c>
      <c r="C3735" s="10" t="s">
        <v>7233</v>
      </c>
      <c r="D3735" s="7">
        <v>24.81</v>
      </c>
      <c r="E3735" s="5">
        <v>4</v>
      </c>
      <c r="F3735" s="5">
        <v>2</v>
      </c>
      <c r="G3735" s="12">
        <f>SUM($D$7:D3735)</f>
        <v>10661825.881000038</v>
      </c>
      <c r="H3735" s="11">
        <f t="shared" si="58"/>
        <v>0.99954450110716464</v>
      </c>
    </row>
    <row r="3736" spans="1:8" ht="15" customHeight="1" x14ac:dyDescent="0.25">
      <c r="A3736" s="5">
        <v>3730</v>
      </c>
      <c r="B3736" s="10" t="s">
        <v>7234</v>
      </c>
      <c r="C3736" s="10" t="s">
        <v>7235</v>
      </c>
      <c r="D3736" s="7">
        <v>24.79</v>
      </c>
      <c r="E3736" s="5">
        <v>15</v>
      </c>
      <c r="F3736" s="5">
        <v>10</v>
      </c>
      <c r="G3736" s="12">
        <f>SUM($D$7:D3736)</f>
        <v>10661850.671000037</v>
      </c>
      <c r="H3736" s="11">
        <f t="shared" si="58"/>
        <v>0.99954682516576954</v>
      </c>
    </row>
    <row r="3737" spans="1:8" ht="15" customHeight="1" x14ac:dyDescent="0.25">
      <c r="A3737" s="5">
        <v>3731</v>
      </c>
      <c r="B3737" s="10" t="s">
        <v>7236</v>
      </c>
      <c r="C3737" s="10" t="s">
        <v>7237</v>
      </c>
      <c r="D3737" s="7">
        <v>24.77</v>
      </c>
      <c r="E3737" s="5">
        <v>37</v>
      </c>
      <c r="F3737" s="5">
        <v>22</v>
      </c>
      <c r="G3737" s="12">
        <f>SUM($D$7:D3737)</f>
        <v>10661875.441000037</v>
      </c>
      <c r="H3737" s="11">
        <f t="shared" si="58"/>
        <v>0.9995491473493775</v>
      </c>
    </row>
    <row r="3738" spans="1:8" ht="15" customHeight="1" x14ac:dyDescent="0.25">
      <c r="A3738" s="5">
        <v>3732</v>
      </c>
      <c r="B3738" s="10" t="s">
        <v>7238</v>
      </c>
      <c r="C3738" s="10" t="s">
        <v>7239</v>
      </c>
      <c r="D3738" s="7">
        <v>24.75</v>
      </c>
      <c r="E3738" s="5">
        <v>5</v>
      </c>
      <c r="F3738" s="5">
        <v>1</v>
      </c>
      <c r="G3738" s="12">
        <f>SUM($D$7:D3738)</f>
        <v>10661900.191000037</v>
      </c>
      <c r="H3738" s="11">
        <f t="shared" si="58"/>
        <v>0.99955146765798863</v>
      </c>
    </row>
    <row r="3739" spans="1:8" ht="15" customHeight="1" x14ac:dyDescent="0.25">
      <c r="A3739" s="5">
        <v>3733</v>
      </c>
      <c r="B3739" s="10" t="s">
        <v>7240</v>
      </c>
      <c r="C3739" s="10" t="s">
        <v>7241</v>
      </c>
      <c r="D3739" s="7">
        <v>24.75</v>
      </c>
      <c r="E3739" s="5">
        <v>5</v>
      </c>
      <c r="F3739" s="5">
        <v>2</v>
      </c>
      <c r="G3739" s="12">
        <f>SUM($D$7:D3739)</f>
        <v>10661924.941000037</v>
      </c>
      <c r="H3739" s="11">
        <f t="shared" si="58"/>
        <v>0.99955378796659977</v>
      </c>
    </row>
    <row r="3740" spans="1:8" ht="15" customHeight="1" x14ac:dyDescent="0.25">
      <c r="A3740" s="5">
        <v>3734</v>
      </c>
      <c r="B3740" s="10" t="s">
        <v>7242</v>
      </c>
      <c r="C3740" s="10" t="s">
        <v>7243</v>
      </c>
      <c r="D3740" s="7">
        <v>24.75</v>
      </c>
      <c r="E3740" s="5">
        <v>5</v>
      </c>
      <c r="F3740" s="5">
        <v>2</v>
      </c>
      <c r="G3740" s="12">
        <f>SUM($D$7:D3740)</f>
        <v>10661949.691000037</v>
      </c>
      <c r="H3740" s="11">
        <f t="shared" si="58"/>
        <v>0.99955610827521091</v>
      </c>
    </row>
    <row r="3741" spans="1:8" ht="15" customHeight="1" x14ac:dyDescent="0.25">
      <c r="A3741" s="5">
        <v>3735</v>
      </c>
      <c r="B3741" s="10" t="s">
        <v>7244</v>
      </c>
      <c r="C3741" s="10" t="s">
        <v>7245</v>
      </c>
      <c r="D3741" s="7">
        <v>24.75</v>
      </c>
      <c r="E3741" s="5">
        <v>15</v>
      </c>
      <c r="F3741" s="5">
        <v>8</v>
      </c>
      <c r="G3741" s="12">
        <f>SUM($D$7:D3741)</f>
        <v>10661974.441000037</v>
      </c>
      <c r="H3741" s="11">
        <f t="shared" si="58"/>
        <v>0.99955842858382216</v>
      </c>
    </row>
    <row r="3742" spans="1:8" ht="15" customHeight="1" x14ac:dyDescent="0.25">
      <c r="A3742" s="5">
        <v>3736</v>
      </c>
      <c r="B3742" s="10" t="s">
        <v>7246</v>
      </c>
      <c r="C3742" s="10" t="s">
        <v>7247</v>
      </c>
      <c r="D3742" s="7">
        <v>24.36</v>
      </c>
      <c r="E3742" s="5">
        <v>58</v>
      </c>
      <c r="F3742" s="5">
        <v>18</v>
      </c>
      <c r="G3742" s="12">
        <f>SUM($D$7:D3742)</f>
        <v>10661998.801000036</v>
      </c>
      <c r="H3742" s="11">
        <f t="shared" si="58"/>
        <v>0.99956071232999455</v>
      </c>
    </row>
    <row r="3743" spans="1:8" ht="15" customHeight="1" x14ac:dyDescent="0.25">
      <c r="A3743" s="5">
        <v>3737</v>
      </c>
      <c r="B3743" s="10" t="s">
        <v>7248</v>
      </c>
      <c r="C3743" s="10" t="s">
        <v>7249</v>
      </c>
      <c r="D3743" s="7">
        <v>24.12</v>
      </c>
      <c r="E3743" s="5">
        <v>9</v>
      </c>
      <c r="F3743" s="5">
        <v>4</v>
      </c>
      <c r="G3743" s="12">
        <f>SUM($D$7:D3743)</f>
        <v>10662022.921000035</v>
      </c>
      <c r="H3743" s="11">
        <f t="shared" si="58"/>
        <v>0.99956297357620461</v>
      </c>
    </row>
    <row r="3744" spans="1:8" ht="15" customHeight="1" x14ac:dyDescent="0.25">
      <c r="A3744" s="5">
        <v>3738</v>
      </c>
      <c r="B3744" s="10" t="s">
        <v>7250</v>
      </c>
      <c r="C3744" s="10" t="s">
        <v>7251</v>
      </c>
      <c r="D3744" s="7">
        <v>23.85</v>
      </c>
      <c r="E3744" s="5">
        <v>3</v>
      </c>
      <c r="F3744" s="5">
        <v>3</v>
      </c>
      <c r="G3744" s="12">
        <f>SUM($D$7:D3744)</f>
        <v>10662046.771000035</v>
      </c>
      <c r="H3744" s="11">
        <f t="shared" si="58"/>
        <v>0.99956520950995709</v>
      </c>
    </row>
    <row r="3745" spans="1:8" ht="15" customHeight="1" x14ac:dyDescent="0.25">
      <c r="A3745" s="5">
        <v>3739</v>
      </c>
      <c r="B3745" s="10" t="s">
        <v>7252</v>
      </c>
      <c r="C3745" s="10" t="s">
        <v>7253</v>
      </c>
      <c r="D3745" s="7">
        <v>23.85</v>
      </c>
      <c r="E3745" s="5">
        <v>3</v>
      </c>
      <c r="F3745" s="5">
        <v>2</v>
      </c>
      <c r="G3745" s="12">
        <f>SUM($D$7:D3745)</f>
        <v>10662070.621000035</v>
      </c>
      <c r="H3745" s="11">
        <f t="shared" si="58"/>
        <v>0.99956744544370968</v>
      </c>
    </row>
    <row r="3746" spans="1:8" ht="15" customHeight="1" x14ac:dyDescent="0.25">
      <c r="A3746" s="5">
        <v>3740</v>
      </c>
      <c r="B3746" s="10" t="s">
        <v>7254</v>
      </c>
      <c r="C3746" s="10" t="s">
        <v>7255</v>
      </c>
      <c r="D3746" s="7">
        <v>23.75</v>
      </c>
      <c r="E3746" s="5">
        <v>19</v>
      </c>
      <c r="F3746" s="5">
        <v>10</v>
      </c>
      <c r="G3746" s="12">
        <f>SUM($D$7:D3746)</f>
        <v>10662094.371000035</v>
      </c>
      <c r="H3746" s="11">
        <f t="shared" si="58"/>
        <v>0.99956967200247793</v>
      </c>
    </row>
    <row r="3747" spans="1:8" ht="15" customHeight="1" x14ac:dyDescent="0.25">
      <c r="A3747" s="5">
        <v>3741</v>
      </c>
      <c r="B3747" s="10" t="s">
        <v>7256</v>
      </c>
      <c r="C3747" s="10" t="s">
        <v>7257</v>
      </c>
      <c r="D3747" s="7">
        <v>23.6</v>
      </c>
      <c r="E3747" s="5">
        <v>8</v>
      </c>
      <c r="F3747" s="5">
        <v>3</v>
      </c>
      <c r="G3747" s="12">
        <f>SUM($D$7:D3747)</f>
        <v>10662117.971000034</v>
      </c>
      <c r="H3747" s="11">
        <f t="shared" si="58"/>
        <v>0.99957188449876977</v>
      </c>
    </row>
    <row r="3748" spans="1:8" ht="15" customHeight="1" x14ac:dyDescent="0.25">
      <c r="A3748" s="5">
        <v>3742</v>
      </c>
      <c r="B3748" s="10" t="s">
        <v>7258</v>
      </c>
      <c r="C3748" s="10" t="s">
        <v>7207</v>
      </c>
      <c r="D3748" s="7">
        <v>23.6</v>
      </c>
      <c r="E3748" s="5">
        <v>8</v>
      </c>
      <c r="F3748" s="5">
        <v>2</v>
      </c>
      <c r="G3748" s="12">
        <f>SUM($D$7:D3748)</f>
        <v>10662141.571000034</v>
      </c>
      <c r="H3748" s="11">
        <f t="shared" si="58"/>
        <v>0.99957409699506161</v>
      </c>
    </row>
    <row r="3749" spans="1:8" ht="15" customHeight="1" x14ac:dyDescent="0.25">
      <c r="A3749" s="5">
        <v>3743</v>
      </c>
      <c r="B3749" s="10" t="s">
        <v>7259</v>
      </c>
      <c r="C3749" s="10" t="s">
        <v>7260</v>
      </c>
      <c r="D3749" s="7">
        <v>23.47</v>
      </c>
      <c r="E3749" s="5">
        <v>25</v>
      </c>
      <c r="F3749" s="5">
        <v>9</v>
      </c>
      <c r="G3749" s="12">
        <f>SUM($D$7:D3749)</f>
        <v>10662165.041000035</v>
      </c>
      <c r="H3749" s="11">
        <f t="shared" si="58"/>
        <v>0.99957629730387398</v>
      </c>
    </row>
    <row r="3750" spans="1:8" ht="15" customHeight="1" x14ac:dyDescent="0.25">
      <c r="A3750" s="5">
        <v>3744</v>
      </c>
      <c r="B3750" s="10" t="s">
        <v>2576</v>
      </c>
      <c r="C3750" s="10" t="s">
        <v>7261</v>
      </c>
      <c r="D3750" s="7">
        <v>23.4</v>
      </c>
      <c r="E3750" s="5">
        <v>12</v>
      </c>
      <c r="F3750" s="5">
        <v>2</v>
      </c>
      <c r="G3750" s="12">
        <f>SUM($D$7:D3750)</f>
        <v>10662188.441000035</v>
      </c>
      <c r="H3750" s="11">
        <f t="shared" si="58"/>
        <v>0.99957849105019725</v>
      </c>
    </row>
    <row r="3751" spans="1:8" ht="15" customHeight="1" x14ac:dyDescent="0.25">
      <c r="A3751" s="5">
        <v>3745</v>
      </c>
      <c r="B3751" s="10" t="s">
        <v>3448</v>
      </c>
      <c r="C3751" s="10" t="s">
        <v>7262</v>
      </c>
      <c r="D3751" s="7">
        <v>23.4</v>
      </c>
      <c r="E3751" s="5">
        <v>12</v>
      </c>
      <c r="F3751" s="5">
        <v>1</v>
      </c>
      <c r="G3751" s="12">
        <f>SUM($D$7:D3751)</f>
        <v>10662211.841000035</v>
      </c>
      <c r="H3751" s="11">
        <f t="shared" si="58"/>
        <v>0.99958068479652051</v>
      </c>
    </row>
    <row r="3752" spans="1:8" ht="15" customHeight="1" x14ac:dyDescent="0.25">
      <c r="A3752" s="5">
        <v>3746</v>
      </c>
      <c r="B3752" s="10" t="s">
        <v>7263</v>
      </c>
      <c r="C3752" s="10" t="s">
        <v>7264</v>
      </c>
      <c r="D3752" s="7">
        <v>23.32</v>
      </c>
      <c r="E3752" s="5">
        <v>3</v>
      </c>
      <c r="F3752" s="5">
        <v>2</v>
      </c>
      <c r="G3752" s="12">
        <f>SUM($D$7:D3752)</f>
        <v>10662235.161000036</v>
      </c>
      <c r="H3752" s="11">
        <f t="shared" si="58"/>
        <v>0.99958287104285648</v>
      </c>
    </row>
    <row r="3753" spans="1:8" ht="15" customHeight="1" x14ac:dyDescent="0.25">
      <c r="A3753" s="5">
        <v>3747</v>
      </c>
      <c r="B3753" s="10" t="s">
        <v>7265</v>
      </c>
      <c r="C3753" s="10" t="s">
        <v>7266</v>
      </c>
      <c r="D3753" s="7">
        <v>23.28</v>
      </c>
      <c r="E3753" s="5">
        <v>8</v>
      </c>
      <c r="F3753" s="5">
        <v>6</v>
      </c>
      <c r="G3753" s="12">
        <f>SUM($D$7:D3753)</f>
        <v>10662258.441000035</v>
      </c>
      <c r="H3753" s="11">
        <f t="shared" si="58"/>
        <v>0.99958505353919846</v>
      </c>
    </row>
    <row r="3754" spans="1:8" ht="15" customHeight="1" x14ac:dyDescent="0.25">
      <c r="A3754" s="5">
        <v>3748</v>
      </c>
      <c r="B3754" s="10" t="s">
        <v>7267</v>
      </c>
      <c r="C3754" s="10" t="s">
        <v>7268</v>
      </c>
      <c r="D3754" s="7">
        <v>23.2</v>
      </c>
      <c r="E3754" s="5">
        <v>8</v>
      </c>
      <c r="F3754" s="5">
        <v>8</v>
      </c>
      <c r="G3754" s="12">
        <f>SUM($D$7:D3754)</f>
        <v>10662281.641000034</v>
      </c>
      <c r="H3754" s="11">
        <f t="shared" si="58"/>
        <v>0.99958722853555315</v>
      </c>
    </row>
    <row r="3755" spans="1:8" ht="15" customHeight="1" x14ac:dyDescent="0.25">
      <c r="A3755" s="5">
        <v>3749</v>
      </c>
      <c r="B3755" s="10" t="s">
        <v>7269</v>
      </c>
      <c r="C3755" s="10" t="s">
        <v>7270</v>
      </c>
      <c r="D3755" s="7">
        <v>23.16</v>
      </c>
      <c r="E3755" s="5">
        <v>28</v>
      </c>
      <c r="F3755" s="5">
        <v>12</v>
      </c>
      <c r="G3755" s="12">
        <f>SUM($D$7:D3755)</f>
        <v>10662304.801000034</v>
      </c>
      <c r="H3755" s="11">
        <f t="shared" si="58"/>
        <v>0.99958939978191419</v>
      </c>
    </row>
    <row r="3756" spans="1:8" ht="15" customHeight="1" x14ac:dyDescent="0.25">
      <c r="A3756" s="5">
        <v>3750</v>
      </c>
      <c r="B3756" s="10" t="s">
        <v>1385</v>
      </c>
      <c r="C3756" s="10" t="s">
        <v>7271</v>
      </c>
      <c r="D3756" s="7">
        <v>23.13</v>
      </c>
      <c r="E3756" s="5">
        <v>7</v>
      </c>
      <c r="F3756" s="5">
        <v>2</v>
      </c>
      <c r="G3756" s="12">
        <f>SUM($D$7:D3756)</f>
        <v>10662327.931000035</v>
      </c>
      <c r="H3756" s="11">
        <f t="shared" si="58"/>
        <v>0.99959156821577999</v>
      </c>
    </row>
    <row r="3757" spans="1:8" ht="15" customHeight="1" x14ac:dyDescent="0.25">
      <c r="A3757" s="5">
        <v>3751</v>
      </c>
      <c r="B3757" s="10" t="s">
        <v>3716</v>
      </c>
      <c r="C3757" s="10" t="s">
        <v>7272</v>
      </c>
      <c r="D3757" s="7">
        <v>23.12</v>
      </c>
      <c r="E3757" s="5">
        <v>8</v>
      </c>
      <c r="F3757" s="5">
        <v>1</v>
      </c>
      <c r="G3757" s="12">
        <f>SUM($D$7:D3757)</f>
        <v>10662351.051000034</v>
      </c>
      <c r="H3757" s="11">
        <f t="shared" si="58"/>
        <v>0.99959373571214716</v>
      </c>
    </row>
    <row r="3758" spans="1:8" ht="15" customHeight="1" x14ac:dyDescent="0.25">
      <c r="A3758" s="5">
        <v>3752</v>
      </c>
      <c r="B3758" s="10" t="s">
        <v>7273</v>
      </c>
      <c r="C3758" s="10" t="s">
        <v>7274</v>
      </c>
      <c r="D3758" s="7">
        <v>23.1</v>
      </c>
      <c r="E3758" s="5">
        <v>11</v>
      </c>
      <c r="F3758" s="5">
        <v>3</v>
      </c>
      <c r="G3758" s="12">
        <f>SUM($D$7:D3758)</f>
        <v>10662374.151000034</v>
      </c>
      <c r="H3758" s="11">
        <f t="shared" si="58"/>
        <v>0.9995959013335175</v>
      </c>
    </row>
    <row r="3759" spans="1:8" ht="15" customHeight="1" x14ac:dyDescent="0.25">
      <c r="A3759" s="5">
        <v>3753</v>
      </c>
      <c r="B3759" s="10" t="s">
        <v>7275</v>
      </c>
      <c r="C3759" s="10" t="s">
        <v>7276</v>
      </c>
      <c r="D3759" s="7">
        <v>23.1</v>
      </c>
      <c r="E3759" s="5">
        <v>14</v>
      </c>
      <c r="F3759" s="5">
        <v>4</v>
      </c>
      <c r="G3759" s="12">
        <f>SUM($D$7:D3759)</f>
        <v>10662397.251000034</v>
      </c>
      <c r="H3759" s="11">
        <f t="shared" si="58"/>
        <v>0.99959806695488795</v>
      </c>
    </row>
    <row r="3760" spans="1:8" ht="15" customHeight="1" x14ac:dyDescent="0.25">
      <c r="A3760" s="5">
        <v>3754</v>
      </c>
      <c r="B3760" s="10" t="s">
        <v>7277</v>
      </c>
      <c r="C3760" s="10" t="s">
        <v>7278</v>
      </c>
      <c r="D3760" s="7">
        <v>23.09</v>
      </c>
      <c r="E3760" s="5">
        <v>13</v>
      </c>
      <c r="F3760" s="5">
        <v>2</v>
      </c>
      <c r="G3760" s="12">
        <f>SUM($D$7:D3760)</f>
        <v>10662420.341000034</v>
      </c>
      <c r="H3760" s="11">
        <f t="shared" si="58"/>
        <v>0.99960023163875988</v>
      </c>
    </row>
    <row r="3761" spans="1:8" ht="15" customHeight="1" x14ac:dyDescent="0.25">
      <c r="A3761" s="5">
        <v>3755</v>
      </c>
      <c r="B3761" s="10" t="s">
        <v>7279</v>
      </c>
      <c r="C3761" s="10" t="s">
        <v>7280</v>
      </c>
      <c r="D3761" s="7">
        <v>22.84</v>
      </c>
      <c r="E3761" s="5">
        <v>66</v>
      </c>
      <c r="F3761" s="5">
        <v>8</v>
      </c>
      <c r="G3761" s="12">
        <f>SUM($D$7:D3761)</f>
        <v>10662443.181000033</v>
      </c>
      <c r="H3761" s="11">
        <f t="shared" si="58"/>
        <v>0.99960237288517118</v>
      </c>
    </row>
    <row r="3762" spans="1:8" ht="15" customHeight="1" x14ac:dyDescent="0.25">
      <c r="A3762" s="5">
        <v>3756</v>
      </c>
      <c r="B3762" s="10" t="s">
        <v>2260</v>
      </c>
      <c r="C3762" s="10" t="s">
        <v>7281</v>
      </c>
      <c r="D3762" s="7">
        <v>22.8</v>
      </c>
      <c r="E3762" s="5">
        <v>24</v>
      </c>
      <c r="F3762" s="5">
        <v>2</v>
      </c>
      <c r="G3762" s="12">
        <f>SUM($D$7:D3762)</f>
        <v>10662465.981000034</v>
      </c>
      <c r="H3762" s="11">
        <f t="shared" si="58"/>
        <v>0.99960451038158871</v>
      </c>
    </row>
    <row r="3763" spans="1:8" ht="15" customHeight="1" x14ac:dyDescent="0.25">
      <c r="A3763" s="5">
        <v>3757</v>
      </c>
      <c r="B3763" s="10" t="s">
        <v>7282</v>
      </c>
      <c r="C3763" s="10" t="s">
        <v>7283</v>
      </c>
      <c r="D3763" s="7">
        <v>22.58</v>
      </c>
      <c r="E3763" s="5">
        <v>9</v>
      </c>
      <c r="F3763" s="5">
        <v>9</v>
      </c>
      <c r="G3763" s="12">
        <f>SUM($D$7:D3763)</f>
        <v>10662488.561000034</v>
      </c>
      <c r="H3763" s="11">
        <f t="shared" si="58"/>
        <v>0.99960662725304095</v>
      </c>
    </row>
    <row r="3764" spans="1:8" ht="15" customHeight="1" x14ac:dyDescent="0.25">
      <c r="A3764" s="5">
        <v>3758</v>
      </c>
      <c r="B3764" s="10" t="s">
        <v>7284</v>
      </c>
      <c r="C3764" s="10" t="s">
        <v>7285</v>
      </c>
      <c r="D3764" s="7">
        <v>22.48</v>
      </c>
      <c r="E3764" s="5">
        <v>3</v>
      </c>
      <c r="F3764" s="5">
        <v>2</v>
      </c>
      <c r="G3764" s="12">
        <f>SUM($D$7:D3764)</f>
        <v>10662511.041000035</v>
      </c>
      <c r="H3764" s="11">
        <f t="shared" si="58"/>
        <v>0.99960873474950873</v>
      </c>
    </row>
    <row r="3765" spans="1:8" ht="15" customHeight="1" x14ac:dyDescent="0.25">
      <c r="A3765" s="5">
        <v>3759</v>
      </c>
      <c r="B3765" s="10" t="s">
        <v>7286</v>
      </c>
      <c r="C3765" s="10" t="s">
        <v>7287</v>
      </c>
      <c r="D3765" s="7">
        <v>22.48</v>
      </c>
      <c r="E3765" s="5">
        <v>6</v>
      </c>
      <c r="F3765" s="5">
        <v>6</v>
      </c>
      <c r="G3765" s="12">
        <f>SUM($D$7:D3765)</f>
        <v>10662533.521000035</v>
      </c>
      <c r="H3765" s="11">
        <f t="shared" si="58"/>
        <v>0.99961084224597663</v>
      </c>
    </row>
    <row r="3766" spans="1:8" ht="15" customHeight="1" x14ac:dyDescent="0.25">
      <c r="A3766" s="5">
        <v>3760</v>
      </c>
      <c r="B3766" s="10" t="s">
        <v>7288</v>
      </c>
      <c r="C3766" s="10" t="s">
        <v>7289</v>
      </c>
      <c r="D3766" s="7">
        <v>22.41</v>
      </c>
      <c r="E3766" s="5">
        <v>9</v>
      </c>
      <c r="F3766" s="5">
        <v>4</v>
      </c>
      <c r="G3766" s="12">
        <f>SUM($D$7:D3766)</f>
        <v>10662555.931000035</v>
      </c>
      <c r="H3766" s="11">
        <f t="shared" si="58"/>
        <v>0.99961294317995553</v>
      </c>
    </row>
    <row r="3767" spans="1:8" ht="15" customHeight="1" x14ac:dyDescent="0.25">
      <c r="A3767" s="5">
        <v>3761</v>
      </c>
      <c r="B3767" s="10" t="s">
        <v>7290</v>
      </c>
      <c r="C3767" s="10" t="s">
        <v>7291</v>
      </c>
      <c r="D3767" s="7">
        <v>22.41</v>
      </c>
      <c r="E3767" s="5">
        <v>9</v>
      </c>
      <c r="F3767" s="5">
        <v>8</v>
      </c>
      <c r="G3767" s="12">
        <f>SUM($D$7:D3767)</f>
        <v>10662578.341000035</v>
      </c>
      <c r="H3767" s="11">
        <f t="shared" si="58"/>
        <v>0.99961504411393431</v>
      </c>
    </row>
    <row r="3768" spans="1:8" ht="15" customHeight="1" x14ac:dyDescent="0.25">
      <c r="A3768" s="5">
        <v>3762</v>
      </c>
      <c r="B3768" s="10" t="s">
        <v>7292</v>
      </c>
      <c r="C3768" s="10" t="s">
        <v>7293</v>
      </c>
      <c r="D3768" s="7">
        <v>22.06</v>
      </c>
      <c r="E3768" s="5">
        <v>24</v>
      </c>
      <c r="F3768" s="5">
        <v>6</v>
      </c>
      <c r="G3768" s="12">
        <f>SUM($D$7:D3768)</f>
        <v>10662600.401000036</v>
      </c>
      <c r="H3768" s="11">
        <f t="shared" si="58"/>
        <v>0.99961711223546823</v>
      </c>
    </row>
    <row r="3769" spans="1:8" ht="15" customHeight="1" x14ac:dyDescent="0.25">
      <c r="A3769" s="5">
        <v>3763</v>
      </c>
      <c r="B3769" s="10" t="s">
        <v>7294</v>
      </c>
      <c r="C3769" s="10" t="s">
        <v>7295</v>
      </c>
      <c r="D3769" s="7">
        <v>21.5</v>
      </c>
      <c r="E3769" s="5">
        <v>2</v>
      </c>
      <c r="F3769" s="5">
        <v>1</v>
      </c>
      <c r="G3769" s="12">
        <f>SUM($D$7:D3769)</f>
        <v>10662621.901000036</v>
      </c>
      <c r="H3769" s="11">
        <f t="shared" si="58"/>
        <v>0.99961912785709006</v>
      </c>
    </row>
    <row r="3770" spans="1:8" ht="15" customHeight="1" x14ac:dyDescent="0.25">
      <c r="A3770" s="5">
        <v>3764</v>
      </c>
      <c r="B3770" s="10" t="s">
        <v>7296</v>
      </c>
      <c r="C3770" s="10" t="s">
        <v>7297</v>
      </c>
      <c r="D3770" s="7">
        <v>21.45</v>
      </c>
      <c r="E3770" s="5">
        <v>11</v>
      </c>
      <c r="F3770" s="5">
        <v>1</v>
      </c>
      <c r="G3770" s="12">
        <f>SUM($D$7:D3770)</f>
        <v>10662643.351000035</v>
      </c>
      <c r="H3770" s="11">
        <f t="shared" si="58"/>
        <v>0.99962113879121961</v>
      </c>
    </row>
    <row r="3771" spans="1:8" ht="15" customHeight="1" x14ac:dyDescent="0.25">
      <c r="A3771" s="5">
        <v>3765</v>
      </c>
      <c r="B3771" s="10" t="s">
        <v>7298</v>
      </c>
      <c r="C3771" s="10" t="s">
        <v>7299</v>
      </c>
      <c r="D3771" s="7">
        <v>21.45</v>
      </c>
      <c r="E3771" s="5">
        <v>13</v>
      </c>
      <c r="F3771" s="5">
        <v>2</v>
      </c>
      <c r="G3771" s="12">
        <f>SUM($D$7:D3771)</f>
        <v>10662664.801000034</v>
      </c>
      <c r="H3771" s="11">
        <f t="shared" si="58"/>
        <v>0.99962314972534927</v>
      </c>
    </row>
    <row r="3772" spans="1:8" ht="15" customHeight="1" x14ac:dyDescent="0.25">
      <c r="A3772" s="5">
        <v>3766</v>
      </c>
      <c r="B3772" s="10" t="s">
        <v>7300</v>
      </c>
      <c r="C3772" s="10" t="s">
        <v>7301</v>
      </c>
      <c r="D3772" s="7">
        <v>21.25</v>
      </c>
      <c r="E3772" s="5">
        <v>5</v>
      </c>
      <c r="F3772" s="5">
        <v>4</v>
      </c>
      <c r="G3772" s="12">
        <f>SUM($D$7:D3772)</f>
        <v>10662686.051000034</v>
      </c>
      <c r="H3772" s="11">
        <f t="shared" si="58"/>
        <v>0.99962514190951035</v>
      </c>
    </row>
    <row r="3773" spans="1:8" ht="15" customHeight="1" x14ac:dyDescent="0.25">
      <c r="A3773" s="5">
        <v>3767</v>
      </c>
      <c r="B3773" s="10" t="s">
        <v>7302</v>
      </c>
      <c r="C3773" s="10" t="s">
        <v>7303</v>
      </c>
      <c r="D3773" s="7">
        <v>21.15</v>
      </c>
      <c r="E3773" s="5">
        <v>5</v>
      </c>
      <c r="F3773" s="5">
        <v>3</v>
      </c>
      <c r="G3773" s="12">
        <f>SUM($D$7:D3773)</f>
        <v>10662707.201000035</v>
      </c>
      <c r="H3773" s="11">
        <f t="shared" si="58"/>
        <v>0.9996271247186872</v>
      </c>
    </row>
    <row r="3774" spans="1:8" ht="15" customHeight="1" x14ac:dyDescent="0.25">
      <c r="A3774" s="5">
        <v>3768</v>
      </c>
      <c r="B3774" s="10" t="s">
        <v>7304</v>
      </c>
      <c r="C3774" s="10" t="s">
        <v>7305</v>
      </c>
      <c r="D3774" s="7">
        <v>21.13</v>
      </c>
      <c r="E3774" s="5">
        <v>5</v>
      </c>
      <c r="F3774" s="5">
        <v>5</v>
      </c>
      <c r="G3774" s="12">
        <f>SUM($D$7:D3774)</f>
        <v>10662728.331000036</v>
      </c>
      <c r="H3774" s="11">
        <f t="shared" si="58"/>
        <v>0.99962910565286722</v>
      </c>
    </row>
    <row r="3775" spans="1:8" ht="15" customHeight="1" x14ac:dyDescent="0.25">
      <c r="A3775" s="5">
        <v>3769</v>
      </c>
      <c r="B3775" s="10" t="s">
        <v>7306</v>
      </c>
      <c r="C3775" s="10" t="s">
        <v>7307</v>
      </c>
      <c r="D3775" s="7">
        <v>21.05</v>
      </c>
      <c r="E3775" s="5">
        <v>11</v>
      </c>
      <c r="F3775" s="5">
        <v>10</v>
      </c>
      <c r="G3775" s="12">
        <f>SUM($D$7:D3775)</f>
        <v>10662749.381000036</v>
      </c>
      <c r="H3775" s="11">
        <f t="shared" si="58"/>
        <v>0.99963107908705984</v>
      </c>
    </row>
    <row r="3776" spans="1:8" ht="15" customHeight="1" x14ac:dyDescent="0.25">
      <c r="A3776" s="5">
        <v>3770</v>
      </c>
      <c r="B3776" s="10" t="s">
        <v>7308</v>
      </c>
      <c r="C3776" s="10" t="s">
        <v>7309</v>
      </c>
      <c r="D3776" s="7">
        <v>21</v>
      </c>
      <c r="E3776" s="5">
        <v>50</v>
      </c>
      <c r="F3776" s="5">
        <v>2</v>
      </c>
      <c r="G3776" s="12">
        <f>SUM($D$7:D3776)</f>
        <v>10662770.381000036</v>
      </c>
      <c r="H3776" s="11">
        <f t="shared" si="58"/>
        <v>0.99963304783376017</v>
      </c>
    </row>
    <row r="3777" spans="1:8" ht="15" customHeight="1" x14ac:dyDescent="0.25">
      <c r="A3777" s="5">
        <v>3771</v>
      </c>
      <c r="B3777" s="10" t="s">
        <v>7310</v>
      </c>
      <c r="C3777" s="10" t="s">
        <v>7311</v>
      </c>
      <c r="D3777" s="7">
        <v>21</v>
      </c>
      <c r="E3777" s="5">
        <v>50</v>
      </c>
      <c r="F3777" s="5">
        <v>2</v>
      </c>
      <c r="G3777" s="12">
        <f>SUM($D$7:D3777)</f>
        <v>10662791.381000036</v>
      </c>
      <c r="H3777" s="11">
        <f t="shared" si="58"/>
        <v>0.99963501658046061</v>
      </c>
    </row>
    <row r="3778" spans="1:8" ht="15" customHeight="1" x14ac:dyDescent="0.25">
      <c r="A3778" s="5">
        <v>3772</v>
      </c>
      <c r="B3778" s="10" t="s">
        <v>4627</v>
      </c>
      <c r="C3778" s="10" t="s">
        <v>7312</v>
      </c>
      <c r="D3778" s="7">
        <v>21</v>
      </c>
      <c r="E3778" s="5">
        <v>50</v>
      </c>
      <c r="F3778" s="5">
        <v>2</v>
      </c>
      <c r="G3778" s="12">
        <f>SUM($D$7:D3778)</f>
        <v>10662812.381000036</v>
      </c>
      <c r="H3778" s="11">
        <f t="shared" si="58"/>
        <v>0.99963698532716094</v>
      </c>
    </row>
    <row r="3779" spans="1:8" ht="15" customHeight="1" x14ac:dyDescent="0.25">
      <c r="A3779" s="5">
        <v>3773</v>
      </c>
      <c r="B3779" s="10" t="s">
        <v>7313</v>
      </c>
      <c r="C3779" s="10" t="s">
        <v>7314</v>
      </c>
      <c r="D3779" s="7">
        <v>20.95</v>
      </c>
      <c r="E3779" s="5">
        <v>5</v>
      </c>
      <c r="F3779" s="5">
        <v>4</v>
      </c>
      <c r="G3779" s="12">
        <f>SUM($D$7:D3779)</f>
        <v>10662833.331000036</v>
      </c>
      <c r="H3779" s="11">
        <f t="shared" si="58"/>
        <v>0.9996389493863691</v>
      </c>
    </row>
    <row r="3780" spans="1:8" ht="15" customHeight="1" x14ac:dyDescent="0.25">
      <c r="A3780" s="5">
        <v>3774</v>
      </c>
      <c r="B3780" s="10" t="s">
        <v>7315</v>
      </c>
      <c r="C3780" s="10" t="s">
        <v>7316</v>
      </c>
      <c r="D3780" s="7">
        <v>20.88</v>
      </c>
      <c r="E3780" s="5">
        <v>72</v>
      </c>
      <c r="F3780" s="5">
        <v>1</v>
      </c>
      <c r="G3780" s="12">
        <f>SUM($D$7:D3780)</f>
        <v>10662854.211000036</v>
      </c>
      <c r="H3780" s="11">
        <f t="shared" si="58"/>
        <v>0.99964090688308849</v>
      </c>
    </row>
    <row r="3781" spans="1:8" ht="15" customHeight="1" x14ac:dyDescent="0.25">
      <c r="A3781" s="5">
        <v>3775</v>
      </c>
      <c r="B3781" s="10" t="s">
        <v>1512</v>
      </c>
      <c r="C3781" s="10" t="s">
        <v>7317</v>
      </c>
      <c r="D3781" s="7">
        <v>20.75</v>
      </c>
      <c r="E3781" s="5">
        <v>5</v>
      </c>
      <c r="F3781" s="5">
        <v>2</v>
      </c>
      <c r="G3781" s="12">
        <f>SUM($D$7:D3781)</f>
        <v>10662874.961000036</v>
      </c>
      <c r="H3781" s="11">
        <f t="shared" si="58"/>
        <v>0.99964285219232807</v>
      </c>
    </row>
    <row r="3782" spans="1:8" ht="15" customHeight="1" x14ac:dyDescent="0.25">
      <c r="A3782" s="5">
        <v>3776</v>
      </c>
      <c r="B3782" s="10" t="s">
        <v>7318</v>
      </c>
      <c r="C3782" s="10" t="s">
        <v>6126</v>
      </c>
      <c r="D3782" s="7">
        <v>20.73</v>
      </c>
      <c r="E3782" s="5">
        <v>5</v>
      </c>
      <c r="F3782" s="5">
        <v>5</v>
      </c>
      <c r="G3782" s="12">
        <f>SUM($D$7:D3782)</f>
        <v>10662895.691000037</v>
      </c>
      <c r="H3782" s="11">
        <f t="shared" si="58"/>
        <v>0.99964479562657094</v>
      </c>
    </row>
    <row r="3783" spans="1:8" ht="15" customHeight="1" x14ac:dyDescent="0.25">
      <c r="A3783" s="5">
        <v>3777</v>
      </c>
      <c r="B3783" s="10" t="s">
        <v>7319</v>
      </c>
      <c r="C3783" s="10" t="s">
        <v>4066</v>
      </c>
      <c r="D3783" s="7">
        <v>20.65</v>
      </c>
      <c r="E3783" s="5">
        <v>5</v>
      </c>
      <c r="F3783" s="5">
        <v>1</v>
      </c>
      <c r="G3783" s="12">
        <f>SUM($D$7:D3783)</f>
        <v>10662916.341000037</v>
      </c>
      <c r="H3783" s="11">
        <f t="shared" ref="H3783:H3846" si="59">G3783/SUM($D$7:$D$4167)</f>
        <v>0.9996467315608264</v>
      </c>
    </row>
    <row r="3784" spans="1:8" ht="15" customHeight="1" x14ac:dyDescent="0.25">
      <c r="A3784" s="5">
        <v>3778</v>
      </c>
      <c r="B3784" s="10" t="s">
        <v>7320</v>
      </c>
      <c r="C3784" s="10" t="s">
        <v>7321</v>
      </c>
      <c r="D3784" s="7">
        <v>20.36</v>
      </c>
      <c r="E3784" s="5">
        <v>4</v>
      </c>
      <c r="F3784" s="5">
        <v>2</v>
      </c>
      <c r="G3784" s="12">
        <f>SUM($D$7:D3784)</f>
        <v>10662936.701000037</v>
      </c>
      <c r="H3784" s="11">
        <f t="shared" si="59"/>
        <v>0.99964864030762723</v>
      </c>
    </row>
    <row r="3785" spans="1:8" ht="15" customHeight="1" x14ac:dyDescent="0.25">
      <c r="A3785" s="5">
        <v>3779</v>
      </c>
      <c r="B3785" s="10" t="s">
        <v>7322</v>
      </c>
      <c r="C3785" s="10" t="s">
        <v>7323</v>
      </c>
      <c r="D3785" s="7">
        <v>20.23</v>
      </c>
      <c r="E3785" s="5">
        <v>39</v>
      </c>
      <c r="F3785" s="5">
        <v>16</v>
      </c>
      <c r="G3785" s="12">
        <f>SUM($D$7:D3785)</f>
        <v>10662956.931000037</v>
      </c>
      <c r="H3785" s="11">
        <f t="shared" si="59"/>
        <v>0.9996505368669486</v>
      </c>
    </row>
    <row r="3786" spans="1:8" ht="15" customHeight="1" x14ac:dyDescent="0.25">
      <c r="A3786" s="5">
        <v>3780</v>
      </c>
      <c r="B3786" s="10" t="s">
        <v>7324</v>
      </c>
      <c r="C3786" s="10" t="s">
        <v>7325</v>
      </c>
      <c r="D3786" s="7">
        <v>20.170000000000002</v>
      </c>
      <c r="E3786" s="5">
        <v>2</v>
      </c>
      <c r="F3786" s="5">
        <v>2</v>
      </c>
      <c r="G3786" s="12">
        <f>SUM($D$7:D3786)</f>
        <v>10662977.101000037</v>
      </c>
      <c r="H3786" s="11">
        <f t="shared" si="59"/>
        <v>0.99965242780127939</v>
      </c>
    </row>
    <row r="3787" spans="1:8" ht="15" customHeight="1" x14ac:dyDescent="0.25">
      <c r="A3787" s="5">
        <v>3781</v>
      </c>
      <c r="B3787" s="10" t="s">
        <v>7326</v>
      </c>
      <c r="C3787" s="10" t="s">
        <v>7327</v>
      </c>
      <c r="D3787" s="7">
        <v>20</v>
      </c>
      <c r="E3787" s="5">
        <v>8</v>
      </c>
      <c r="F3787" s="5">
        <v>3</v>
      </c>
      <c r="G3787" s="12">
        <f>SUM($D$7:D3787)</f>
        <v>10662997.101000037</v>
      </c>
      <c r="H3787" s="11">
        <f t="shared" si="59"/>
        <v>0.99965430279813694</v>
      </c>
    </row>
    <row r="3788" spans="1:8" ht="15" customHeight="1" x14ac:dyDescent="0.25">
      <c r="A3788" s="5">
        <v>3782</v>
      </c>
      <c r="B3788" s="10" t="s">
        <v>7328</v>
      </c>
      <c r="C3788" s="10" t="s">
        <v>7329</v>
      </c>
      <c r="D3788" s="7">
        <v>19.920000000000002</v>
      </c>
      <c r="E3788" s="5">
        <v>8</v>
      </c>
      <c r="F3788" s="5">
        <v>4</v>
      </c>
      <c r="G3788" s="12">
        <f>SUM($D$7:D3788)</f>
        <v>10663017.021000037</v>
      </c>
      <c r="H3788" s="11">
        <f t="shared" si="59"/>
        <v>0.99965617029500697</v>
      </c>
    </row>
    <row r="3789" spans="1:8" ht="15" customHeight="1" x14ac:dyDescent="0.25">
      <c r="A3789" s="5">
        <v>3783</v>
      </c>
      <c r="B3789" s="10" t="s">
        <v>7330</v>
      </c>
      <c r="C3789" s="10" t="s">
        <v>7331</v>
      </c>
      <c r="D3789" s="7">
        <v>19.920000000000002</v>
      </c>
      <c r="E3789" s="5">
        <v>8</v>
      </c>
      <c r="F3789" s="5">
        <v>5</v>
      </c>
      <c r="G3789" s="12">
        <f>SUM($D$7:D3789)</f>
        <v>10663036.941000037</v>
      </c>
      <c r="H3789" s="11">
        <f t="shared" si="59"/>
        <v>0.99965803779187712</v>
      </c>
    </row>
    <row r="3790" spans="1:8" ht="15" customHeight="1" x14ac:dyDescent="0.25">
      <c r="A3790" s="5">
        <v>3784</v>
      </c>
      <c r="B3790" s="10" t="s">
        <v>7332</v>
      </c>
      <c r="C3790" s="10" t="s">
        <v>7333</v>
      </c>
      <c r="D3790" s="7">
        <v>19.920000000000002</v>
      </c>
      <c r="E3790" s="5">
        <v>8</v>
      </c>
      <c r="F3790" s="5">
        <v>7</v>
      </c>
      <c r="G3790" s="12">
        <f>SUM($D$7:D3790)</f>
        <v>10663056.861000037</v>
      </c>
      <c r="H3790" s="11">
        <f t="shared" si="59"/>
        <v>0.99965990528874715</v>
      </c>
    </row>
    <row r="3791" spans="1:8" ht="15" customHeight="1" x14ac:dyDescent="0.25">
      <c r="A3791" s="5">
        <v>3785</v>
      </c>
      <c r="B3791" s="10" t="s">
        <v>7334</v>
      </c>
      <c r="C3791" s="10" t="s">
        <v>7335</v>
      </c>
      <c r="D3791" s="7">
        <v>19.899999999999999</v>
      </c>
      <c r="E3791" s="5">
        <v>2</v>
      </c>
      <c r="F3791" s="5">
        <v>2</v>
      </c>
      <c r="G3791" s="12">
        <f>SUM($D$7:D3791)</f>
        <v>10663076.761000037</v>
      </c>
      <c r="H3791" s="11">
        <f t="shared" si="59"/>
        <v>0.99966177091062036</v>
      </c>
    </row>
    <row r="3792" spans="1:8" ht="15" customHeight="1" x14ac:dyDescent="0.25">
      <c r="A3792" s="5">
        <v>3786</v>
      </c>
      <c r="B3792" s="10" t="s">
        <v>548</v>
      </c>
      <c r="C3792" s="10" t="s">
        <v>7336</v>
      </c>
      <c r="D3792" s="7">
        <v>19.899999999999999</v>
      </c>
      <c r="E3792" s="5">
        <v>2</v>
      </c>
      <c r="F3792" s="5">
        <v>1</v>
      </c>
      <c r="G3792" s="12">
        <f>SUM($D$7:D3792)</f>
        <v>10663096.661000038</v>
      </c>
      <c r="H3792" s="11">
        <f t="shared" si="59"/>
        <v>0.99966363653249368</v>
      </c>
    </row>
    <row r="3793" spans="1:8" ht="15" customHeight="1" x14ac:dyDescent="0.25">
      <c r="A3793" s="5">
        <v>3787</v>
      </c>
      <c r="B3793" s="10" t="s">
        <v>7337</v>
      </c>
      <c r="C3793" s="10" t="s">
        <v>7338</v>
      </c>
      <c r="D3793" s="7">
        <v>19.809999999999999</v>
      </c>
      <c r="E3793" s="5">
        <v>6</v>
      </c>
      <c r="F3793" s="5">
        <v>4</v>
      </c>
      <c r="G3793" s="12">
        <f>SUM($D$7:D3793)</f>
        <v>10663116.471000038</v>
      </c>
      <c r="H3793" s="11">
        <f t="shared" si="59"/>
        <v>0.99966549371688107</v>
      </c>
    </row>
    <row r="3794" spans="1:8" ht="15" customHeight="1" x14ac:dyDescent="0.25">
      <c r="A3794" s="5">
        <v>3788</v>
      </c>
      <c r="B3794" s="10" t="s">
        <v>7339</v>
      </c>
      <c r="C3794" s="10" t="s">
        <v>7340</v>
      </c>
      <c r="D3794" s="7">
        <v>19.8</v>
      </c>
      <c r="E3794" s="5">
        <v>4</v>
      </c>
      <c r="F3794" s="5">
        <v>3</v>
      </c>
      <c r="G3794" s="12">
        <f>SUM($D$7:D3794)</f>
        <v>10663136.271000039</v>
      </c>
      <c r="H3794" s="11">
        <f t="shared" si="59"/>
        <v>0.99966734996377005</v>
      </c>
    </row>
    <row r="3795" spans="1:8" ht="15" customHeight="1" x14ac:dyDescent="0.25">
      <c r="A3795" s="5">
        <v>3789</v>
      </c>
      <c r="B3795" s="10" t="s">
        <v>7341</v>
      </c>
      <c r="C3795" s="10" t="s">
        <v>7342</v>
      </c>
      <c r="D3795" s="7">
        <v>19.8</v>
      </c>
      <c r="E3795" s="5">
        <v>12</v>
      </c>
      <c r="F3795" s="5">
        <v>9</v>
      </c>
      <c r="G3795" s="12">
        <f>SUM($D$7:D3795)</f>
        <v>10663156.07100004</v>
      </c>
      <c r="H3795" s="11">
        <f t="shared" si="59"/>
        <v>0.99966920621065902</v>
      </c>
    </row>
    <row r="3796" spans="1:8" ht="15" customHeight="1" x14ac:dyDescent="0.25">
      <c r="A3796" s="5">
        <v>3790</v>
      </c>
      <c r="B3796" s="10" t="s">
        <v>1998</v>
      </c>
      <c r="C3796" s="10" t="s">
        <v>7343</v>
      </c>
      <c r="D3796" s="7">
        <v>19.8</v>
      </c>
      <c r="E3796" s="5">
        <v>12</v>
      </c>
      <c r="F3796" s="5">
        <v>2</v>
      </c>
      <c r="G3796" s="12">
        <f>SUM($D$7:D3796)</f>
        <v>10663175.87100004</v>
      </c>
      <c r="H3796" s="11">
        <f t="shared" si="59"/>
        <v>0.99967106245754811</v>
      </c>
    </row>
    <row r="3797" spans="1:8" ht="15" customHeight="1" x14ac:dyDescent="0.25">
      <c r="A3797" s="5">
        <v>3791</v>
      </c>
      <c r="B3797" s="10" t="s">
        <v>2076</v>
      </c>
      <c r="C3797" s="10" t="s">
        <v>7344</v>
      </c>
      <c r="D3797" s="7">
        <v>19.8</v>
      </c>
      <c r="E3797" s="5">
        <v>12</v>
      </c>
      <c r="F3797" s="5">
        <v>2</v>
      </c>
      <c r="G3797" s="12">
        <f>SUM($D$7:D3797)</f>
        <v>10663195.671000041</v>
      </c>
      <c r="H3797" s="11">
        <f t="shared" si="59"/>
        <v>0.99967291870443709</v>
      </c>
    </row>
    <row r="3798" spans="1:8" ht="15" customHeight="1" x14ac:dyDescent="0.25">
      <c r="A3798" s="5">
        <v>3792</v>
      </c>
      <c r="B3798" s="10" t="s">
        <v>2750</v>
      </c>
      <c r="C3798" s="10" t="s">
        <v>7345</v>
      </c>
      <c r="D3798" s="7">
        <v>19.8</v>
      </c>
      <c r="E3798" s="5">
        <v>12</v>
      </c>
      <c r="F3798" s="5">
        <v>1</v>
      </c>
      <c r="G3798" s="12">
        <f>SUM($D$7:D3798)</f>
        <v>10663215.471000042</v>
      </c>
      <c r="H3798" s="11">
        <f t="shared" si="59"/>
        <v>0.99967477495132606</v>
      </c>
    </row>
    <row r="3799" spans="1:8" ht="15" customHeight="1" x14ac:dyDescent="0.25">
      <c r="A3799" s="5">
        <v>3793</v>
      </c>
      <c r="B3799" s="10" t="s">
        <v>7346</v>
      </c>
      <c r="C3799" s="10" t="s">
        <v>7347</v>
      </c>
      <c r="D3799" s="7">
        <v>19.72</v>
      </c>
      <c r="E3799" s="5">
        <v>68</v>
      </c>
      <c r="F3799" s="5">
        <v>2</v>
      </c>
      <c r="G3799" s="12">
        <f>SUM($D$7:D3799)</f>
        <v>10663235.191000042</v>
      </c>
      <c r="H3799" s="11">
        <f t="shared" si="59"/>
        <v>0.99967662369822763</v>
      </c>
    </row>
    <row r="3800" spans="1:8" ht="15" customHeight="1" x14ac:dyDescent="0.25">
      <c r="A3800" s="5">
        <v>3794</v>
      </c>
      <c r="B3800" s="10" t="s">
        <v>7348</v>
      </c>
      <c r="C3800" s="10" t="s">
        <v>7349</v>
      </c>
      <c r="D3800" s="7">
        <v>19.5</v>
      </c>
      <c r="E3800" s="5">
        <v>10</v>
      </c>
      <c r="F3800" s="5">
        <v>4</v>
      </c>
      <c r="G3800" s="12">
        <f>SUM($D$7:D3800)</f>
        <v>10663254.691000042</v>
      </c>
      <c r="H3800" s="11">
        <f t="shared" si="59"/>
        <v>0.99967845182016368</v>
      </c>
    </row>
    <row r="3801" spans="1:8" ht="15" customHeight="1" x14ac:dyDescent="0.25">
      <c r="A3801" s="5">
        <v>3795</v>
      </c>
      <c r="B3801" s="10" t="s">
        <v>7350</v>
      </c>
      <c r="C3801" s="10" t="s">
        <v>7351</v>
      </c>
      <c r="D3801" s="7">
        <v>19.399999999999999</v>
      </c>
      <c r="E3801" s="5">
        <v>52</v>
      </c>
      <c r="F3801" s="5">
        <v>4</v>
      </c>
      <c r="G3801" s="12">
        <f>SUM($D$7:D3801)</f>
        <v>10663274.091000043</v>
      </c>
      <c r="H3801" s="11">
        <f t="shared" si="59"/>
        <v>0.9996802705671155</v>
      </c>
    </row>
    <row r="3802" spans="1:8" ht="15" customHeight="1" x14ac:dyDescent="0.25">
      <c r="A3802" s="5">
        <v>3796</v>
      </c>
      <c r="B3802" s="10" t="s">
        <v>7352</v>
      </c>
      <c r="C3802" s="10" t="s">
        <v>7353</v>
      </c>
      <c r="D3802" s="7">
        <v>19.05</v>
      </c>
      <c r="E3802" s="5">
        <v>3</v>
      </c>
      <c r="F3802" s="5">
        <v>2</v>
      </c>
      <c r="G3802" s="12">
        <f>SUM($D$7:D3802)</f>
        <v>10663293.141000044</v>
      </c>
      <c r="H3802" s="11">
        <f t="shared" si="59"/>
        <v>0.99968205650162234</v>
      </c>
    </row>
    <row r="3803" spans="1:8" ht="15" customHeight="1" x14ac:dyDescent="0.25">
      <c r="A3803" s="5">
        <v>3797</v>
      </c>
      <c r="B3803" s="10" t="s">
        <v>7354</v>
      </c>
      <c r="C3803" s="10" t="s">
        <v>7355</v>
      </c>
      <c r="D3803" s="7">
        <v>18.75</v>
      </c>
      <c r="E3803" s="5">
        <v>5</v>
      </c>
      <c r="F3803" s="5">
        <v>4</v>
      </c>
      <c r="G3803" s="12">
        <f>SUM($D$7:D3803)</f>
        <v>10663311.891000044</v>
      </c>
      <c r="H3803" s="11">
        <f t="shared" si="59"/>
        <v>0.99968381431117626</v>
      </c>
    </row>
    <row r="3804" spans="1:8" ht="15" customHeight="1" x14ac:dyDescent="0.25">
      <c r="A3804" s="5">
        <v>3798</v>
      </c>
      <c r="B3804" s="10" t="s">
        <v>7356</v>
      </c>
      <c r="C3804" s="10" t="s">
        <v>7357</v>
      </c>
      <c r="D3804" s="7">
        <v>18.75</v>
      </c>
      <c r="E3804" s="5">
        <v>5</v>
      </c>
      <c r="F3804" s="5">
        <v>2</v>
      </c>
      <c r="G3804" s="12">
        <f>SUM($D$7:D3804)</f>
        <v>10663330.641000044</v>
      </c>
      <c r="H3804" s="11">
        <f t="shared" si="59"/>
        <v>0.99968557212073017</v>
      </c>
    </row>
    <row r="3805" spans="1:8" ht="15" customHeight="1" x14ac:dyDescent="0.25">
      <c r="A3805" s="5">
        <v>3799</v>
      </c>
      <c r="B3805" s="10" t="s">
        <v>1695</v>
      </c>
      <c r="C3805" s="10" t="s">
        <v>7358</v>
      </c>
      <c r="D3805" s="7">
        <v>18.75</v>
      </c>
      <c r="E3805" s="5">
        <v>3</v>
      </c>
      <c r="F3805" s="5">
        <v>1</v>
      </c>
      <c r="G3805" s="12">
        <f>SUM($D$7:D3805)</f>
        <v>10663349.391000044</v>
      </c>
      <c r="H3805" s="11">
        <f t="shared" si="59"/>
        <v>0.99968732993028409</v>
      </c>
    </row>
    <row r="3806" spans="1:8" ht="15" customHeight="1" x14ac:dyDescent="0.25">
      <c r="A3806" s="5">
        <v>3800</v>
      </c>
      <c r="B3806" s="10" t="s">
        <v>7359</v>
      </c>
      <c r="C3806" s="10" t="s">
        <v>7360</v>
      </c>
      <c r="D3806" s="7">
        <v>18.7</v>
      </c>
      <c r="E3806" s="5">
        <v>22</v>
      </c>
      <c r="F3806" s="5">
        <v>8</v>
      </c>
      <c r="G3806" s="12">
        <f>SUM($D$7:D3806)</f>
        <v>10663368.091000043</v>
      </c>
      <c r="H3806" s="11">
        <f t="shared" si="59"/>
        <v>0.99968908305234583</v>
      </c>
    </row>
    <row r="3807" spans="1:8" ht="15" customHeight="1" x14ac:dyDescent="0.25">
      <c r="A3807" s="5">
        <v>3801</v>
      </c>
      <c r="B3807" s="10" t="s">
        <v>7361</v>
      </c>
      <c r="C3807" s="10" t="s">
        <v>7362</v>
      </c>
      <c r="D3807" s="7">
        <v>18.600000000000001</v>
      </c>
      <c r="E3807" s="5">
        <v>4</v>
      </c>
      <c r="F3807" s="5">
        <v>1</v>
      </c>
      <c r="G3807" s="12">
        <f>SUM($D$7:D3807)</f>
        <v>10663386.691000042</v>
      </c>
      <c r="H3807" s="11">
        <f t="shared" si="59"/>
        <v>0.99969082679942323</v>
      </c>
    </row>
    <row r="3808" spans="1:8" ht="15" customHeight="1" x14ac:dyDescent="0.25">
      <c r="A3808" s="5">
        <v>3802</v>
      </c>
      <c r="B3808" s="10" t="s">
        <v>7363</v>
      </c>
      <c r="C3808" s="10" t="s">
        <v>7364</v>
      </c>
      <c r="D3808" s="7">
        <v>18.27</v>
      </c>
      <c r="E3808" s="5">
        <v>5</v>
      </c>
      <c r="F3808" s="5">
        <v>4</v>
      </c>
      <c r="G3808" s="12">
        <f>SUM($D$7:D3808)</f>
        <v>10663404.961000042</v>
      </c>
      <c r="H3808" s="11">
        <f t="shared" si="59"/>
        <v>0.99969253960905247</v>
      </c>
    </row>
    <row r="3809" spans="1:8" ht="15" customHeight="1" x14ac:dyDescent="0.25">
      <c r="A3809" s="5">
        <v>3803</v>
      </c>
      <c r="B3809" s="10" t="s">
        <v>7365</v>
      </c>
      <c r="C3809" s="10" t="s">
        <v>7366</v>
      </c>
      <c r="D3809" s="7">
        <v>18.239999999999998</v>
      </c>
      <c r="E3809" s="5">
        <v>96</v>
      </c>
      <c r="F3809" s="5">
        <v>7</v>
      </c>
      <c r="G3809" s="12">
        <f>SUM($D$7:D3809)</f>
        <v>10663423.201000042</v>
      </c>
      <c r="H3809" s="11">
        <f t="shared" si="59"/>
        <v>0.99969424960618658</v>
      </c>
    </row>
    <row r="3810" spans="1:8" ht="15" customHeight="1" x14ac:dyDescent="0.25">
      <c r="A3810" s="5">
        <v>3804</v>
      </c>
      <c r="B3810" s="10" t="s">
        <v>7367</v>
      </c>
      <c r="C3810" s="10" t="s">
        <v>7368</v>
      </c>
      <c r="D3810" s="7">
        <v>18.149999999999999</v>
      </c>
      <c r="E3810" s="5">
        <v>11</v>
      </c>
      <c r="F3810" s="5">
        <v>4</v>
      </c>
      <c r="G3810" s="12">
        <f>SUM($D$7:D3810)</f>
        <v>10663441.351000043</v>
      </c>
      <c r="H3810" s="11">
        <f t="shared" si="59"/>
        <v>0.99969595116583476</v>
      </c>
    </row>
    <row r="3811" spans="1:8" ht="15" customHeight="1" x14ac:dyDescent="0.25">
      <c r="A3811" s="5">
        <v>3805</v>
      </c>
      <c r="B3811" s="10" t="s">
        <v>2026</v>
      </c>
      <c r="C3811" s="10" t="s">
        <v>7369</v>
      </c>
      <c r="D3811" s="7">
        <v>17.899999999999999</v>
      </c>
      <c r="E3811" s="5">
        <v>2</v>
      </c>
      <c r="F3811" s="5">
        <v>1</v>
      </c>
      <c r="G3811" s="12">
        <f>SUM($D$7:D3811)</f>
        <v>10663459.251000043</v>
      </c>
      <c r="H3811" s="11">
        <f t="shared" si="59"/>
        <v>0.9996976292880223</v>
      </c>
    </row>
    <row r="3812" spans="1:8" ht="15" customHeight="1" x14ac:dyDescent="0.25">
      <c r="A3812" s="5">
        <v>3806</v>
      </c>
      <c r="B3812" s="10" t="s">
        <v>7370</v>
      </c>
      <c r="C3812" s="10" t="s">
        <v>7371</v>
      </c>
      <c r="D3812" s="7">
        <v>17.850000000000001</v>
      </c>
      <c r="E3812" s="5">
        <v>3</v>
      </c>
      <c r="F3812" s="5">
        <v>3</v>
      </c>
      <c r="G3812" s="12">
        <f>SUM($D$7:D3812)</f>
        <v>10663477.101000043</v>
      </c>
      <c r="H3812" s="11">
        <f t="shared" si="59"/>
        <v>0.99969930272271756</v>
      </c>
    </row>
    <row r="3813" spans="1:8" ht="15" customHeight="1" x14ac:dyDescent="0.25">
      <c r="A3813" s="5">
        <v>3807</v>
      </c>
      <c r="B3813" s="10" t="s">
        <v>7372</v>
      </c>
      <c r="C3813" s="10" t="s">
        <v>7373</v>
      </c>
      <c r="D3813" s="7">
        <v>17.850000000000001</v>
      </c>
      <c r="E3813" s="5">
        <v>3</v>
      </c>
      <c r="F3813" s="5">
        <v>3</v>
      </c>
      <c r="G3813" s="12">
        <f>SUM($D$7:D3813)</f>
        <v>10663494.951000042</v>
      </c>
      <c r="H3813" s="11">
        <f t="shared" si="59"/>
        <v>0.99970097615741293</v>
      </c>
    </row>
    <row r="3814" spans="1:8" ht="15" customHeight="1" x14ac:dyDescent="0.25">
      <c r="A3814" s="5">
        <v>3808</v>
      </c>
      <c r="B3814" s="10" t="s">
        <v>7374</v>
      </c>
      <c r="C3814" s="10" t="s">
        <v>7375</v>
      </c>
      <c r="D3814" s="7">
        <v>17.82</v>
      </c>
      <c r="E3814" s="5">
        <v>2</v>
      </c>
      <c r="F3814" s="5">
        <v>2</v>
      </c>
      <c r="G3814" s="12">
        <f>SUM($D$7:D3814)</f>
        <v>10663512.771000043</v>
      </c>
      <c r="H3814" s="11">
        <f t="shared" si="59"/>
        <v>0.99970264677961296</v>
      </c>
    </row>
    <row r="3815" spans="1:8" ht="15" customHeight="1" x14ac:dyDescent="0.25">
      <c r="A3815" s="5">
        <v>3809</v>
      </c>
      <c r="B3815" s="10" t="s">
        <v>4811</v>
      </c>
      <c r="C3815" s="10" t="s">
        <v>7376</v>
      </c>
      <c r="D3815" s="7">
        <v>17.82</v>
      </c>
      <c r="E3815" s="5">
        <v>24</v>
      </c>
      <c r="F3815" s="5">
        <v>9</v>
      </c>
      <c r="G3815" s="12">
        <f>SUM($D$7:D3815)</f>
        <v>10663530.591000043</v>
      </c>
      <c r="H3815" s="11">
        <f t="shared" si="59"/>
        <v>0.99970431740181298</v>
      </c>
    </row>
    <row r="3816" spans="1:8" ht="15" customHeight="1" x14ac:dyDescent="0.25">
      <c r="A3816" s="5">
        <v>3810</v>
      </c>
      <c r="B3816" s="10" t="s">
        <v>7377</v>
      </c>
      <c r="C3816" s="10" t="s">
        <v>7378</v>
      </c>
      <c r="D3816" s="7">
        <v>17.7</v>
      </c>
      <c r="E3816" s="5">
        <v>6</v>
      </c>
      <c r="F3816" s="5">
        <v>4</v>
      </c>
      <c r="G3816" s="12">
        <f>SUM($D$7:D3816)</f>
        <v>10663548.291000042</v>
      </c>
      <c r="H3816" s="11">
        <f t="shared" si="59"/>
        <v>0.99970597677403183</v>
      </c>
    </row>
    <row r="3817" spans="1:8" ht="15" customHeight="1" x14ac:dyDescent="0.25">
      <c r="A3817" s="5">
        <v>3811</v>
      </c>
      <c r="B3817" s="10" t="s">
        <v>7379</v>
      </c>
      <c r="C3817" s="10" t="s">
        <v>7380</v>
      </c>
      <c r="D3817" s="7">
        <v>17.7</v>
      </c>
      <c r="E3817" s="5">
        <v>6</v>
      </c>
      <c r="F3817" s="5">
        <v>1</v>
      </c>
      <c r="G3817" s="12">
        <f>SUM($D$7:D3817)</f>
        <v>10663565.991000041</v>
      </c>
      <c r="H3817" s="11">
        <f t="shared" si="59"/>
        <v>0.99970763614625069</v>
      </c>
    </row>
    <row r="3818" spans="1:8" ht="15" customHeight="1" x14ac:dyDescent="0.25">
      <c r="A3818" s="5">
        <v>3812</v>
      </c>
      <c r="B3818" s="10" t="s">
        <v>7381</v>
      </c>
      <c r="C3818" s="10" t="s">
        <v>7382</v>
      </c>
      <c r="D3818" s="7">
        <v>17.66</v>
      </c>
      <c r="E3818" s="5">
        <v>6</v>
      </c>
      <c r="F3818" s="5">
        <v>3</v>
      </c>
      <c r="G3818" s="12">
        <f>SUM($D$7:D3818)</f>
        <v>10663583.651000042</v>
      </c>
      <c r="H3818" s="11">
        <f t="shared" si="59"/>
        <v>0.99970929176847589</v>
      </c>
    </row>
    <row r="3819" spans="1:8" ht="15" customHeight="1" x14ac:dyDescent="0.25">
      <c r="A3819" s="5">
        <v>3813</v>
      </c>
      <c r="B3819" s="10" t="s">
        <v>7383</v>
      </c>
      <c r="C3819" s="10" t="s">
        <v>7384</v>
      </c>
      <c r="D3819" s="7">
        <v>17.59</v>
      </c>
      <c r="E3819" s="5">
        <v>3</v>
      </c>
      <c r="F3819" s="5">
        <v>3</v>
      </c>
      <c r="G3819" s="12">
        <f>SUM($D$7:D3819)</f>
        <v>10663601.241000041</v>
      </c>
      <c r="H3819" s="11">
        <f t="shared" si="59"/>
        <v>0.99971094082821199</v>
      </c>
    </row>
    <row r="3820" spans="1:8" ht="15" customHeight="1" x14ac:dyDescent="0.25">
      <c r="A3820" s="5">
        <v>3814</v>
      </c>
      <c r="B3820" s="10" t="s">
        <v>7385</v>
      </c>
      <c r="C3820" s="10" t="s">
        <v>1853</v>
      </c>
      <c r="D3820" s="7">
        <v>17.57</v>
      </c>
      <c r="E3820" s="5">
        <v>7</v>
      </c>
      <c r="F3820" s="5">
        <v>5</v>
      </c>
      <c r="G3820" s="12">
        <f>SUM($D$7:D3820)</f>
        <v>10663618.811000042</v>
      </c>
      <c r="H3820" s="11">
        <f t="shared" si="59"/>
        <v>0.99971258801295138</v>
      </c>
    </row>
    <row r="3821" spans="1:8" ht="15" customHeight="1" x14ac:dyDescent="0.25">
      <c r="A3821" s="5">
        <v>3815</v>
      </c>
      <c r="B3821" s="10" t="s">
        <v>7386</v>
      </c>
      <c r="C3821" s="10" t="s">
        <v>7387</v>
      </c>
      <c r="D3821" s="7">
        <v>17.510000000000002</v>
      </c>
      <c r="E3821" s="5">
        <v>6</v>
      </c>
      <c r="F3821" s="5">
        <v>6</v>
      </c>
      <c r="G3821" s="12">
        <f>SUM($D$7:D3821)</f>
        <v>10663636.321000041</v>
      </c>
      <c r="H3821" s="11">
        <f t="shared" si="59"/>
        <v>0.99971422957270006</v>
      </c>
    </row>
    <row r="3822" spans="1:8" ht="15" customHeight="1" x14ac:dyDescent="0.25">
      <c r="A3822" s="5">
        <v>3816</v>
      </c>
      <c r="B3822" s="10" t="s">
        <v>7388</v>
      </c>
      <c r="C3822" s="10" t="s">
        <v>7389</v>
      </c>
      <c r="D3822" s="7">
        <v>17.5</v>
      </c>
      <c r="E3822" s="5">
        <v>26</v>
      </c>
      <c r="F3822" s="5">
        <v>3</v>
      </c>
      <c r="G3822" s="12">
        <f>SUM($D$7:D3822)</f>
        <v>10663653.821000041</v>
      </c>
      <c r="H3822" s="11">
        <f t="shared" si="59"/>
        <v>0.99971587019495045</v>
      </c>
    </row>
    <row r="3823" spans="1:8" ht="15" customHeight="1" x14ac:dyDescent="0.25">
      <c r="A3823" s="5">
        <v>3817</v>
      </c>
      <c r="B3823" s="10" t="s">
        <v>7390</v>
      </c>
      <c r="C3823" s="10" t="s">
        <v>7391</v>
      </c>
      <c r="D3823" s="7">
        <v>17.5</v>
      </c>
      <c r="E3823" s="5">
        <v>6</v>
      </c>
      <c r="F3823" s="5">
        <v>6</v>
      </c>
      <c r="G3823" s="12">
        <f>SUM($D$7:D3823)</f>
        <v>10663671.321000041</v>
      </c>
      <c r="H3823" s="11">
        <f t="shared" si="59"/>
        <v>0.99971751081720073</v>
      </c>
    </row>
    <row r="3824" spans="1:8" ht="15" customHeight="1" x14ac:dyDescent="0.25">
      <c r="A3824" s="5">
        <v>3818</v>
      </c>
      <c r="B3824" s="10" t="s">
        <v>7392</v>
      </c>
      <c r="C3824" s="10" t="s">
        <v>7393</v>
      </c>
      <c r="D3824" s="7">
        <v>17.48</v>
      </c>
      <c r="E3824" s="5">
        <v>46</v>
      </c>
      <c r="F3824" s="5">
        <v>2</v>
      </c>
      <c r="G3824" s="12">
        <f>SUM($D$7:D3824)</f>
        <v>10663688.801000042</v>
      </c>
      <c r="H3824" s="11">
        <f t="shared" si="59"/>
        <v>0.99971914956445418</v>
      </c>
    </row>
    <row r="3825" spans="1:8" ht="15" customHeight="1" x14ac:dyDescent="0.25">
      <c r="A3825" s="5">
        <v>3819</v>
      </c>
      <c r="B3825" s="10" t="s">
        <v>7394</v>
      </c>
      <c r="C3825" s="10" t="s">
        <v>7395</v>
      </c>
      <c r="D3825" s="7">
        <v>17.43</v>
      </c>
      <c r="E3825" s="5">
        <v>7</v>
      </c>
      <c r="F3825" s="5">
        <v>2</v>
      </c>
      <c r="G3825" s="12">
        <f>SUM($D$7:D3825)</f>
        <v>10663706.231000042</v>
      </c>
      <c r="H3825" s="11">
        <f t="shared" si="59"/>
        <v>0.99972078362421546</v>
      </c>
    </row>
    <row r="3826" spans="1:8" ht="15" customHeight="1" x14ac:dyDescent="0.25">
      <c r="A3826" s="5">
        <v>3820</v>
      </c>
      <c r="B3826" s="10" t="s">
        <v>1742</v>
      </c>
      <c r="C3826" s="10" t="s">
        <v>7396</v>
      </c>
      <c r="D3826" s="7">
        <v>17.28</v>
      </c>
      <c r="E3826" s="5">
        <v>24</v>
      </c>
      <c r="F3826" s="5">
        <v>1</v>
      </c>
      <c r="G3826" s="12">
        <f>SUM($D$7:D3826)</f>
        <v>10663723.511000041</v>
      </c>
      <c r="H3826" s="11">
        <f t="shared" si="59"/>
        <v>0.99972240362150033</v>
      </c>
    </row>
    <row r="3827" spans="1:8" ht="15" customHeight="1" x14ac:dyDescent="0.25">
      <c r="A3827" s="5">
        <v>3821</v>
      </c>
      <c r="B3827" s="10" t="s">
        <v>7397</v>
      </c>
      <c r="C3827" s="10" t="s">
        <v>7398</v>
      </c>
      <c r="D3827" s="7">
        <v>17.16</v>
      </c>
      <c r="E3827" s="5">
        <v>40</v>
      </c>
      <c r="F3827" s="5">
        <v>16</v>
      </c>
      <c r="G3827" s="12">
        <f>SUM($D$7:D3827)</f>
        <v>10663740.671000041</v>
      </c>
      <c r="H3827" s="11">
        <f t="shared" si="59"/>
        <v>0.99972401236880404</v>
      </c>
    </row>
    <row r="3828" spans="1:8" ht="15" customHeight="1" x14ac:dyDescent="0.25">
      <c r="A3828" s="5">
        <v>3822</v>
      </c>
      <c r="B3828" s="10" t="s">
        <v>7399</v>
      </c>
      <c r="C3828" s="10" t="s">
        <v>7400</v>
      </c>
      <c r="D3828" s="7">
        <v>17</v>
      </c>
      <c r="E3828" s="5">
        <v>4</v>
      </c>
      <c r="F3828" s="5">
        <v>2</v>
      </c>
      <c r="G3828" s="12">
        <f>SUM($D$7:D3828)</f>
        <v>10663757.671000041</v>
      </c>
      <c r="H3828" s="11">
        <f t="shared" si="59"/>
        <v>0.99972560611613293</v>
      </c>
    </row>
    <row r="3829" spans="1:8" ht="15" customHeight="1" x14ac:dyDescent="0.25">
      <c r="A3829" s="5">
        <v>3823</v>
      </c>
      <c r="B3829" s="10" t="s">
        <v>1596</v>
      </c>
      <c r="C3829" s="10" t="s">
        <v>7401</v>
      </c>
      <c r="D3829" s="7">
        <v>17</v>
      </c>
      <c r="E3829" s="5">
        <v>2</v>
      </c>
      <c r="F3829" s="5">
        <v>1</v>
      </c>
      <c r="G3829" s="12">
        <f>SUM($D$7:D3829)</f>
        <v>10663774.671000041</v>
      </c>
      <c r="H3829" s="11">
        <f t="shared" si="59"/>
        <v>0.99972719986346181</v>
      </c>
    </row>
    <row r="3830" spans="1:8" ht="15" customHeight="1" x14ac:dyDescent="0.25">
      <c r="A3830" s="5">
        <v>3824</v>
      </c>
      <c r="B3830" s="10" t="s">
        <v>7402</v>
      </c>
      <c r="C3830" s="10" t="s">
        <v>7403</v>
      </c>
      <c r="D3830" s="7">
        <v>17</v>
      </c>
      <c r="E3830" s="5">
        <v>4</v>
      </c>
      <c r="F3830" s="5">
        <v>3</v>
      </c>
      <c r="G3830" s="12">
        <f>SUM($D$7:D3830)</f>
        <v>10663791.671000041</v>
      </c>
      <c r="H3830" s="11">
        <f t="shared" si="59"/>
        <v>0.9997287936107907</v>
      </c>
    </row>
    <row r="3831" spans="1:8" ht="15" customHeight="1" x14ac:dyDescent="0.25">
      <c r="A3831" s="5">
        <v>3825</v>
      </c>
      <c r="B3831" s="10" t="s">
        <v>7404</v>
      </c>
      <c r="C3831" s="10" t="s">
        <v>7405</v>
      </c>
      <c r="D3831" s="7">
        <v>17</v>
      </c>
      <c r="E3831" s="5">
        <v>20</v>
      </c>
      <c r="F3831" s="5">
        <v>7</v>
      </c>
      <c r="G3831" s="12">
        <f>SUM($D$7:D3831)</f>
        <v>10663808.671000041</v>
      </c>
      <c r="H3831" s="11">
        <f t="shared" si="59"/>
        <v>0.99973038735811959</v>
      </c>
    </row>
    <row r="3832" spans="1:8" ht="15" customHeight="1" x14ac:dyDescent="0.25">
      <c r="A3832" s="5">
        <v>3826</v>
      </c>
      <c r="B3832" s="10" t="s">
        <v>7406</v>
      </c>
      <c r="C3832" s="10" t="s">
        <v>7407</v>
      </c>
      <c r="D3832" s="7">
        <v>17</v>
      </c>
      <c r="E3832" s="5">
        <v>2</v>
      </c>
      <c r="F3832" s="5">
        <v>1</v>
      </c>
      <c r="G3832" s="12">
        <f>SUM($D$7:D3832)</f>
        <v>10663825.671000041</v>
      </c>
      <c r="H3832" s="11">
        <f t="shared" si="59"/>
        <v>0.99973198110544848</v>
      </c>
    </row>
    <row r="3833" spans="1:8" ht="15" customHeight="1" x14ac:dyDescent="0.25">
      <c r="A3833" s="5">
        <v>3827</v>
      </c>
      <c r="B3833" s="10" t="s">
        <v>1681</v>
      </c>
      <c r="C3833" s="10" t="s">
        <v>7408</v>
      </c>
      <c r="D3833" s="7">
        <v>17</v>
      </c>
      <c r="E3833" s="5">
        <v>2</v>
      </c>
      <c r="F3833" s="5">
        <v>1</v>
      </c>
      <c r="G3833" s="12">
        <f>SUM($D$7:D3833)</f>
        <v>10663842.671000041</v>
      </c>
      <c r="H3833" s="11">
        <f t="shared" si="59"/>
        <v>0.99973357485277736</v>
      </c>
    </row>
    <row r="3834" spans="1:8" ht="15" customHeight="1" x14ac:dyDescent="0.25">
      <c r="A3834" s="5">
        <v>3828</v>
      </c>
      <c r="B3834" s="10" t="s">
        <v>7409</v>
      </c>
      <c r="C3834" s="10" t="s">
        <v>7410</v>
      </c>
      <c r="D3834" s="7">
        <v>16.98</v>
      </c>
      <c r="E3834" s="5">
        <v>1</v>
      </c>
      <c r="F3834" s="5">
        <v>1</v>
      </c>
      <c r="G3834" s="12">
        <f>SUM($D$7:D3834)</f>
        <v>10663859.651000042</v>
      </c>
      <c r="H3834" s="11">
        <f t="shared" si="59"/>
        <v>0.99973516672510943</v>
      </c>
    </row>
    <row r="3835" spans="1:8" ht="15" customHeight="1" x14ac:dyDescent="0.25">
      <c r="A3835" s="5">
        <v>3829</v>
      </c>
      <c r="B3835" s="10" t="s">
        <v>7411</v>
      </c>
      <c r="C3835" s="10" t="s">
        <v>7412</v>
      </c>
      <c r="D3835" s="7">
        <v>16.940000000000001</v>
      </c>
      <c r="E3835" s="5">
        <v>2</v>
      </c>
      <c r="F3835" s="5">
        <v>2</v>
      </c>
      <c r="G3835" s="12">
        <f>SUM($D$7:D3835)</f>
        <v>10663876.591000041</v>
      </c>
      <c r="H3835" s="11">
        <f t="shared" si="59"/>
        <v>0.99973675484744773</v>
      </c>
    </row>
    <row r="3836" spans="1:8" ht="15" customHeight="1" x14ac:dyDescent="0.25">
      <c r="A3836" s="5">
        <v>3830</v>
      </c>
      <c r="B3836" s="10" t="s">
        <v>7413</v>
      </c>
      <c r="C3836" s="10" t="s">
        <v>3707</v>
      </c>
      <c r="D3836" s="7">
        <v>16.940000000000001</v>
      </c>
      <c r="E3836" s="5">
        <v>2</v>
      </c>
      <c r="F3836" s="5">
        <v>2</v>
      </c>
      <c r="G3836" s="12">
        <f>SUM($D$7:D3836)</f>
        <v>10663893.53100004</v>
      </c>
      <c r="H3836" s="11">
        <f t="shared" si="59"/>
        <v>0.99973834296978592</v>
      </c>
    </row>
    <row r="3837" spans="1:8" ht="15" customHeight="1" x14ac:dyDescent="0.25">
      <c r="A3837" s="5">
        <v>3831</v>
      </c>
      <c r="B3837" s="10" t="s">
        <v>7414</v>
      </c>
      <c r="C3837" s="10" t="s">
        <v>7415</v>
      </c>
      <c r="D3837" s="7">
        <v>16.940000000000001</v>
      </c>
      <c r="E3837" s="5">
        <v>2</v>
      </c>
      <c r="F3837" s="5">
        <v>2</v>
      </c>
      <c r="G3837" s="12">
        <f>SUM($D$7:D3837)</f>
        <v>10663910.47100004</v>
      </c>
      <c r="H3837" s="11">
        <f t="shared" si="59"/>
        <v>0.99973993109212422</v>
      </c>
    </row>
    <row r="3838" spans="1:8" ht="15" customHeight="1" x14ac:dyDescent="0.25">
      <c r="A3838" s="5">
        <v>3832</v>
      </c>
      <c r="B3838" s="10" t="s">
        <v>7416</v>
      </c>
      <c r="C3838" s="10" t="s">
        <v>7417</v>
      </c>
      <c r="D3838" s="7">
        <v>16.82</v>
      </c>
      <c r="E3838" s="5">
        <v>2</v>
      </c>
      <c r="F3838" s="5">
        <v>2</v>
      </c>
      <c r="G3838" s="12">
        <f>SUM($D$7:D3838)</f>
        <v>10663927.29100004</v>
      </c>
      <c r="H3838" s="11">
        <f t="shared" si="59"/>
        <v>0.99974150796448136</v>
      </c>
    </row>
    <row r="3839" spans="1:8" ht="15" customHeight="1" x14ac:dyDescent="0.25">
      <c r="A3839" s="5">
        <v>3833</v>
      </c>
      <c r="B3839" s="10" t="s">
        <v>7418</v>
      </c>
      <c r="C3839" s="10" t="s">
        <v>7419</v>
      </c>
      <c r="D3839" s="7">
        <v>16.809999999999999</v>
      </c>
      <c r="E3839" s="5">
        <v>2</v>
      </c>
      <c r="F3839" s="5">
        <v>2</v>
      </c>
      <c r="G3839" s="12">
        <f>SUM($D$7:D3839)</f>
        <v>10663944.101000041</v>
      </c>
      <c r="H3839" s="11">
        <f t="shared" si="59"/>
        <v>0.99974308389934019</v>
      </c>
    </row>
    <row r="3840" spans="1:8" ht="15" customHeight="1" x14ac:dyDescent="0.25">
      <c r="A3840" s="5">
        <v>3834</v>
      </c>
      <c r="B3840" s="10" t="s">
        <v>7420</v>
      </c>
      <c r="C3840" s="10" t="s">
        <v>7421</v>
      </c>
      <c r="D3840" s="7">
        <v>16.8</v>
      </c>
      <c r="E3840" s="5">
        <v>5</v>
      </c>
      <c r="F3840" s="5">
        <v>2</v>
      </c>
      <c r="G3840" s="12">
        <f>SUM($D$7:D3840)</f>
        <v>10663960.901000042</v>
      </c>
      <c r="H3840" s="11">
        <f t="shared" si="59"/>
        <v>0.9997446588967005</v>
      </c>
    </row>
    <row r="3841" spans="1:8" ht="15" customHeight="1" x14ac:dyDescent="0.25">
      <c r="A3841" s="5">
        <v>3835</v>
      </c>
      <c r="B3841" s="10" t="s">
        <v>7422</v>
      </c>
      <c r="C3841" s="10" t="s">
        <v>7423</v>
      </c>
      <c r="D3841" s="7">
        <v>16.77</v>
      </c>
      <c r="E3841" s="5">
        <v>31</v>
      </c>
      <c r="F3841" s="5">
        <v>12</v>
      </c>
      <c r="G3841" s="12">
        <f>SUM($D$7:D3841)</f>
        <v>10663977.671000041</v>
      </c>
      <c r="H3841" s="11">
        <f t="shared" si="59"/>
        <v>0.99974623108156546</v>
      </c>
    </row>
    <row r="3842" spans="1:8" ht="15" customHeight="1" x14ac:dyDescent="0.25">
      <c r="A3842" s="5">
        <v>3836</v>
      </c>
      <c r="B3842" s="10" t="s">
        <v>7424</v>
      </c>
      <c r="C3842" s="10" t="s">
        <v>7425</v>
      </c>
      <c r="D3842" s="7">
        <v>16.649999999999999</v>
      </c>
      <c r="E3842" s="5">
        <v>5</v>
      </c>
      <c r="F3842" s="5">
        <v>5</v>
      </c>
      <c r="G3842" s="12">
        <f>SUM($D$7:D3842)</f>
        <v>10663994.321000041</v>
      </c>
      <c r="H3842" s="11">
        <f t="shared" si="59"/>
        <v>0.99974779201644948</v>
      </c>
    </row>
    <row r="3843" spans="1:8" ht="15" customHeight="1" x14ac:dyDescent="0.25">
      <c r="A3843" s="5">
        <v>3837</v>
      </c>
      <c r="B3843" s="10" t="s">
        <v>7426</v>
      </c>
      <c r="C3843" s="10" t="s">
        <v>2257</v>
      </c>
      <c r="D3843" s="7">
        <v>16.63</v>
      </c>
      <c r="E3843" s="5">
        <v>1</v>
      </c>
      <c r="F3843" s="5">
        <v>1</v>
      </c>
      <c r="G3843" s="12">
        <f>SUM($D$7:D3843)</f>
        <v>10664010.951000042</v>
      </c>
      <c r="H3843" s="11">
        <f t="shared" si="59"/>
        <v>0.99974935107633656</v>
      </c>
    </row>
    <row r="3844" spans="1:8" ht="15" customHeight="1" x14ac:dyDescent="0.25">
      <c r="A3844" s="5">
        <v>3838</v>
      </c>
      <c r="B3844" s="10" t="s">
        <v>7427</v>
      </c>
      <c r="C3844" s="10" t="s">
        <v>2739</v>
      </c>
      <c r="D3844" s="7">
        <v>16.63</v>
      </c>
      <c r="E3844" s="5">
        <v>1</v>
      </c>
      <c r="F3844" s="5">
        <v>1</v>
      </c>
      <c r="G3844" s="12">
        <f>SUM($D$7:D3844)</f>
        <v>10664027.581000043</v>
      </c>
      <c r="H3844" s="11">
        <f t="shared" si="59"/>
        <v>0.99975091013622364</v>
      </c>
    </row>
    <row r="3845" spans="1:8" ht="15" customHeight="1" x14ac:dyDescent="0.25">
      <c r="A3845" s="5">
        <v>3839</v>
      </c>
      <c r="B3845" s="10" t="s">
        <v>7428</v>
      </c>
      <c r="C3845" s="10" t="s">
        <v>7429</v>
      </c>
      <c r="D3845" s="7">
        <v>16.63</v>
      </c>
      <c r="E3845" s="5">
        <v>1</v>
      </c>
      <c r="F3845" s="5">
        <v>1</v>
      </c>
      <c r="G3845" s="12">
        <f>SUM($D$7:D3845)</f>
        <v>10664044.211000044</v>
      </c>
      <c r="H3845" s="11">
        <f t="shared" si="59"/>
        <v>0.99975246919611072</v>
      </c>
    </row>
    <row r="3846" spans="1:8" ht="15" customHeight="1" x14ac:dyDescent="0.25">
      <c r="A3846" s="5">
        <v>3840</v>
      </c>
      <c r="B3846" s="10" t="s">
        <v>7430</v>
      </c>
      <c r="C3846" s="10" t="s">
        <v>3816</v>
      </c>
      <c r="D3846" s="7">
        <v>16.579999999999998</v>
      </c>
      <c r="E3846" s="5">
        <v>2</v>
      </c>
      <c r="F3846" s="5">
        <v>1</v>
      </c>
      <c r="G3846" s="12">
        <f>SUM($D$7:D3846)</f>
        <v>10664060.791000044</v>
      </c>
      <c r="H3846" s="11">
        <f t="shared" si="59"/>
        <v>0.99975402356850562</v>
      </c>
    </row>
    <row r="3847" spans="1:8" ht="15" customHeight="1" x14ac:dyDescent="0.25">
      <c r="A3847" s="5">
        <v>3841</v>
      </c>
      <c r="B3847" s="10" t="s">
        <v>7431</v>
      </c>
      <c r="C3847" s="10" t="s">
        <v>7432</v>
      </c>
      <c r="D3847" s="7">
        <v>16.309999999999999</v>
      </c>
      <c r="E3847" s="5">
        <v>3</v>
      </c>
      <c r="F3847" s="5">
        <v>3</v>
      </c>
      <c r="G3847" s="12">
        <f>SUM($D$7:D3847)</f>
        <v>10664077.101000044</v>
      </c>
      <c r="H3847" s="11">
        <f t="shared" ref="H3847:H3910" si="60">G3847/SUM($D$7:$D$4167)</f>
        <v>0.99975555262844296</v>
      </c>
    </row>
    <row r="3848" spans="1:8" ht="15" customHeight="1" x14ac:dyDescent="0.25">
      <c r="A3848" s="5">
        <v>3842</v>
      </c>
      <c r="B3848" s="10" t="s">
        <v>7433</v>
      </c>
      <c r="C3848" s="10" t="s">
        <v>7434</v>
      </c>
      <c r="D3848" s="7">
        <v>16.25</v>
      </c>
      <c r="E3848" s="5">
        <v>13</v>
      </c>
      <c r="F3848" s="5">
        <v>2</v>
      </c>
      <c r="G3848" s="12">
        <f>SUM($D$7:D3848)</f>
        <v>10664093.351000044</v>
      </c>
      <c r="H3848" s="11">
        <f t="shared" si="60"/>
        <v>0.99975707606338959</v>
      </c>
    </row>
    <row r="3849" spans="1:8" ht="15" customHeight="1" x14ac:dyDescent="0.25">
      <c r="A3849" s="5">
        <v>3843</v>
      </c>
      <c r="B3849" s="10" t="s">
        <v>7435</v>
      </c>
      <c r="C3849" s="10" t="s">
        <v>7436</v>
      </c>
      <c r="D3849" s="7">
        <v>16.25</v>
      </c>
      <c r="E3849" s="5">
        <v>13</v>
      </c>
      <c r="F3849" s="5">
        <v>7</v>
      </c>
      <c r="G3849" s="12">
        <f>SUM($D$7:D3849)</f>
        <v>10664109.601000044</v>
      </c>
      <c r="H3849" s="11">
        <f t="shared" si="60"/>
        <v>0.99975859949833634</v>
      </c>
    </row>
    <row r="3850" spans="1:8" ht="15" customHeight="1" x14ac:dyDescent="0.25">
      <c r="A3850" s="5">
        <v>3844</v>
      </c>
      <c r="B3850" s="10" t="s">
        <v>3566</v>
      </c>
      <c r="C3850" s="10" t="s">
        <v>7437</v>
      </c>
      <c r="D3850" s="7">
        <v>16.25</v>
      </c>
      <c r="E3850" s="5">
        <v>13</v>
      </c>
      <c r="F3850" s="5">
        <v>2</v>
      </c>
      <c r="G3850" s="12">
        <f>SUM($D$7:D3850)</f>
        <v>10664125.851000044</v>
      </c>
      <c r="H3850" s="11">
        <f t="shared" si="60"/>
        <v>0.99976012293328309</v>
      </c>
    </row>
    <row r="3851" spans="1:8" ht="15" customHeight="1" x14ac:dyDescent="0.25">
      <c r="A3851" s="5">
        <v>3845</v>
      </c>
      <c r="B3851" s="10" t="s">
        <v>7438</v>
      </c>
      <c r="C3851" s="10" t="s">
        <v>7439</v>
      </c>
      <c r="D3851" s="7">
        <v>16.22</v>
      </c>
      <c r="E3851" s="5">
        <v>32</v>
      </c>
      <c r="F3851" s="5">
        <v>9</v>
      </c>
      <c r="G3851" s="12">
        <f>SUM($D$7:D3851)</f>
        <v>10664142.071000045</v>
      </c>
      <c r="H3851" s="11">
        <f t="shared" si="60"/>
        <v>0.9997616435557346</v>
      </c>
    </row>
    <row r="3852" spans="1:8" ht="15" customHeight="1" x14ac:dyDescent="0.25">
      <c r="A3852" s="5">
        <v>3846</v>
      </c>
      <c r="B3852" s="10" t="s">
        <v>7440</v>
      </c>
      <c r="C3852" s="10" t="s">
        <v>7441</v>
      </c>
      <c r="D3852" s="7">
        <v>16.13</v>
      </c>
      <c r="E3852" s="5">
        <v>1</v>
      </c>
      <c r="F3852" s="5">
        <v>1</v>
      </c>
      <c r="G3852" s="12">
        <f>SUM($D$7:D3852)</f>
        <v>10664158.201000046</v>
      </c>
      <c r="H3852" s="11">
        <f t="shared" si="60"/>
        <v>0.99976315574070029</v>
      </c>
    </row>
    <row r="3853" spans="1:8" ht="15" customHeight="1" x14ac:dyDescent="0.25">
      <c r="A3853" s="5">
        <v>3847</v>
      </c>
      <c r="B3853" s="10" t="s">
        <v>7442</v>
      </c>
      <c r="C3853" s="10" t="s">
        <v>7443</v>
      </c>
      <c r="D3853" s="7">
        <v>15.98</v>
      </c>
      <c r="E3853" s="5">
        <v>26</v>
      </c>
      <c r="F3853" s="5">
        <v>14</v>
      </c>
      <c r="G3853" s="12">
        <f>SUM($D$7:D3853)</f>
        <v>10664174.181000046</v>
      </c>
      <c r="H3853" s="11">
        <f t="shared" si="60"/>
        <v>0.99976465386318947</v>
      </c>
    </row>
    <row r="3854" spans="1:8" ht="15" customHeight="1" x14ac:dyDescent="0.25">
      <c r="A3854" s="5">
        <v>3848</v>
      </c>
      <c r="B3854" s="10" t="s">
        <v>7444</v>
      </c>
      <c r="C3854" s="10" t="s">
        <v>7445</v>
      </c>
      <c r="D3854" s="7">
        <v>15.97</v>
      </c>
      <c r="E3854" s="5">
        <v>3</v>
      </c>
      <c r="F3854" s="5">
        <v>2</v>
      </c>
      <c r="G3854" s="12">
        <f>SUM($D$7:D3854)</f>
        <v>10664190.151000047</v>
      </c>
      <c r="H3854" s="11">
        <f t="shared" si="60"/>
        <v>0.99976615104818023</v>
      </c>
    </row>
    <row r="3855" spans="1:8" ht="15" customHeight="1" x14ac:dyDescent="0.25">
      <c r="A3855" s="5">
        <v>3849</v>
      </c>
      <c r="B3855" s="10" t="s">
        <v>7446</v>
      </c>
      <c r="C3855" s="10" t="s">
        <v>7447</v>
      </c>
      <c r="D3855" s="7">
        <v>15.9</v>
      </c>
      <c r="E3855" s="5">
        <v>2</v>
      </c>
      <c r="F3855" s="5">
        <v>1</v>
      </c>
      <c r="G3855" s="12">
        <f>SUM($D$7:D3855)</f>
        <v>10664206.051000047</v>
      </c>
      <c r="H3855" s="11">
        <f t="shared" si="60"/>
        <v>0.99976764167068199</v>
      </c>
    </row>
    <row r="3856" spans="1:8" ht="15" customHeight="1" x14ac:dyDescent="0.25">
      <c r="A3856" s="5">
        <v>3850</v>
      </c>
      <c r="B3856" s="10" t="s">
        <v>7448</v>
      </c>
      <c r="C3856" s="10" t="s">
        <v>7449</v>
      </c>
      <c r="D3856" s="7">
        <v>15.9</v>
      </c>
      <c r="E3856" s="5">
        <v>2</v>
      </c>
      <c r="F3856" s="5">
        <v>2</v>
      </c>
      <c r="G3856" s="12">
        <f>SUM($D$7:D3856)</f>
        <v>10664221.951000048</v>
      </c>
      <c r="H3856" s="11">
        <f t="shared" si="60"/>
        <v>0.99976913229318376</v>
      </c>
    </row>
    <row r="3857" spans="1:8" ht="15" customHeight="1" x14ac:dyDescent="0.25">
      <c r="A3857" s="5">
        <v>3851</v>
      </c>
      <c r="B3857" s="10" t="s">
        <v>1612</v>
      </c>
      <c r="C3857" s="10" t="s">
        <v>7450</v>
      </c>
      <c r="D3857" s="7">
        <v>15.8</v>
      </c>
      <c r="E3857" s="5">
        <v>4</v>
      </c>
      <c r="F3857" s="5">
        <v>1</v>
      </c>
      <c r="G3857" s="12">
        <f>SUM($D$7:D3857)</f>
        <v>10664237.751000049</v>
      </c>
      <c r="H3857" s="11">
        <f t="shared" si="60"/>
        <v>0.99977061354070118</v>
      </c>
    </row>
    <row r="3858" spans="1:8" ht="15" customHeight="1" x14ac:dyDescent="0.25">
      <c r="A3858" s="5">
        <v>3852</v>
      </c>
      <c r="B3858" s="10" t="s">
        <v>7451</v>
      </c>
      <c r="C3858" s="10" t="s">
        <v>7452</v>
      </c>
      <c r="D3858" s="7">
        <v>15.79</v>
      </c>
      <c r="E3858" s="5">
        <v>1</v>
      </c>
      <c r="F3858" s="5">
        <v>1</v>
      </c>
      <c r="G3858" s="12">
        <f>SUM($D$7:D3858)</f>
        <v>10664253.541000048</v>
      </c>
      <c r="H3858" s="11">
        <f t="shared" si="60"/>
        <v>0.99977209385072019</v>
      </c>
    </row>
    <row r="3859" spans="1:8" ht="15" customHeight="1" x14ac:dyDescent="0.25">
      <c r="A3859" s="5">
        <v>3853</v>
      </c>
      <c r="B3859" s="10" t="s">
        <v>7453</v>
      </c>
      <c r="C3859" s="10" t="s">
        <v>7454</v>
      </c>
      <c r="D3859" s="7">
        <v>15.6</v>
      </c>
      <c r="E3859" s="5">
        <v>8</v>
      </c>
      <c r="F3859" s="5">
        <v>6</v>
      </c>
      <c r="G3859" s="12">
        <f>SUM($D$7:D3859)</f>
        <v>10664269.141000047</v>
      </c>
      <c r="H3859" s="11">
        <f t="shared" si="60"/>
        <v>0.99977355634826892</v>
      </c>
    </row>
    <row r="3860" spans="1:8" ht="15" customHeight="1" x14ac:dyDescent="0.25">
      <c r="A3860" s="5">
        <v>3854</v>
      </c>
      <c r="B3860" s="10" t="s">
        <v>7455</v>
      </c>
      <c r="C3860" s="10" t="s">
        <v>7456</v>
      </c>
      <c r="D3860" s="7">
        <v>15.6</v>
      </c>
      <c r="E3860" s="5">
        <v>8</v>
      </c>
      <c r="F3860" s="5">
        <v>2</v>
      </c>
      <c r="G3860" s="12">
        <f>SUM($D$7:D3860)</f>
        <v>10664284.741000047</v>
      </c>
      <c r="H3860" s="11">
        <f t="shared" si="60"/>
        <v>0.99977501884581776</v>
      </c>
    </row>
    <row r="3861" spans="1:8" ht="15" customHeight="1" x14ac:dyDescent="0.25">
      <c r="A3861" s="5">
        <v>3855</v>
      </c>
      <c r="B3861" s="10" t="s">
        <v>7457</v>
      </c>
      <c r="C3861" s="10" t="s">
        <v>7458</v>
      </c>
      <c r="D3861" s="7">
        <v>15.43</v>
      </c>
      <c r="E3861" s="5">
        <v>27</v>
      </c>
      <c r="F3861" s="5">
        <v>15</v>
      </c>
      <c r="G3861" s="12">
        <f>SUM($D$7:D3861)</f>
        <v>10664300.171000047</v>
      </c>
      <c r="H3861" s="11">
        <f t="shared" si="60"/>
        <v>0.99977646540589327</v>
      </c>
    </row>
    <row r="3862" spans="1:8" ht="15" customHeight="1" x14ac:dyDescent="0.25">
      <c r="A3862" s="5">
        <v>3856</v>
      </c>
      <c r="B3862" s="10" t="s">
        <v>7459</v>
      </c>
      <c r="C3862" s="10" t="s">
        <v>6335</v>
      </c>
      <c r="D3862" s="7">
        <v>15.4</v>
      </c>
      <c r="E3862" s="5">
        <v>28</v>
      </c>
      <c r="F3862" s="5">
        <v>17</v>
      </c>
      <c r="G3862" s="12">
        <f>SUM($D$7:D3862)</f>
        <v>10664315.571000047</v>
      </c>
      <c r="H3862" s="11">
        <f t="shared" si="60"/>
        <v>0.99977790915347364</v>
      </c>
    </row>
    <row r="3863" spans="1:8" ht="15" customHeight="1" x14ac:dyDescent="0.25">
      <c r="A3863" s="5">
        <v>3857</v>
      </c>
      <c r="B3863" s="10" t="s">
        <v>7460</v>
      </c>
      <c r="C3863" s="10" t="s">
        <v>7461</v>
      </c>
      <c r="D3863" s="7">
        <v>15.3</v>
      </c>
      <c r="E3863" s="5">
        <v>6</v>
      </c>
      <c r="F3863" s="5">
        <v>1</v>
      </c>
      <c r="G3863" s="12">
        <f>SUM($D$7:D3863)</f>
        <v>10664330.871000048</v>
      </c>
      <c r="H3863" s="11">
        <f t="shared" si="60"/>
        <v>0.99977934352606967</v>
      </c>
    </row>
    <row r="3864" spans="1:8" ht="15" customHeight="1" x14ac:dyDescent="0.25">
      <c r="A3864" s="5">
        <v>3858</v>
      </c>
      <c r="B3864" s="10" t="s">
        <v>5283</v>
      </c>
      <c r="C3864" s="10" t="s">
        <v>7462</v>
      </c>
      <c r="D3864" s="7">
        <v>15.3</v>
      </c>
      <c r="E3864" s="5">
        <v>6</v>
      </c>
      <c r="F3864" s="5">
        <v>1</v>
      </c>
      <c r="G3864" s="12">
        <f>SUM($D$7:D3864)</f>
        <v>10664346.171000049</v>
      </c>
      <c r="H3864" s="11">
        <f t="shared" si="60"/>
        <v>0.99978077789866571</v>
      </c>
    </row>
    <row r="3865" spans="1:8" ht="15" customHeight="1" x14ac:dyDescent="0.25">
      <c r="A3865" s="5">
        <v>3859</v>
      </c>
      <c r="B3865" s="10" t="s">
        <v>2239</v>
      </c>
      <c r="C3865" s="10" t="s">
        <v>7463</v>
      </c>
      <c r="D3865" s="7">
        <v>15.3</v>
      </c>
      <c r="E3865" s="5">
        <v>6</v>
      </c>
      <c r="F3865" s="5">
        <v>1</v>
      </c>
      <c r="G3865" s="12">
        <f>SUM($D$7:D3865)</f>
        <v>10664361.471000049</v>
      </c>
      <c r="H3865" s="11">
        <f t="shared" si="60"/>
        <v>0.99978221227126185</v>
      </c>
    </row>
    <row r="3866" spans="1:8" ht="15" customHeight="1" x14ac:dyDescent="0.25">
      <c r="A3866" s="5">
        <v>3860</v>
      </c>
      <c r="B3866" s="10" t="s">
        <v>7464</v>
      </c>
      <c r="C3866" s="10" t="s">
        <v>7465</v>
      </c>
      <c r="D3866" s="7">
        <v>15.16</v>
      </c>
      <c r="E3866" s="5">
        <v>3</v>
      </c>
      <c r="F3866" s="5">
        <v>3</v>
      </c>
      <c r="G3866" s="12">
        <f>SUM($D$7:D3866)</f>
        <v>10664376.631000049</v>
      </c>
      <c r="H3866" s="11">
        <f t="shared" si="60"/>
        <v>0.99978363351887978</v>
      </c>
    </row>
    <row r="3867" spans="1:8" ht="15" customHeight="1" x14ac:dyDescent="0.25">
      <c r="A3867" s="5">
        <v>3861</v>
      </c>
      <c r="B3867" s="10" t="s">
        <v>7466</v>
      </c>
      <c r="C3867" s="10" t="s">
        <v>7467</v>
      </c>
      <c r="D3867" s="7">
        <v>15.12</v>
      </c>
      <c r="E3867" s="5">
        <v>72</v>
      </c>
      <c r="F3867" s="5">
        <v>3</v>
      </c>
      <c r="G3867" s="12">
        <f>SUM($D$7:D3867)</f>
        <v>10664391.751000049</v>
      </c>
      <c r="H3867" s="11">
        <f t="shared" si="60"/>
        <v>0.99978505101650406</v>
      </c>
    </row>
    <row r="3868" spans="1:8" ht="15" customHeight="1" x14ac:dyDescent="0.25">
      <c r="A3868" s="5">
        <v>3862</v>
      </c>
      <c r="B3868" s="10" t="s">
        <v>7468</v>
      </c>
      <c r="C3868" s="10" t="s">
        <v>7469</v>
      </c>
      <c r="D3868" s="7">
        <v>15.12</v>
      </c>
      <c r="E3868" s="5">
        <v>2</v>
      </c>
      <c r="F3868" s="5">
        <v>2</v>
      </c>
      <c r="G3868" s="12">
        <f>SUM($D$7:D3868)</f>
        <v>10664406.871000048</v>
      </c>
      <c r="H3868" s="11">
        <f t="shared" si="60"/>
        <v>0.99978646851412822</v>
      </c>
    </row>
    <row r="3869" spans="1:8" ht="15" customHeight="1" x14ac:dyDescent="0.25">
      <c r="A3869" s="5">
        <v>3863</v>
      </c>
      <c r="B3869" s="10" t="s">
        <v>7470</v>
      </c>
      <c r="C3869" s="10" t="s">
        <v>3868</v>
      </c>
      <c r="D3869" s="7">
        <v>15.08</v>
      </c>
      <c r="E3869" s="5">
        <v>2</v>
      </c>
      <c r="F3869" s="5">
        <v>2</v>
      </c>
      <c r="G3869" s="12">
        <f>SUM($D$7:D3869)</f>
        <v>10664421.951000048</v>
      </c>
      <c r="H3869" s="11">
        <f t="shared" si="60"/>
        <v>0.99978788226175874</v>
      </c>
    </row>
    <row r="3870" spans="1:8" ht="15" customHeight="1" x14ac:dyDescent="0.25">
      <c r="A3870" s="5">
        <v>3864</v>
      </c>
      <c r="B3870" s="10" t="s">
        <v>7471</v>
      </c>
      <c r="C3870" s="10" t="s">
        <v>7472</v>
      </c>
      <c r="D3870" s="7">
        <v>15.02</v>
      </c>
      <c r="E3870" s="5">
        <v>10</v>
      </c>
      <c r="F3870" s="5">
        <v>3</v>
      </c>
      <c r="G3870" s="12">
        <f>SUM($D$7:D3870)</f>
        <v>10664436.971000047</v>
      </c>
      <c r="H3870" s="11">
        <f t="shared" si="60"/>
        <v>0.99978929038439868</v>
      </c>
    </row>
    <row r="3871" spans="1:8" ht="15" customHeight="1" x14ac:dyDescent="0.25">
      <c r="A3871" s="5">
        <v>3865</v>
      </c>
      <c r="B3871" s="10" t="s">
        <v>7473</v>
      </c>
      <c r="C3871" s="10" t="s">
        <v>7474</v>
      </c>
      <c r="D3871" s="7">
        <v>15</v>
      </c>
      <c r="E3871" s="5">
        <v>12</v>
      </c>
      <c r="F3871" s="5">
        <v>1</v>
      </c>
      <c r="G3871" s="12">
        <f>SUM($D$7:D3871)</f>
        <v>10664451.971000047</v>
      </c>
      <c r="H3871" s="11">
        <f t="shared" si="60"/>
        <v>0.9997906966320419</v>
      </c>
    </row>
    <row r="3872" spans="1:8" ht="15" customHeight="1" x14ac:dyDescent="0.25">
      <c r="A3872" s="5">
        <v>3866</v>
      </c>
      <c r="B3872" s="10" t="s">
        <v>7475</v>
      </c>
      <c r="C3872" s="10" t="s">
        <v>7476</v>
      </c>
      <c r="D3872" s="7">
        <v>15</v>
      </c>
      <c r="E3872" s="5">
        <v>2</v>
      </c>
      <c r="F3872" s="5">
        <v>1</v>
      </c>
      <c r="G3872" s="12">
        <f>SUM($D$7:D3872)</f>
        <v>10664466.971000047</v>
      </c>
      <c r="H3872" s="11">
        <f t="shared" si="60"/>
        <v>0.99979210287968501</v>
      </c>
    </row>
    <row r="3873" spans="1:8" ht="15" customHeight="1" x14ac:dyDescent="0.25">
      <c r="A3873" s="5">
        <v>3867</v>
      </c>
      <c r="B3873" s="10" t="s">
        <v>7477</v>
      </c>
      <c r="C3873" s="10" t="s">
        <v>7478</v>
      </c>
      <c r="D3873" s="7">
        <v>15</v>
      </c>
      <c r="E3873" s="5">
        <v>4</v>
      </c>
      <c r="F3873" s="5">
        <v>2</v>
      </c>
      <c r="G3873" s="12">
        <f>SUM($D$7:D3873)</f>
        <v>10664481.971000047</v>
      </c>
      <c r="H3873" s="11">
        <f t="shared" si="60"/>
        <v>0.99979350912732812</v>
      </c>
    </row>
    <row r="3874" spans="1:8" ht="15" customHeight="1" x14ac:dyDescent="0.25">
      <c r="A3874" s="5">
        <v>3868</v>
      </c>
      <c r="B3874" s="10" t="s">
        <v>1714</v>
      </c>
      <c r="C3874" s="10" t="s">
        <v>7479</v>
      </c>
      <c r="D3874" s="7">
        <v>15</v>
      </c>
      <c r="E3874" s="5">
        <v>12</v>
      </c>
      <c r="F3874" s="5">
        <v>1</v>
      </c>
      <c r="G3874" s="12">
        <f>SUM($D$7:D3874)</f>
        <v>10664496.971000047</v>
      </c>
      <c r="H3874" s="11">
        <f t="shared" si="60"/>
        <v>0.99979491537497123</v>
      </c>
    </row>
    <row r="3875" spans="1:8" ht="15" customHeight="1" x14ac:dyDescent="0.25">
      <c r="A3875" s="5">
        <v>3869</v>
      </c>
      <c r="B3875" s="10" t="s">
        <v>7480</v>
      </c>
      <c r="C3875" s="10" t="s">
        <v>7481</v>
      </c>
      <c r="D3875" s="7">
        <v>15</v>
      </c>
      <c r="E3875" s="5">
        <v>2</v>
      </c>
      <c r="F3875" s="5">
        <v>2</v>
      </c>
      <c r="G3875" s="12">
        <f>SUM($D$7:D3875)</f>
        <v>10664511.971000047</v>
      </c>
      <c r="H3875" s="11">
        <f t="shared" si="60"/>
        <v>0.99979632162261434</v>
      </c>
    </row>
    <row r="3876" spans="1:8" ht="15" customHeight="1" x14ac:dyDescent="0.25">
      <c r="A3876" s="5">
        <v>3870</v>
      </c>
      <c r="B3876" s="10" t="s">
        <v>7482</v>
      </c>
      <c r="C3876" s="10" t="s">
        <v>7483</v>
      </c>
      <c r="D3876" s="7">
        <v>15</v>
      </c>
      <c r="E3876" s="5">
        <v>12</v>
      </c>
      <c r="F3876" s="5">
        <v>6</v>
      </c>
      <c r="G3876" s="12">
        <f>SUM($D$7:D3876)</f>
        <v>10664526.971000047</v>
      </c>
      <c r="H3876" s="11">
        <f t="shared" si="60"/>
        <v>0.99979772787025745</v>
      </c>
    </row>
    <row r="3877" spans="1:8" ht="15" customHeight="1" x14ac:dyDescent="0.25">
      <c r="A3877" s="5">
        <v>3871</v>
      </c>
      <c r="B3877" s="10" t="s">
        <v>7484</v>
      </c>
      <c r="C3877" s="10" t="s">
        <v>7485</v>
      </c>
      <c r="D3877" s="7">
        <v>15</v>
      </c>
      <c r="E3877" s="5">
        <v>12</v>
      </c>
      <c r="F3877" s="5">
        <v>1</v>
      </c>
      <c r="G3877" s="12">
        <f>SUM($D$7:D3877)</f>
        <v>10664541.971000047</v>
      </c>
      <c r="H3877" s="11">
        <f t="shared" si="60"/>
        <v>0.99979913411790067</v>
      </c>
    </row>
    <row r="3878" spans="1:8" ht="15" customHeight="1" x14ac:dyDescent="0.25">
      <c r="A3878" s="5">
        <v>3872</v>
      </c>
      <c r="B3878" s="10" t="s">
        <v>2141</v>
      </c>
      <c r="C3878" s="10" t="s">
        <v>7486</v>
      </c>
      <c r="D3878" s="7">
        <v>15</v>
      </c>
      <c r="E3878" s="5">
        <v>12</v>
      </c>
      <c r="F3878" s="5">
        <v>1</v>
      </c>
      <c r="G3878" s="12">
        <f>SUM($D$7:D3878)</f>
        <v>10664556.971000047</v>
      </c>
      <c r="H3878" s="11">
        <f t="shared" si="60"/>
        <v>0.99980054036554378</v>
      </c>
    </row>
    <row r="3879" spans="1:8" ht="15" customHeight="1" x14ac:dyDescent="0.25">
      <c r="A3879" s="5">
        <v>3873</v>
      </c>
      <c r="B3879" s="10" t="s">
        <v>7487</v>
      </c>
      <c r="C3879" s="10" t="s">
        <v>7488</v>
      </c>
      <c r="D3879" s="7">
        <v>15</v>
      </c>
      <c r="E3879" s="5">
        <v>2</v>
      </c>
      <c r="F3879" s="5">
        <v>1</v>
      </c>
      <c r="G3879" s="12">
        <f>SUM($D$7:D3879)</f>
        <v>10664571.971000047</v>
      </c>
      <c r="H3879" s="11">
        <f t="shared" si="60"/>
        <v>0.99980194661318689</v>
      </c>
    </row>
    <row r="3880" spans="1:8" ht="15" customHeight="1" x14ac:dyDescent="0.25">
      <c r="A3880" s="5">
        <v>3874</v>
      </c>
      <c r="B3880" s="10" t="s">
        <v>7489</v>
      </c>
      <c r="C3880" s="10" t="s">
        <v>7490</v>
      </c>
      <c r="D3880" s="7">
        <v>15</v>
      </c>
      <c r="E3880" s="5">
        <v>12</v>
      </c>
      <c r="F3880" s="5">
        <v>2</v>
      </c>
      <c r="G3880" s="12">
        <f>SUM($D$7:D3880)</f>
        <v>10664586.971000047</v>
      </c>
      <c r="H3880" s="11">
        <f t="shared" si="60"/>
        <v>0.99980335286083</v>
      </c>
    </row>
    <row r="3881" spans="1:8" ht="15" customHeight="1" x14ac:dyDescent="0.25">
      <c r="A3881" s="5">
        <v>3875</v>
      </c>
      <c r="B3881" s="10" t="s">
        <v>7491</v>
      </c>
      <c r="C3881" s="10" t="s">
        <v>7492</v>
      </c>
      <c r="D3881" s="7">
        <v>14.96</v>
      </c>
      <c r="E3881" s="5">
        <v>4</v>
      </c>
      <c r="F3881" s="5">
        <v>4</v>
      </c>
      <c r="G3881" s="12">
        <f>SUM($D$7:D3881)</f>
        <v>10664601.931000048</v>
      </c>
      <c r="H3881" s="11">
        <f t="shared" si="60"/>
        <v>0.99980475535847946</v>
      </c>
    </row>
    <row r="3882" spans="1:8" ht="15" customHeight="1" x14ac:dyDescent="0.25">
      <c r="A3882" s="5">
        <v>3876</v>
      </c>
      <c r="B3882" s="10" t="s">
        <v>7493</v>
      </c>
      <c r="C3882" s="10" t="s">
        <v>7494</v>
      </c>
      <c r="D3882" s="7">
        <v>14.94</v>
      </c>
      <c r="E3882" s="5">
        <v>6</v>
      </c>
      <c r="F3882" s="5">
        <v>4</v>
      </c>
      <c r="G3882" s="12">
        <f>SUM($D$7:D3882)</f>
        <v>10664616.871000048</v>
      </c>
      <c r="H3882" s="11">
        <f t="shared" si="60"/>
        <v>0.99980615598113198</v>
      </c>
    </row>
    <row r="3883" spans="1:8" ht="15" customHeight="1" x14ac:dyDescent="0.25">
      <c r="A3883" s="5">
        <v>3877</v>
      </c>
      <c r="B3883" s="10" t="s">
        <v>3363</v>
      </c>
      <c r="C3883" s="10" t="s">
        <v>7495</v>
      </c>
      <c r="D3883" s="7">
        <v>14.94</v>
      </c>
      <c r="E3883" s="5">
        <v>18</v>
      </c>
      <c r="F3883" s="5">
        <v>2</v>
      </c>
      <c r="G3883" s="12">
        <f>SUM($D$7:D3883)</f>
        <v>10664631.811000047</v>
      </c>
      <c r="H3883" s="11">
        <f t="shared" si="60"/>
        <v>0.99980755660378451</v>
      </c>
    </row>
    <row r="3884" spans="1:8" ht="15" customHeight="1" x14ac:dyDescent="0.25">
      <c r="A3884" s="5">
        <v>3878</v>
      </c>
      <c r="B3884" s="10" t="s">
        <v>3855</v>
      </c>
      <c r="C3884" s="10" t="s">
        <v>7496</v>
      </c>
      <c r="D3884" s="7">
        <v>14.94</v>
      </c>
      <c r="E3884" s="5">
        <v>18</v>
      </c>
      <c r="F3884" s="5">
        <v>2</v>
      </c>
      <c r="G3884" s="12">
        <f>SUM($D$7:D3884)</f>
        <v>10664646.751000047</v>
      </c>
      <c r="H3884" s="11">
        <f t="shared" si="60"/>
        <v>0.99980895722643703</v>
      </c>
    </row>
    <row r="3885" spans="1:8" ht="15" customHeight="1" x14ac:dyDescent="0.25">
      <c r="A3885" s="5">
        <v>3879</v>
      </c>
      <c r="B3885" s="10" t="s">
        <v>7497</v>
      </c>
      <c r="C3885" s="10" t="s">
        <v>3429</v>
      </c>
      <c r="D3885" s="7">
        <v>14.92</v>
      </c>
      <c r="E3885" s="5">
        <v>2</v>
      </c>
      <c r="F3885" s="5">
        <v>2</v>
      </c>
      <c r="G3885" s="12">
        <f>SUM($D$7:D3885)</f>
        <v>10664661.671000047</v>
      </c>
      <c r="H3885" s="11">
        <f t="shared" si="60"/>
        <v>0.99981035597409273</v>
      </c>
    </row>
    <row r="3886" spans="1:8" ht="15" customHeight="1" x14ac:dyDescent="0.25">
      <c r="A3886" s="5">
        <v>3880</v>
      </c>
      <c r="B3886" s="10" t="s">
        <v>7498</v>
      </c>
      <c r="C3886" s="10" t="s">
        <v>7499</v>
      </c>
      <c r="D3886" s="7">
        <v>14.85</v>
      </c>
      <c r="E3886" s="5">
        <v>3</v>
      </c>
      <c r="F3886" s="5">
        <v>1</v>
      </c>
      <c r="G3886" s="12">
        <f>SUM($D$7:D3886)</f>
        <v>10664676.521000046</v>
      </c>
      <c r="H3886" s="11">
        <f t="shared" si="60"/>
        <v>0.99981174815925933</v>
      </c>
    </row>
    <row r="3887" spans="1:8" ht="15" customHeight="1" x14ac:dyDescent="0.25">
      <c r="A3887" s="5">
        <v>3881</v>
      </c>
      <c r="B3887" s="10" t="s">
        <v>7500</v>
      </c>
      <c r="C3887" s="10" t="s">
        <v>7501</v>
      </c>
      <c r="D3887" s="7">
        <v>14.85</v>
      </c>
      <c r="E3887" s="5">
        <v>3</v>
      </c>
      <c r="F3887" s="5">
        <v>1</v>
      </c>
      <c r="G3887" s="12">
        <f>SUM($D$7:D3887)</f>
        <v>10664691.371000046</v>
      </c>
      <c r="H3887" s="11">
        <f t="shared" si="60"/>
        <v>0.99981314034442603</v>
      </c>
    </row>
    <row r="3888" spans="1:8" ht="15" customHeight="1" x14ac:dyDescent="0.25">
      <c r="A3888" s="5">
        <v>3882</v>
      </c>
      <c r="B3888" s="10" t="s">
        <v>7502</v>
      </c>
      <c r="C3888" s="10" t="s">
        <v>7503</v>
      </c>
      <c r="D3888" s="7">
        <v>14.85</v>
      </c>
      <c r="E3888" s="5">
        <v>3</v>
      </c>
      <c r="F3888" s="5">
        <v>1</v>
      </c>
      <c r="G3888" s="12">
        <f>SUM($D$7:D3888)</f>
        <v>10664706.221000046</v>
      </c>
      <c r="H3888" s="11">
        <f t="shared" si="60"/>
        <v>0.99981453252959274</v>
      </c>
    </row>
    <row r="3889" spans="1:8" ht="15" customHeight="1" x14ac:dyDescent="0.25">
      <c r="A3889" s="5">
        <v>3883</v>
      </c>
      <c r="B3889" s="10" t="s">
        <v>7504</v>
      </c>
      <c r="C3889" s="10" t="s">
        <v>7505</v>
      </c>
      <c r="D3889" s="7">
        <v>14.75</v>
      </c>
      <c r="E3889" s="5">
        <v>5</v>
      </c>
      <c r="F3889" s="5">
        <v>1</v>
      </c>
      <c r="G3889" s="12">
        <f>SUM($D$7:D3889)</f>
        <v>10664720.971000046</v>
      </c>
      <c r="H3889" s="11">
        <f t="shared" si="60"/>
        <v>0.9998159153397751</v>
      </c>
    </row>
    <row r="3890" spans="1:8" ht="15" customHeight="1" x14ac:dyDescent="0.25">
      <c r="A3890" s="5">
        <v>3884</v>
      </c>
      <c r="B3890" s="10" t="s">
        <v>7506</v>
      </c>
      <c r="C3890" s="10" t="s">
        <v>7507</v>
      </c>
      <c r="D3890" s="7">
        <v>14.55</v>
      </c>
      <c r="E3890" s="5">
        <v>5</v>
      </c>
      <c r="F3890" s="5">
        <v>5</v>
      </c>
      <c r="G3890" s="12">
        <f>SUM($D$7:D3890)</f>
        <v>10664735.521000046</v>
      </c>
      <c r="H3890" s="11">
        <f t="shared" si="60"/>
        <v>0.99981727939998899</v>
      </c>
    </row>
    <row r="3891" spans="1:8" ht="15" customHeight="1" x14ac:dyDescent="0.25">
      <c r="A3891" s="5">
        <v>3885</v>
      </c>
      <c r="B3891" s="10" t="s">
        <v>7508</v>
      </c>
      <c r="C3891" s="10" t="s">
        <v>7509</v>
      </c>
      <c r="D3891" s="7">
        <v>14.5</v>
      </c>
      <c r="E3891" s="5">
        <v>5</v>
      </c>
      <c r="F3891" s="5">
        <v>5</v>
      </c>
      <c r="G3891" s="12">
        <f>SUM($D$7:D3891)</f>
        <v>10664750.021000046</v>
      </c>
      <c r="H3891" s="11">
        <f t="shared" si="60"/>
        <v>0.99981863877271071</v>
      </c>
    </row>
    <row r="3892" spans="1:8" ht="15" customHeight="1" x14ac:dyDescent="0.25">
      <c r="A3892" s="5">
        <v>3886</v>
      </c>
      <c r="B3892" s="10" t="s">
        <v>7510</v>
      </c>
      <c r="C3892" s="10" t="s">
        <v>7511</v>
      </c>
      <c r="D3892" s="7">
        <v>14.5</v>
      </c>
      <c r="E3892" s="5">
        <v>29</v>
      </c>
      <c r="F3892" s="5">
        <v>2</v>
      </c>
      <c r="G3892" s="12">
        <f>SUM($D$7:D3892)</f>
        <v>10664764.521000046</v>
      </c>
      <c r="H3892" s="11">
        <f t="shared" si="60"/>
        <v>0.99981999814543243</v>
      </c>
    </row>
    <row r="3893" spans="1:8" ht="15" customHeight="1" x14ac:dyDescent="0.25">
      <c r="A3893" s="5">
        <v>3887</v>
      </c>
      <c r="B3893" s="10" t="s">
        <v>7512</v>
      </c>
      <c r="C3893" s="10" t="s">
        <v>7513</v>
      </c>
      <c r="D3893" s="7">
        <v>14.5</v>
      </c>
      <c r="E3893" s="5">
        <v>5</v>
      </c>
      <c r="F3893" s="5">
        <v>5</v>
      </c>
      <c r="G3893" s="12">
        <f>SUM($D$7:D3893)</f>
        <v>10664779.021000046</v>
      </c>
      <c r="H3893" s="11">
        <f t="shared" si="60"/>
        <v>0.99982135751815415</v>
      </c>
    </row>
    <row r="3894" spans="1:8" ht="15" customHeight="1" x14ac:dyDescent="0.25">
      <c r="A3894" s="5">
        <v>3888</v>
      </c>
      <c r="B3894" s="10" t="s">
        <v>7514</v>
      </c>
      <c r="C3894" s="10" t="s">
        <v>7515</v>
      </c>
      <c r="D3894" s="7">
        <v>14.43</v>
      </c>
      <c r="E3894" s="5">
        <v>33</v>
      </c>
      <c r="F3894" s="5">
        <v>14</v>
      </c>
      <c r="G3894" s="12">
        <f>SUM($D$7:D3894)</f>
        <v>10664793.451000046</v>
      </c>
      <c r="H3894" s="11">
        <f t="shared" si="60"/>
        <v>0.99982271032838677</v>
      </c>
    </row>
    <row r="3895" spans="1:8" ht="15" customHeight="1" x14ac:dyDescent="0.25">
      <c r="A3895" s="5">
        <v>3889</v>
      </c>
      <c r="B3895" s="10" t="s">
        <v>7516</v>
      </c>
      <c r="C3895" s="10" t="s">
        <v>7517</v>
      </c>
      <c r="D3895" s="7">
        <v>14.37</v>
      </c>
      <c r="E3895" s="5">
        <v>33</v>
      </c>
      <c r="F3895" s="5">
        <v>12</v>
      </c>
      <c r="G3895" s="12">
        <f>SUM($D$7:D3895)</f>
        <v>10664807.821000045</v>
      </c>
      <c r="H3895" s="11">
        <f t="shared" si="60"/>
        <v>0.99982405751362879</v>
      </c>
    </row>
    <row r="3896" spans="1:8" ht="15" customHeight="1" x14ac:dyDescent="0.25">
      <c r="A3896" s="5">
        <v>3890</v>
      </c>
      <c r="B3896" s="10" t="s">
        <v>7518</v>
      </c>
      <c r="C3896" s="10" t="s">
        <v>7519</v>
      </c>
      <c r="D3896" s="7">
        <v>14.14</v>
      </c>
      <c r="E3896" s="5">
        <v>2</v>
      </c>
      <c r="F3896" s="5">
        <v>2</v>
      </c>
      <c r="G3896" s="12">
        <f>SUM($D$7:D3896)</f>
        <v>10664821.961000046</v>
      </c>
      <c r="H3896" s="11">
        <f t="shared" si="60"/>
        <v>0.99982538313640712</v>
      </c>
    </row>
    <row r="3897" spans="1:8" ht="15" customHeight="1" x14ac:dyDescent="0.25">
      <c r="A3897" s="5">
        <v>3891</v>
      </c>
      <c r="B3897" s="10" t="s">
        <v>5663</v>
      </c>
      <c r="C3897" s="10" t="s">
        <v>7520</v>
      </c>
      <c r="D3897" s="7">
        <v>14.11</v>
      </c>
      <c r="E3897" s="5">
        <v>17</v>
      </c>
      <c r="F3897" s="5">
        <v>3</v>
      </c>
      <c r="G3897" s="12">
        <f>SUM($D$7:D3897)</f>
        <v>10664836.071000045</v>
      </c>
      <c r="H3897" s="11">
        <f t="shared" si="60"/>
        <v>0.99982670594668999</v>
      </c>
    </row>
    <row r="3898" spans="1:8" ht="15" customHeight="1" x14ac:dyDescent="0.25">
      <c r="A3898" s="5">
        <v>3892</v>
      </c>
      <c r="B3898" s="10" t="s">
        <v>7521</v>
      </c>
      <c r="C3898" s="10" t="s">
        <v>7522</v>
      </c>
      <c r="D3898" s="7">
        <v>14.11</v>
      </c>
      <c r="E3898" s="5">
        <v>17</v>
      </c>
      <c r="F3898" s="5">
        <v>5</v>
      </c>
      <c r="G3898" s="12">
        <f>SUM($D$7:D3898)</f>
        <v>10664850.181000045</v>
      </c>
      <c r="H3898" s="11">
        <f t="shared" si="60"/>
        <v>0.99982802875697296</v>
      </c>
    </row>
    <row r="3899" spans="1:8" ht="15" customHeight="1" x14ac:dyDescent="0.25">
      <c r="A3899" s="5">
        <v>3893</v>
      </c>
      <c r="B3899" s="10" t="s">
        <v>3458</v>
      </c>
      <c r="C3899" s="10" t="s">
        <v>7523</v>
      </c>
      <c r="D3899" s="7">
        <v>13.9</v>
      </c>
      <c r="E3899" s="5">
        <v>2</v>
      </c>
      <c r="F3899" s="5">
        <v>1</v>
      </c>
      <c r="G3899" s="12">
        <f>SUM($D$7:D3899)</f>
        <v>10664864.081000045</v>
      </c>
      <c r="H3899" s="11">
        <f t="shared" si="60"/>
        <v>0.99982933187978895</v>
      </c>
    </row>
    <row r="3900" spans="1:8" ht="15" customHeight="1" x14ac:dyDescent="0.25">
      <c r="A3900" s="5">
        <v>3894</v>
      </c>
      <c r="B3900" s="10" t="s">
        <v>7524</v>
      </c>
      <c r="C3900" s="10" t="s">
        <v>7525</v>
      </c>
      <c r="D3900" s="7">
        <v>13.68</v>
      </c>
      <c r="E3900" s="5">
        <v>36</v>
      </c>
      <c r="F3900" s="5">
        <v>3</v>
      </c>
      <c r="G3900" s="12">
        <f>SUM($D$7:D3900)</f>
        <v>10664877.761000045</v>
      </c>
      <c r="H3900" s="11">
        <f t="shared" si="60"/>
        <v>0.99983061437763943</v>
      </c>
    </row>
    <row r="3901" spans="1:8" ht="15" customHeight="1" x14ac:dyDescent="0.25">
      <c r="A3901" s="5">
        <v>3895</v>
      </c>
      <c r="B3901" s="10" t="s">
        <v>7526</v>
      </c>
      <c r="C3901" s="10" t="s">
        <v>7527</v>
      </c>
      <c r="D3901" s="7">
        <v>13.65</v>
      </c>
      <c r="E3901" s="5">
        <v>23</v>
      </c>
      <c r="F3901" s="5">
        <v>8</v>
      </c>
      <c r="G3901" s="12">
        <f>SUM($D$7:D3901)</f>
        <v>10664891.411000045</v>
      </c>
      <c r="H3901" s="11">
        <f t="shared" si="60"/>
        <v>0.99983189406299477</v>
      </c>
    </row>
    <row r="3902" spans="1:8" ht="15" customHeight="1" x14ac:dyDescent="0.25">
      <c r="A3902" s="5">
        <v>3896</v>
      </c>
      <c r="B3902" s="10" t="s">
        <v>7528</v>
      </c>
      <c r="C3902" s="10" t="s">
        <v>7529</v>
      </c>
      <c r="D3902" s="7">
        <v>13.58</v>
      </c>
      <c r="E3902" s="5">
        <v>16</v>
      </c>
      <c r="F3902" s="5">
        <v>8</v>
      </c>
      <c r="G3902" s="12">
        <f>SUM($D$7:D3902)</f>
        <v>10664904.991000045</v>
      </c>
      <c r="H3902" s="11">
        <f t="shared" si="60"/>
        <v>0.99983316718586102</v>
      </c>
    </row>
    <row r="3903" spans="1:8" ht="15" customHeight="1" x14ac:dyDescent="0.25">
      <c r="A3903" s="5">
        <v>3897</v>
      </c>
      <c r="B3903" s="10" t="s">
        <v>7530</v>
      </c>
      <c r="C3903" s="10" t="s">
        <v>7531</v>
      </c>
      <c r="D3903" s="7">
        <v>13.5</v>
      </c>
      <c r="E3903" s="5">
        <v>2</v>
      </c>
      <c r="F3903" s="5">
        <v>2</v>
      </c>
      <c r="G3903" s="12">
        <f>SUM($D$7:D3903)</f>
        <v>10664918.491000045</v>
      </c>
      <c r="H3903" s="11">
        <f t="shared" si="60"/>
        <v>0.99983443280873985</v>
      </c>
    </row>
    <row r="3904" spans="1:8" ht="15" customHeight="1" x14ac:dyDescent="0.25">
      <c r="A3904" s="5">
        <v>3898</v>
      </c>
      <c r="B3904" s="10" t="s">
        <v>7532</v>
      </c>
      <c r="C3904" s="10" t="s">
        <v>7533</v>
      </c>
      <c r="D3904" s="7">
        <v>13.46</v>
      </c>
      <c r="E3904" s="5">
        <v>24</v>
      </c>
      <c r="F3904" s="5">
        <v>11</v>
      </c>
      <c r="G3904" s="12">
        <f>SUM($D$7:D3904)</f>
        <v>10664931.951000046</v>
      </c>
      <c r="H3904" s="11">
        <f t="shared" si="60"/>
        <v>0.99983569468162503</v>
      </c>
    </row>
    <row r="3905" spans="1:8" ht="15" customHeight="1" x14ac:dyDescent="0.25">
      <c r="A3905" s="5">
        <v>3899</v>
      </c>
      <c r="B3905" s="10" t="s">
        <v>7534</v>
      </c>
      <c r="C3905" s="10" t="s">
        <v>7535</v>
      </c>
      <c r="D3905" s="7">
        <v>13.44</v>
      </c>
      <c r="E3905" s="5">
        <v>32</v>
      </c>
      <c r="F3905" s="5">
        <v>5</v>
      </c>
      <c r="G3905" s="12">
        <f>SUM($D$7:D3905)</f>
        <v>10664945.391000045</v>
      </c>
      <c r="H3905" s="11">
        <f t="shared" si="60"/>
        <v>0.99983695467951317</v>
      </c>
    </row>
    <row r="3906" spans="1:8" ht="15" customHeight="1" x14ac:dyDescent="0.25">
      <c r="A3906" s="5">
        <v>3900</v>
      </c>
      <c r="B3906" s="10" t="s">
        <v>7536</v>
      </c>
      <c r="C3906" s="10" t="s">
        <v>7537</v>
      </c>
      <c r="D3906" s="7">
        <v>13.44</v>
      </c>
      <c r="E3906" s="5">
        <v>32</v>
      </c>
      <c r="F3906" s="5">
        <v>5</v>
      </c>
      <c r="G3906" s="12">
        <f>SUM($D$7:D3906)</f>
        <v>10664958.831000045</v>
      </c>
      <c r="H3906" s="11">
        <f t="shared" si="60"/>
        <v>0.99983821467740142</v>
      </c>
    </row>
    <row r="3907" spans="1:8" ht="15" customHeight="1" x14ac:dyDescent="0.25">
      <c r="A3907" s="5">
        <v>3901</v>
      </c>
      <c r="B3907" s="10" t="s">
        <v>7110</v>
      </c>
      <c r="C3907" s="10" t="s">
        <v>7538</v>
      </c>
      <c r="D3907" s="7">
        <v>13.35</v>
      </c>
      <c r="E3907" s="5">
        <v>2</v>
      </c>
      <c r="F3907" s="5">
        <v>2</v>
      </c>
      <c r="G3907" s="12">
        <f>SUM($D$7:D3907)</f>
        <v>10664972.181000045</v>
      </c>
      <c r="H3907" s="11">
        <f t="shared" si="60"/>
        <v>0.99983946623780373</v>
      </c>
    </row>
    <row r="3908" spans="1:8" ht="15" customHeight="1" x14ac:dyDescent="0.25">
      <c r="A3908" s="5">
        <v>3902</v>
      </c>
      <c r="B3908" s="10" t="s">
        <v>7539</v>
      </c>
      <c r="C3908" s="10" t="s">
        <v>7540</v>
      </c>
      <c r="D3908" s="7">
        <v>13.32</v>
      </c>
      <c r="E3908" s="5">
        <v>4</v>
      </c>
      <c r="F3908" s="5">
        <v>4</v>
      </c>
      <c r="G3908" s="12">
        <f>SUM($D$7:D3908)</f>
        <v>10664985.501000045</v>
      </c>
      <c r="H3908" s="11">
        <f t="shared" si="60"/>
        <v>0.99984071498571081</v>
      </c>
    </row>
    <row r="3909" spans="1:8" ht="15" customHeight="1" x14ac:dyDescent="0.25">
      <c r="A3909" s="5">
        <v>3903</v>
      </c>
      <c r="B3909" s="10" t="s">
        <v>2690</v>
      </c>
      <c r="C3909" s="10" t="s">
        <v>7541</v>
      </c>
      <c r="D3909" s="7">
        <v>13.28</v>
      </c>
      <c r="E3909" s="5">
        <v>16</v>
      </c>
      <c r="F3909" s="5">
        <v>1</v>
      </c>
      <c r="G3909" s="12">
        <f>SUM($D$7:D3909)</f>
        <v>10664998.781000044</v>
      </c>
      <c r="H3909" s="11">
        <f t="shared" si="60"/>
        <v>0.99984195998362413</v>
      </c>
    </row>
    <row r="3910" spans="1:8" ht="15" customHeight="1" x14ac:dyDescent="0.25">
      <c r="A3910" s="5">
        <v>3904</v>
      </c>
      <c r="B3910" s="10" t="s">
        <v>7542</v>
      </c>
      <c r="C3910" s="10" t="s">
        <v>7543</v>
      </c>
      <c r="D3910" s="7">
        <v>13.28</v>
      </c>
      <c r="E3910" s="5">
        <v>8</v>
      </c>
      <c r="F3910" s="5">
        <v>7</v>
      </c>
      <c r="G3910" s="12">
        <f>SUM($D$7:D3910)</f>
        <v>10665012.061000044</v>
      </c>
      <c r="H3910" s="11">
        <f t="shared" si="60"/>
        <v>0.99984320498153745</v>
      </c>
    </row>
    <row r="3911" spans="1:8" ht="15" customHeight="1" x14ac:dyDescent="0.25">
      <c r="A3911" s="5">
        <v>3905</v>
      </c>
      <c r="B3911" s="10" t="s">
        <v>564</v>
      </c>
      <c r="C3911" s="10" t="s">
        <v>7544</v>
      </c>
      <c r="D3911" s="7">
        <v>13.2</v>
      </c>
      <c r="E3911" s="5">
        <v>24</v>
      </c>
      <c r="F3911" s="5">
        <v>1</v>
      </c>
      <c r="G3911" s="12">
        <f>SUM($D$7:D3911)</f>
        <v>10665025.261000043</v>
      </c>
      <c r="H3911" s="11">
        <f t="shared" ref="H3911:H3974" si="61">G3911/SUM($D$7:$D$4167)</f>
        <v>0.99984444247946336</v>
      </c>
    </row>
    <row r="3912" spans="1:8" ht="15" customHeight="1" x14ac:dyDescent="0.25">
      <c r="A3912" s="5">
        <v>3906</v>
      </c>
      <c r="B3912" s="10" t="s">
        <v>7545</v>
      </c>
      <c r="C3912" s="10" t="s">
        <v>7546</v>
      </c>
      <c r="D3912" s="7">
        <v>13.2</v>
      </c>
      <c r="E3912" s="5">
        <v>8</v>
      </c>
      <c r="F3912" s="5">
        <v>1</v>
      </c>
      <c r="G3912" s="12">
        <f>SUM($D$7:D3912)</f>
        <v>10665038.461000042</v>
      </c>
      <c r="H3912" s="11">
        <f t="shared" si="61"/>
        <v>0.99984567997738927</v>
      </c>
    </row>
    <row r="3913" spans="1:8" ht="15" customHeight="1" x14ac:dyDescent="0.25">
      <c r="A3913" s="5">
        <v>3907</v>
      </c>
      <c r="B3913" s="10" t="s">
        <v>7547</v>
      </c>
      <c r="C3913" s="10" t="s">
        <v>7548</v>
      </c>
      <c r="D3913" s="7">
        <v>13.14</v>
      </c>
      <c r="E3913" s="5">
        <v>24</v>
      </c>
      <c r="F3913" s="5">
        <v>6</v>
      </c>
      <c r="G3913" s="12">
        <f>SUM($D$7:D3913)</f>
        <v>10665051.601000043</v>
      </c>
      <c r="H3913" s="11">
        <f t="shared" si="61"/>
        <v>0.9998469118503247</v>
      </c>
    </row>
    <row r="3914" spans="1:8" ht="15" customHeight="1" x14ac:dyDescent="0.25">
      <c r="A3914" s="5">
        <v>3908</v>
      </c>
      <c r="B3914" s="10" t="s">
        <v>7549</v>
      </c>
      <c r="C3914" s="10" t="s">
        <v>7550</v>
      </c>
      <c r="D3914" s="7">
        <v>13.1</v>
      </c>
      <c r="E3914" s="5">
        <v>36</v>
      </c>
      <c r="F3914" s="5">
        <v>12</v>
      </c>
      <c r="G3914" s="12">
        <f>SUM($D$7:D3914)</f>
        <v>10665064.701000042</v>
      </c>
      <c r="H3914" s="11">
        <f t="shared" si="61"/>
        <v>0.99984813997326638</v>
      </c>
    </row>
    <row r="3915" spans="1:8" ht="15" customHeight="1" x14ac:dyDescent="0.25">
      <c r="A3915" s="5">
        <v>3909</v>
      </c>
      <c r="B3915" s="10" t="s">
        <v>7551</v>
      </c>
      <c r="C3915" s="10" t="s">
        <v>7552</v>
      </c>
      <c r="D3915" s="7">
        <v>13</v>
      </c>
      <c r="E3915" s="5">
        <v>20</v>
      </c>
      <c r="F3915" s="5">
        <v>8</v>
      </c>
      <c r="G3915" s="12">
        <f>SUM($D$7:D3915)</f>
        <v>10665077.701000042</v>
      </c>
      <c r="H3915" s="11">
        <f t="shared" si="61"/>
        <v>0.99984935872122371</v>
      </c>
    </row>
    <row r="3916" spans="1:8" ht="15" customHeight="1" x14ac:dyDescent="0.25">
      <c r="A3916" s="5">
        <v>3910</v>
      </c>
      <c r="B3916" s="10" t="s">
        <v>7553</v>
      </c>
      <c r="C3916" s="10" t="s">
        <v>7554</v>
      </c>
      <c r="D3916" s="7">
        <v>12.97</v>
      </c>
      <c r="E3916" s="5">
        <v>52</v>
      </c>
      <c r="F3916" s="5">
        <v>12</v>
      </c>
      <c r="G3916" s="12">
        <f>SUM($D$7:D3916)</f>
        <v>10665090.671000043</v>
      </c>
      <c r="H3916" s="11">
        <f t="shared" si="61"/>
        <v>0.99985057465668581</v>
      </c>
    </row>
    <row r="3917" spans="1:8" ht="15" customHeight="1" x14ac:dyDescent="0.25">
      <c r="A3917" s="5">
        <v>3911</v>
      </c>
      <c r="B3917" s="10" t="s">
        <v>7555</v>
      </c>
      <c r="C3917" s="10" t="s">
        <v>7556</v>
      </c>
      <c r="D3917" s="7">
        <v>12.75</v>
      </c>
      <c r="E3917" s="5">
        <v>5</v>
      </c>
      <c r="F3917" s="5">
        <v>4</v>
      </c>
      <c r="G3917" s="12">
        <f>SUM($D$7:D3917)</f>
        <v>10665103.421000043</v>
      </c>
      <c r="H3917" s="11">
        <f t="shared" si="61"/>
        <v>0.9998517699671825</v>
      </c>
    </row>
    <row r="3918" spans="1:8" ht="15" customHeight="1" x14ac:dyDescent="0.25">
      <c r="A3918" s="5">
        <v>3912</v>
      </c>
      <c r="B3918" s="10" t="s">
        <v>7557</v>
      </c>
      <c r="C3918" s="10" t="s">
        <v>7558</v>
      </c>
      <c r="D3918" s="7">
        <v>12.72</v>
      </c>
      <c r="E3918" s="5">
        <v>1</v>
      </c>
      <c r="F3918" s="5">
        <v>1</v>
      </c>
      <c r="G3918" s="12">
        <f>SUM($D$7:D3918)</f>
        <v>10665116.141000044</v>
      </c>
      <c r="H3918" s="11">
        <f t="shared" si="61"/>
        <v>0.99985296246518396</v>
      </c>
    </row>
    <row r="3919" spans="1:8" ht="15" customHeight="1" x14ac:dyDescent="0.25">
      <c r="A3919" s="5">
        <v>3913</v>
      </c>
      <c r="B3919" s="10" t="s">
        <v>7559</v>
      </c>
      <c r="C3919" s="10" t="s">
        <v>7560</v>
      </c>
      <c r="D3919" s="7">
        <v>12.72</v>
      </c>
      <c r="E3919" s="5">
        <v>2</v>
      </c>
      <c r="F3919" s="5">
        <v>2</v>
      </c>
      <c r="G3919" s="12">
        <f>SUM($D$7:D3919)</f>
        <v>10665128.861000044</v>
      </c>
      <c r="H3919" s="11">
        <f t="shared" si="61"/>
        <v>0.99985415496318542</v>
      </c>
    </row>
    <row r="3920" spans="1:8" ht="15" customHeight="1" x14ac:dyDescent="0.25">
      <c r="A3920" s="5">
        <v>3914</v>
      </c>
      <c r="B3920" s="10" t="s">
        <v>7561</v>
      </c>
      <c r="C3920" s="10" t="s">
        <v>7562</v>
      </c>
      <c r="D3920" s="7">
        <v>12.7</v>
      </c>
      <c r="E3920" s="5">
        <v>5</v>
      </c>
      <c r="F3920" s="5">
        <v>5</v>
      </c>
      <c r="G3920" s="12">
        <f>SUM($D$7:D3920)</f>
        <v>10665141.561000044</v>
      </c>
      <c r="H3920" s="11">
        <f t="shared" si="61"/>
        <v>0.99985534558618983</v>
      </c>
    </row>
    <row r="3921" spans="1:8" ht="15" customHeight="1" x14ac:dyDescent="0.25">
      <c r="A3921" s="5">
        <v>3915</v>
      </c>
      <c r="B3921" s="10" t="s">
        <v>7563</v>
      </c>
      <c r="C3921" s="10" t="s">
        <v>7564</v>
      </c>
      <c r="D3921" s="7">
        <v>12.53</v>
      </c>
      <c r="E3921" s="5">
        <v>5</v>
      </c>
      <c r="F3921" s="5">
        <v>5</v>
      </c>
      <c r="G3921" s="12">
        <f>SUM($D$7:D3921)</f>
        <v>10665154.091000043</v>
      </c>
      <c r="H3921" s="11">
        <f t="shared" si="61"/>
        <v>0.99985652027172101</v>
      </c>
    </row>
    <row r="3922" spans="1:8" ht="15" customHeight="1" x14ac:dyDescent="0.25">
      <c r="A3922" s="5">
        <v>3916</v>
      </c>
      <c r="B3922" s="10" t="s">
        <v>7565</v>
      </c>
      <c r="C3922" s="10" t="s">
        <v>7566</v>
      </c>
      <c r="D3922" s="7">
        <v>12.52</v>
      </c>
      <c r="E3922" s="5">
        <v>5</v>
      </c>
      <c r="F3922" s="5">
        <v>5</v>
      </c>
      <c r="G3922" s="12">
        <f>SUM($D$7:D3922)</f>
        <v>10665166.611000042</v>
      </c>
      <c r="H3922" s="11">
        <f t="shared" si="61"/>
        <v>0.99985769401975377</v>
      </c>
    </row>
    <row r="3923" spans="1:8" ht="15" customHeight="1" x14ac:dyDescent="0.25">
      <c r="A3923" s="5">
        <v>3917</v>
      </c>
      <c r="B3923" s="10" t="s">
        <v>2965</v>
      </c>
      <c r="C3923" s="10" t="s">
        <v>7567</v>
      </c>
      <c r="D3923" s="7">
        <v>12.5</v>
      </c>
      <c r="E3923" s="5">
        <v>1</v>
      </c>
      <c r="F3923" s="5">
        <v>1</v>
      </c>
      <c r="G3923" s="12">
        <f>SUM($D$7:D3923)</f>
        <v>10665179.111000042</v>
      </c>
      <c r="H3923" s="11">
        <f t="shared" si="61"/>
        <v>0.99985886589278972</v>
      </c>
    </row>
    <row r="3924" spans="1:8" ht="15" customHeight="1" x14ac:dyDescent="0.25">
      <c r="A3924" s="5">
        <v>3918</v>
      </c>
      <c r="B3924" s="10" t="s">
        <v>7568</v>
      </c>
      <c r="C3924" s="10" t="s">
        <v>7569</v>
      </c>
      <c r="D3924" s="7">
        <v>12.5</v>
      </c>
      <c r="E3924" s="5">
        <v>10</v>
      </c>
      <c r="F3924" s="5">
        <v>2</v>
      </c>
      <c r="G3924" s="12">
        <f>SUM($D$7:D3924)</f>
        <v>10665191.611000042</v>
      </c>
      <c r="H3924" s="11">
        <f t="shared" si="61"/>
        <v>0.99986003776582566</v>
      </c>
    </row>
    <row r="3925" spans="1:8" ht="15" customHeight="1" x14ac:dyDescent="0.25">
      <c r="A3925" s="5">
        <v>3919</v>
      </c>
      <c r="B3925" s="10" t="s">
        <v>7570</v>
      </c>
      <c r="C3925" s="10" t="s">
        <v>7571</v>
      </c>
      <c r="D3925" s="7">
        <v>12.48</v>
      </c>
      <c r="E3925" s="5">
        <v>3</v>
      </c>
      <c r="F3925" s="5">
        <v>3</v>
      </c>
      <c r="G3925" s="12">
        <f>SUM($D$7:D3925)</f>
        <v>10665204.091000043</v>
      </c>
      <c r="H3925" s="11">
        <f t="shared" si="61"/>
        <v>0.99986120776386478</v>
      </c>
    </row>
    <row r="3926" spans="1:8" ht="15" customHeight="1" x14ac:dyDescent="0.25">
      <c r="A3926" s="5">
        <v>3920</v>
      </c>
      <c r="B3926" s="10" t="s">
        <v>7572</v>
      </c>
      <c r="C3926" s="10" t="s">
        <v>7573</v>
      </c>
      <c r="D3926" s="7">
        <v>12.48</v>
      </c>
      <c r="E3926" s="5">
        <v>1</v>
      </c>
      <c r="F3926" s="5">
        <v>1</v>
      </c>
      <c r="G3926" s="12">
        <f>SUM($D$7:D3926)</f>
        <v>10665216.571000043</v>
      </c>
      <c r="H3926" s="11">
        <f t="shared" si="61"/>
        <v>0.9998623777619039</v>
      </c>
    </row>
    <row r="3927" spans="1:8" ht="15" customHeight="1" x14ac:dyDescent="0.25">
      <c r="A3927" s="5">
        <v>3921</v>
      </c>
      <c r="B3927" s="10" t="s">
        <v>7574</v>
      </c>
      <c r="C3927" s="10" t="s">
        <v>7575</v>
      </c>
      <c r="D3927" s="7">
        <v>12.45</v>
      </c>
      <c r="E3927" s="5">
        <v>5</v>
      </c>
      <c r="F3927" s="5">
        <v>4</v>
      </c>
      <c r="G3927" s="12">
        <f>SUM($D$7:D3927)</f>
        <v>10665229.021000043</v>
      </c>
      <c r="H3927" s="11">
        <f t="shared" si="61"/>
        <v>0.99986354494744767</v>
      </c>
    </row>
    <row r="3928" spans="1:8" ht="15" customHeight="1" x14ac:dyDescent="0.25">
      <c r="A3928" s="5">
        <v>3922</v>
      </c>
      <c r="B3928" s="10" t="s">
        <v>7576</v>
      </c>
      <c r="C3928" s="10" t="s">
        <v>4519</v>
      </c>
      <c r="D3928" s="7">
        <v>12.4</v>
      </c>
      <c r="E3928" s="5">
        <v>5</v>
      </c>
      <c r="F3928" s="5">
        <v>4</v>
      </c>
      <c r="G3928" s="12">
        <f>SUM($D$7:D3928)</f>
        <v>10665241.421000043</v>
      </c>
      <c r="H3928" s="11">
        <f t="shared" si="61"/>
        <v>0.99986470744549927</v>
      </c>
    </row>
    <row r="3929" spans="1:8" ht="15" customHeight="1" x14ac:dyDescent="0.25">
      <c r="A3929" s="5">
        <v>3923</v>
      </c>
      <c r="B3929" s="10" t="s">
        <v>7577</v>
      </c>
      <c r="C3929" s="10" t="s">
        <v>7389</v>
      </c>
      <c r="D3929" s="7">
        <v>12.18</v>
      </c>
      <c r="E3929" s="5">
        <v>12</v>
      </c>
      <c r="F3929" s="5">
        <v>2</v>
      </c>
      <c r="G3929" s="12">
        <f>SUM($D$7:D3929)</f>
        <v>10665253.601000043</v>
      </c>
      <c r="H3929" s="11">
        <f t="shared" si="61"/>
        <v>0.99986584931858546</v>
      </c>
    </row>
    <row r="3930" spans="1:8" ht="15" customHeight="1" x14ac:dyDescent="0.25">
      <c r="A3930" s="5">
        <v>3924</v>
      </c>
      <c r="B3930" s="10" t="s">
        <v>7578</v>
      </c>
      <c r="C3930" s="10" t="s">
        <v>7579</v>
      </c>
      <c r="D3930" s="7">
        <v>12.18</v>
      </c>
      <c r="E3930" s="5">
        <v>29</v>
      </c>
      <c r="F3930" s="5">
        <v>9</v>
      </c>
      <c r="G3930" s="12">
        <f>SUM($D$7:D3930)</f>
        <v>10665265.781000042</v>
      </c>
      <c r="H3930" s="11">
        <f t="shared" si="61"/>
        <v>0.99986699119167166</v>
      </c>
    </row>
    <row r="3931" spans="1:8" ht="15" customHeight="1" x14ac:dyDescent="0.25">
      <c r="A3931" s="5">
        <v>3925</v>
      </c>
      <c r="B3931" s="10" t="s">
        <v>7580</v>
      </c>
      <c r="C3931" s="10" t="s">
        <v>7581</v>
      </c>
      <c r="D3931" s="7">
        <v>12.16</v>
      </c>
      <c r="E3931" s="5">
        <v>27</v>
      </c>
      <c r="F3931" s="5">
        <v>2</v>
      </c>
      <c r="G3931" s="12">
        <f>SUM($D$7:D3931)</f>
        <v>10665277.941000042</v>
      </c>
      <c r="H3931" s="11">
        <f t="shared" si="61"/>
        <v>0.99986813118976103</v>
      </c>
    </row>
    <row r="3932" spans="1:8" ht="15" customHeight="1" x14ac:dyDescent="0.25">
      <c r="A3932" s="5">
        <v>3926</v>
      </c>
      <c r="B3932" s="10" t="s">
        <v>7582</v>
      </c>
      <c r="C3932" s="10" t="s">
        <v>7583</v>
      </c>
      <c r="D3932" s="7">
        <v>11.95</v>
      </c>
      <c r="E3932" s="5">
        <v>1</v>
      </c>
      <c r="F3932" s="5">
        <v>1</v>
      </c>
      <c r="G3932" s="12">
        <f>SUM($D$7:D3932)</f>
        <v>10665289.891000042</v>
      </c>
      <c r="H3932" s="11">
        <f t="shared" si="61"/>
        <v>0.9998692515003833</v>
      </c>
    </row>
    <row r="3933" spans="1:8" ht="15" customHeight="1" x14ac:dyDescent="0.25">
      <c r="A3933" s="5">
        <v>3927</v>
      </c>
      <c r="B3933" s="10" t="s">
        <v>7584</v>
      </c>
      <c r="C3933" s="10" t="s">
        <v>7585</v>
      </c>
      <c r="D3933" s="7">
        <v>11.95</v>
      </c>
      <c r="E3933" s="5">
        <v>1</v>
      </c>
      <c r="F3933" s="5">
        <v>1</v>
      </c>
      <c r="G3933" s="12">
        <f>SUM($D$7:D3933)</f>
        <v>10665301.841000041</v>
      </c>
      <c r="H3933" s="11">
        <f t="shared" si="61"/>
        <v>0.99987037181100569</v>
      </c>
    </row>
    <row r="3934" spans="1:8" ht="15" customHeight="1" x14ac:dyDescent="0.25">
      <c r="A3934" s="5">
        <v>3928</v>
      </c>
      <c r="B3934" s="10" t="s">
        <v>7586</v>
      </c>
      <c r="C3934" s="10" t="s">
        <v>7587</v>
      </c>
      <c r="D3934" s="7">
        <v>11.9</v>
      </c>
      <c r="E3934" s="5">
        <v>2</v>
      </c>
      <c r="F3934" s="5">
        <v>1</v>
      </c>
      <c r="G3934" s="12">
        <f>SUM($D$7:D3934)</f>
        <v>10665313.741000041</v>
      </c>
      <c r="H3934" s="11">
        <f t="shared" si="61"/>
        <v>0.9998714874341359</v>
      </c>
    </row>
    <row r="3935" spans="1:8" ht="15" customHeight="1" x14ac:dyDescent="0.25">
      <c r="A3935" s="5">
        <v>3929</v>
      </c>
      <c r="B3935" s="10" t="s">
        <v>7588</v>
      </c>
      <c r="C3935" s="10" t="s">
        <v>7589</v>
      </c>
      <c r="D3935" s="7">
        <v>11.9</v>
      </c>
      <c r="E3935" s="5">
        <v>2</v>
      </c>
      <c r="F3935" s="5">
        <v>1</v>
      </c>
      <c r="G3935" s="12">
        <f>SUM($D$7:D3935)</f>
        <v>10665325.641000042</v>
      </c>
      <c r="H3935" s="11">
        <f t="shared" si="61"/>
        <v>0.99987260305726611</v>
      </c>
    </row>
    <row r="3936" spans="1:8" ht="15" customHeight="1" x14ac:dyDescent="0.25">
      <c r="A3936" s="5">
        <v>3930</v>
      </c>
      <c r="B3936" s="10" t="s">
        <v>7590</v>
      </c>
      <c r="C3936" s="10" t="s">
        <v>7591</v>
      </c>
      <c r="D3936" s="7">
        <v>11.9</v>
      </c>
      <c r="E3936" s="5">
        <v>14</v>
      </c>
      <c r="F3936" s="5">
        <v>5</v>
      </c>
      <c r="G3936" s="12">
        <f>SUM($D$7:D3936)</f>
        <v>10665337.541000042</v>
      </c>
      <c r="H3936" s="11">
        <f t="shared" si="61"/>
        <v>0.99987371868039643</v>
      </c>
    </row>
    <row r="3937" spans="1:8" ht="15" customHeight="1" x14ac:dyDescent="0.25">
      <c r="A3937" s="5">
        <v>3931</v>
      </c>
      <c r="B3937" s="10" t="s">
        <v>7592</v>
      </c>
      <c r="C3937" s="10" t="s">
        <v>7593</v>
      </c>
      <c r="D3937" s="7">
        <v>11.84</v>
      </c>
      <c r="E3937" s="5">
        <v>22</v>
      </c>
      <c r="F3937" s="5">
        <v>10</v>
      </c>
      <c r="G3937" s="12">
        <f>SUM($D$7:D3937)</f>
        <v>10665349.381000042</v>
      </c>
      <c r="H3937" s="11">
        <f t="shared" si="61"/>
        <v>0.99987482867853605</v>
      </c>
    </row>
    <row r="3938" spans="1:8" ht="15" customHeight="1" x14ac:dyDescent="0.25">
      <c r="A3938" s="5">
        <v>3932</v>
      </c>
      <c r="B3938" s="10" t="s">
        <v>7594</v>
      </c>
      <c r="C3938" s="10" t="s">
        <v>7595</v>
      </c>
      <c r="D3938" s="7">
        <v>11.8</v>
      </c>
      <c r="E3938" s="5">
        <v>4</v>
      </c>
      <c r="F3938" s="5">
        <v>3</v>
      </c>
      <c r="G3938" s="12">
        <f>SUM($D$7:D3938)</f>
        <v>10665361.181000043</v>
      </c>
      <c r="H3938" s="11">
        <f t="shared" si="61"/>
        <v>0.99987593492668203</v>
      </c>
    </row>
    <row r="3939" spans="1:8" ht="15" customHeight="1" x14ac:dyDescent="0.25">
      <c r="A3939" s="5">
        <v>3933</v>
      </c>
      <c r="B3939" s="10" t="s">
        <v>7596</v>
      </c>
      <c r="C3939" s="10" t="s">
        <v>7597</v>
      </c>
      <c r="D3939" s="7">
        <v>11.78</v>
      </c>
      <c r="E3939" s="5">
        <v>31</v>
      </c>
      <c r="F3939" s="5">
        <v>3</v>
      </c>
      <c r="G3939" s="12">
        <f>SUM($D$7:D3939)</f>
        <v>10665372.961000042</v>
      </c>
      <c r="H3939" s="11">
        <f t="shared" si="61"/>
        <v>0.99987703929983107</v>
      </c>
    </row>
    <row r="3940" spans="1:8" ht="15" customHeight="1" x14ac:dyDescent="0.25">
      <c r="A3940" s="5">
        <v>3934</v>
      </c>
      <c r="B3940" s="10" t="s">
        <v>7598</v>
      </c>
      <c r="C3940" s="10" t="s">
        <v>7599</v>
      </c>
      <c r="D3940" s="7">
        <v>11.76</v>
      </c>
      <c r="E3940" s="5">
        <v>28</v>
      </c>
      <c r="F3940" s="5">
        <v>8</v>
      </c>
      <c r="G3940" s="12">
        <f>SUM($D$7:D3940)</f>
        <v>10665384.721000042</v>
      </c>
      <c r="H3940" s="11">
        <f t="shared" si="61"/>
        <v>0.99987814179798318</v>
      </c>
    </row>
    <row r="3941" spans="1:8" ht="15" customHeight="1" x14ac:dyDescent="0.25">
      <c r="A3941" s="5">
        <v>3935</v>
      </c>
      <c r="B3941" s="10" t="s">
        <v>7600</v>
      </c>
      <c r="C3941" s="10" t="s">
        <v>7601</v>
      </c>
      <c r="D3941" s="7">
        <v>11.76</v>
      </c>
      <c r="E3941" s="5">
        <v>98</v>
      </c>
      <c r="F3941" s="5">
        <v>2</v>
      </c>
      <c r="G3941" s="12">
        <f>SUM($D$7:D3941)</f>
        <v>10665396.481000042</v>
      </c>
      <c r="H3941" s="11">
        <f t="shared" si="61"/>
        <v>0.99987924429613539</v>
      </c>
    </row>
    <row r="3942" spans="1:8" ht="15" customHeight="1" x14ac:dyDescent="0.25">
      <c r="A3942" s="5">
        <v>3936</v>
      </c>
      <c r="B3942" s="10" t="s">
        <v>7602</v>
      </c>
      <c r="C3942" s="10" t="s">
        <v>7603</v>
      </c>
      <c r="D3942" s="7">
        <v>11.64</v>
      </c>
      <c r="E3942" s="5">
        <v>4</v>
      </c>
      <c r="F3942" s="5">
        <v>1</v>
      </c>
      <c r="G3942" s="12">
        <f>SUM($D$7:D3942)</f>
        <v>10665408.121000042</v>
      </c>
      <c r="H3942" s="11">
        <f t="shared" si="61"/>
        <v>0.99988033554430655</v>
      </c>
    </row>
    <row r="3943" spans="1:8" ht="15" customHeight="1" x14ac:dyDescent="0.25">
      <c r="A3943" s="5">
        <v>3937</v>
      </c>
      <c r="B3943" s="10" t="s">
        <v>7604</v>
      </c>
      <c r="C3943" s="10" t="s">
        <v>7605</v>
      </c>
      <c r="D3943" s="7">
        <v>11.64</v>
      </c>
      <c r="E3943" s="5">
        <v>4</v>
      </c>
      <c r="F3943" s="5">
        <v>3</v>
      </c>
      <c r="G3943" s="12">
        <f>SUM($D$7:D3943)</f>
        <v>10665419.761000043</v>
      </c>
      <c r="H3943" s="11">
        <f t="shared" si="61"/>
        <v>0.99988142679247771</v>
      </c>
    </row>
    <row r="3944" spans="1:8" ht="15" customHeight="1" x14ac:dyDescent="0.25">
      <c r="A3944" s="5">
        <v>3938</v>
      </c>
      <c r="B3944" s="10" t="s">
        <v>7606</v>
      </c>
      <c r="C3944" s="10" t="s">
        <v>4364</v>
      </c>
      <c r="D3944" s="7">
        <v>11.58</v>
      </c>
      <c r="E3944" s="5">
        <v>2</v>
      </c>
      <c r="F3944" s="5">
        <v>2</v>
      </c>
      <c r="G3944" s="12">
        <f>SUM($D$7:D3944)</f>
        <v>10665431.341000043</v>
      </c>
      <c r="H3944" s="11">
        <f t="shared" si="61"/>
        <v>0.99988251241565818</v>
      </c>
    </row>
    <row r="3945" spans="1:8" ht="15" customHeight="1" x14ac:dyDescent="0.25">
      <c r="A3945" s="5">
        <v>3939</v>
      </c>
      <c r="B3945" s="10" t="s">
        <v>7607</v>
      </c>
      <c r="C3945" s="10" t="s">
        <v>7608</v>
      </c>
      <c r="D3945" s="7">
        <v>11.55</v>
      </c>
      <c r="E3945" s="5">
        <v>33</v>
      </c>
      <c r="F3945" s="5">
        <v>6</v>
      </c>
      <c r="G3945" s="12">
        <f>SUM($D$7:D3945)</f>
        <v>10665442.891000044</v>
      </c>
      <c r="H3945" s="11">
        <f t="shared" si="61"/>
        <v>0.9998835952263434</v>
      </c>
    </row>
    <row r="3946" spans="1:8" ht="15" customHeight="1" x14ac:dyDescent="0.25">
      <c r="A3946" s="5">
        <v>3940</v>
      </c>
      <c r="B3946" s="10" t="s">
        <v>7609</v>
      </c>
      <c r="C3946" s="10" t="s">
        <v>7610</v>
      </c>
      <c r="D3946" s="7">
        <v>11.55</v>
      </c>
      <c r="E3946" s="5">
        <v>7</v>
      </c>
      <c r="F3946" s="5">
        <v>3</v>
      </c>
      <c r="G3946" s="12">
        <f>SUM($D$7:D3946)</f>
        <v>10665454.441000044</v>
      </c>
      <c r="H3946" s="11">
        <f t="shared" si="61"/>
        <v>0.99988467803702874</v>
      </c>
    </row>
    <row r="3947" spans="1:8" ht="15" customHeight="1" x14ac:dyDescent="0.25">
      <c r="A3947" s="5">
        <v>3941</v>
      </c>
      <c r="B3947" s="10" t="s">
        <v>7611</v>
      </c>
      <c r="C3947" s="10" t="s">
        <v>7612</v>
      </c>
      <c r="D3947" s="7">
        <v>11.46</v>
      </c>
      <c r="E3947" s="5">
        <v>2</v>
      </c>
      <c r="F3947" s="5">
        <v>2</v>
      </c>
      <c r="G3947" s="12">
        <f>SUM($D$7:D3947)</f>
        <v>10665465.901000045</v>
      </c>
      <c r="H3947" s="11">
        <f t="shared" si="61"/>
        <v>0.99988575241022815</v>
      </c>
    </row>
    <row r="3948" spans="1:8" ht="15" customHeight="1" x14ac:dyDescent="0.25">
      <c r="A3948" s="5">
        <v>3942</v>
      </c>
      <c r="B3948" s="10" t="s">
        <v>1379</v>
      </c>
      <c r="C3948" s="10" t="s">
        <v>7613</v>
      </c>
      <c r="D3948" s="7">
        <v>11.25</v>
      </c>
      <c r="E3948" s="5">
        <v>3</v>
      </c>
      <c r="F3948" s="5">
        <v>1</v>
      </c>
      <c r="G3948" s="12">
        <f>SUM($D$7:D3948)</f>
        <v>10665477.151000045</v>
      </c>
      <c r="H3948" s="11">
        <f t="shared" si="61"/>
        <v>0.99988680709596056</v>
      </c>
    </row>
    <row r="3949" spans="1:8" ht="15" customHeight="1" x14ac:dyDescent="0.25">
      <c r="A3949" s="5">
        <v>3943</v>
      </c>
      <c r="B3949" s="10" t="s">
        <v>7614</v>
      </c>
      <c r="C3949" s="10" t="s">
        <v>7615</v>
      </c>
      <c r="D3949" s="7">
        <v>11.19</v>
      </c>
      <c r="E3949" s="5">
        <v>3</v>
      </c>
      <c r="F3949" s="5">
        <v>3</v>
      </c>
      <c r="G3949" s="12">
        <f>SUM($D$7:D3949)</f>
        <v>10665488.341000045</v>
      </c>
      <c r="H3949" s="11">
        <f t="shared" si="61"/>
        <v>0.99988785615670228</v>
      </c>
    </row>
    <row r="3950" spans="1:8" ht="15" customHeight="1" x14ac:dyDescent="0.25">
      <c r="A3950" s="5">
        <v>3944</v>
      </c>
      <c r="B3950" s="10" t="s">
        <v>7616</v>
      </c>
      <c r="C3950" s="10" t="s">
        <v>2777</v>
      </c>
      <c r="D3950" s="7">
        <v>11.06</v>
      </c>
      <c r="E3950" s="5">
        <v>14</v>
      </c>
      <c r="F3950" s="5">
        <v>4</v>
      </c>
      <c r="G3950" s="12">
        <f>SUM($D$7:D3950)</f>
        <v>10665499.401000045</v>
      </c>
      <c r="H3950" s="11">
        <f t="shared" si="61"/>
        <v>0.99988889302996453</v>
      </c>
    </row>
    <row r="3951" spans="1:8" ht="15" customHeight="1" x14ac:dyDescent="0.25">
      <c r="A3951" s="5">
        <v>3945</v>
      </c>
      <c r="B3951" s="10" t="s">
        <v>7617</v>
      </c>
      <c r="C3951" s="10" t="s">
        <v>7618</v>
      </c>
      <c r="D3951" s="7">
        <v>10.92</v>
      </c>
      <c r="E3951" s="5">
        <v>28</v>
      </c>
      <c r="F3951" s="5">
        <v>3</v>
      </c>
      <c r="G3951" s="12">
        <f>SUM($D$7:D3951)</f>
        <v>10665510.321000045</v>
      </c>
      <c r="H3951" s="11">
        <f t="shared" si="61"/>
        <v>0.99988991677824868</v>
      </c>
    </row>
    <row r="3952" spans="1:8" ht="15" customHeight="1" x14ac:dyDescent="0.25">
      <c r="A3952" s="5">
        <v>3946</v>
      </c>
      <c r="B3952" s="10" t="s">
        <v>7619</v>
      </c>
      <c r="C3952" s="10" t="s">
        <v>7620</v>
      </c>
      <c r="D3952" s="7">
        <v>10.61</v>
      </c>
      <c r="E3952" s="5">
        <v>25</v>
      </c>
      <c r="F3952" s="5">
        <v>9</v>
      </c>
      <c r="G3952" s="12">
        <f>SUM($D$7:D3952)</f>
        <v>10665520.931000045</v>
      </c>
      <c r="H3952" s="11">
        <f t="shared" si="61"/>
        <v>0.99989091146408149</v>
      </c>
    </row>
    <row r="3953" spans="1:8" ht="15" customHeight="1" x14ac:dyDescent="0.25">
      <c r="A3953" s="5">
        <v>3947</v>
      </c>
      <c r="B3953" s="10" t="s">
        <v>7621</v>
      </c>
      <c r="C3953" s="10" t="s">
        <v>7622</v>
      </c>
      <c r="D3953" s="7">
        <v>10.5</v>
      </c>
      <c r="E3953" s="5">
        <v>25</v>
      </c>
      <c r="F3953" s="5">
        <v>1</v>
      </c>
      <c r="G3953" s="12">
        <f>SUM($D$7:D3953)</f>
        <v>10665531.431000045</v>
      </c>
      <c r="H3953" s="11">
        <f t="shared" si="61"/>
        <v>0.99989189583743177</v>
      </c>
    </row>
    <row r="3954" spans="1:8" ht="15" customHeight="1" x14ac:dyDescent="0.25">
      <c r="A3954" s="5">
        <v>3948</v>
      </c>
      <c r="B3954" s="10" t="s">
        <v>7623</v>
      </c>
      <c r="C3954" s="10" t="s">
        <v>7624</v>
      </c>
      <c r="D3954" s="7">
        <v>10.5</v>
      </c>
      <c r="E3954" s="5">
        <v>25</v>
      </c>
      <c r="F3954" s="5">
        <v>1</v>
      </c>
      <c r="G3954" s="12">
        <f>SUM($D$7:D3954)</f>
        <v>10665541.931000045</v>
      </c>
      <c r="H3954" s="11">
        <f t="shared" si="61"/>
        <v>0.99989288021078193</v>
      </c>
    </row>
    <row r="3955" spans="1:8" ht="15" customHeight="1" x14ac:dyDescent="0.25">
      <c r="A3955" s="5">
        <v>3949</v>
      </c>
      <c r="B3955" s="10" t="s">
        <v>7625</v>
      </c>
      <c r="C3955" s="10" t="s">
        <v>7626</v>
      </c>
      <c r="D3955" s="7">
        <v>10.26</v>
      </c>
      <c r="E3955" s="5">
        <v>27</v>
      </c>
      <c r="F3955" s="5">
        <v>2</v>
      </c>
      <c r="G3955" s="12">
        <f>SUM($D$7:D3955)</f>
        <v>10665552.191000044</v>
      </c>
      <c r="H3955" s="11">
        <f t="shared" si="61"/>
        <v>0.99989384208416976</v>
      </c>
    </row>
    <row r="3956" spans="1:8" ht="15" customHeight="1" x14ac:dyDescent="0.25">
      <c r="A3956" s="5">
        <v>3950</v>
      </c>
      <c r="B3956" s="10" t="s">
        <v>7627</v>
      </c>
      <c r="C3956" s="10" t="s">
        <v>7628</v>
      </c>
      <c r="D3956" s="7">
        <v>10.199999999999999</v>
      </c>
      <c r="E3956" s="5">
        <v>12</v>
      </c>
      <c r="F3956" s="5">
        <v>3</v>
      </c>
      <c r="G3956" s="12">
        <f>SUM($D$7:D3956)</f>
        <v>10665562.391000044</v>
      </c>
      <c r="H3956" s="11">
        <f t="shared" si="61"/>
        <v>0.999894798332567</v>
      </c>
    </row>
    <row r="3957" spans="1:8" ht="15" customHeight="1" x14ac:dyDescent="0.25">
      <c r="A3957" s="5">
        <v>3951</v>
      </c>
      <c r="B3957" s="10" t="s">
        <v>7629</v>
      </c>
      <c r="C3957" s="10" t="s">
        <v>7630</v>
      </c>
      <c r="D3957" s="7">
        <v>10.199999999999999</v>
      </c>
      <c r="E3957" s="5">
        <v>12</v>
      </c>
      <c r="F3957" s="5">
        <v>1</v>
      </c>
      <c r="G3957" s="12">
        <f>SUM($D$7:D3957)</f>
        <v>10665572.591000043</v>
      </c>
      <c r="H3957" s="11">
        <f t="shared" si="61"/>
        <v>0.99989575458096425</v>
      </c>
    </row>
    <row r="3958" spans="1:8" ht="15" customHeight="1" x14ac:dyDescent="0.25">
      <c r="A3958" s="5">
        <v>3952</v>
      </c>
      <c r="B3958" s="10" t="s">
        <v>7631</v>
      </c>
      <c r="C3958" s="10" t="s">
        <v>7632</v>
      </c>
      <c r="D3958" s="7">
        <v>10.199999999999999</v>
      </c>
      <c r="E3958" s="5">
        <v>12</v>
      </c>
      <c r="F3958" s="5">
        <v>4</v>
      </c>
      <c r="G3958" s="12">
        <f>SUM($D$7:D3958)</f>
        <v>10665582.791000042</v>
      </c>
      <c r="H3958" s="11">
        <f t="shared" si="61"/>
        <v>0.9998967108293616</v>
      </c>
    </row>
    <row r="3959" spans="1:8" ht="15" customHeight="1" x14ac:dyDescent="0.25">
      <c r="A3959" s="5">
        <v>3953</v>
      </c>
      <c r="B3959" s="10" t="s">
        <v>7633</v>
      </c>
      <c r="C3959" s="10" t="s">
        <v>7634</v>
      </c>
      <c r="D3959" s="7">
        <v>10.08</v>
      </c>
      <c r="E3959" s="5">
        <v>24</v>
      </c>
      <c r="F3959" s="5">
        <v>6</v>
      </c>
      <c r="G3959" s="12">
        <f>SUM($D$7:D3959)</f>
        <v>10665592.871000042</v>
      </c>
      <c r="H3959" s="11">
        <f t="shared" si="61"/>
        <v>0.99989765582777779</v>
      </c>
    </row>
    <row r="3960" spans="1:8" ht="15" customHeight="1" x14ac:dyDescent="0.25">
      <c r="A3960" s="5">
        <v>3954</v>
      </c>
      <c r="B3960" s="10" t="s">
        <v>2736</v>
      </c>
      <c r="C3960" s="10" t="s">
        <v>7635</v>
      </c>
      <c r="D3960" s="7">
        <v>10</v>
      </c>
      <c r="E3960" s="5">
        <v>8</v>
      </c>
      <c r="F3960" s="5">
        <v>1</v>
      </c>
      <c r="G3960" s="12">
        <f>SUM($D$7:D3960)</f>
        <v>10665602.871000042</v>
      </c>
      <c r="H3960" s="11">
        <f t="shared" si="61"/>
        <v>0.99989859332620645</v>
      </c>
    </row>
    <row r="3961" spans="1:8" ht="15" customHeight="1" x14ac:dyDescent="0.25">
      <c r="A3961" s="5">
        <v>3955</v>
      </c>
      <c r="B3961" s="10" t="s">
        <v>7636</v>
      </c>
      <c r="C3961" s="10" t="s">
        <v>7637</v>
      </c>
      <c r="D3961" s="7">
        <v>9.99</v>
      </c>
      <c r="E3961" s="5">
        <v>4</v>
      </c>
      <c r="F3961" s="5">
        <v>4</v>
      </c>
      <c r="G3961" s="12">
        <f>SUM($D$7:D3961)</f>
        <v>10665612.861000042</v>
      </c>
      <c r="H3961" s="11">
        <f t="shared" si="61"/>
        <v>0.99989952988713682</v>
      </c>
    </row>
    <row r="3962" spans="1:8" ht="15" customHeight="1" x14ac:dyDescent="0.25">
      <c r="A3962" s="5">
        <v>3956</v>
      </c>
      <c r="B3962" s="10" t="s">
        <v>7638</v>
      </c>
      <c r="C3962" s="10" t="s">
        <v>7639</v>
      </c>
      <c r="D3962" s="7">
        <v>9.9600000000000009</v>
      </c>
      <c r="E3962" s="5">
        <v>4</v>
      </c>
      <c r="F3962" s="5">
        <v>2</v>
      </c>
      <c r="G3962" s="12">
        <f>SUM($D$7:D3962)</f>
        <v>10665622.821000043</v>
      </c>
      <c r="H3962" s="11">
        <f t="shared" si="61"/>
        <v>0.99990046363557195</v>
      </c>
    </row>
    <row r="3963" spans="1:8" ht="15" customHeight="1" x14ac:dyDescent="0.25">
      <c r="A3963" s="5">
        <v>3957</v>
      </c>
      <c r="B3963" s="10" t="s">
        <v>7640</v>
      </c>
      <c r="C3963" s="10" t="s">
        <v>7641</v>
      </c>
      <c r="D3963" s="7">
        <v>9.9600000000000009</v>
      </c>
      <c r="E3963" s="5">
        <v>4</v>
      </c>
      <c r="F3963" s="5">
        <v>4</v>
      </c>
      <c r="G3963" s="12">
        <f>SUM($D$7:D3963)</f>
        <v>10665632.781000044</v>
      </c>
      <c r="H3963" s="11">
        <f t="shared" si="61"/>
        <v>0.99990139738400707</v>
      </c>
    </row>
    <row r="3964" spans="1:8" ht="15" customHeight="1" x14ac:dyDescent="0.25">
      <c r="A3964" s="5">
        <v>3958</v>
      </c>
      <c r="B3964" s="10" t="s">
        <v>7642</v>
      </c>
      <c r="C3964" s="10" t="s">
        <v>7643</v>
      </c>
      <c r="D3964" s="7">
        <v>9.9600000000000009</v>
      </c>
      <c r="E3964" s="5">
        <v>4</v>
      </c>
      <c r="F3964" s="5">
        <v>4</v>
      </c>
      <c r="G3964" s="12">
        <f>SUM($D$7:D3964)</f>
        <v>10665642.741000045</v>
      </c>
      <c r="H3964" s="11">
        <f t="shared" si="61"/>
        <v>0.9999023311324422</v>
      </c>
    </row>
    <row r="3965" spans="1:8" ht="15" customHeight="1" x14ac:dyDescent="0.25">
      <c r="A3965" s="5">
        <v>3959</v>
      </c>
      <c r="B3965" s="10" t="s">
        <v>7644</v>
      </c>
      <c r="C3965" s="10" t="s">
        <v>7645</v>
      </c>
      <c r="D3965" s="7">
        <v>9.9600000000000009</v>
      </c>
      <c r="E3965" s="5">
        <v>4</v>
      </c>
      <c r="F3965" s="5">
        <v>4</v>
      </c>
      <c r="G3965" s="12">
        <f>SUM($D$7:D3965)</f>
        <v>10665652.701000046</v>
      </c>
      <c r="H3965" s="11">
        <f t="shared" si="61"/>
        <v>0.99990326488087733</v>
      </c>
    </row>
    <row r="3966" spans="1:8" ht="15" customHeight="1" x14ac:dyDescent="0.25">
      <c r="A3966" s="5">
        <v>3960</v>
      </c>
      <c r="B3966" s="10" t="s">
        <v>7646</v>
      </c>
      <c r="C3966" s="10" t="s">
        <v>7647</v>
      </c>
      <c r="D3966" s="7">
        <v>9.9499999999999993</v>
      </c>
      <c r="E3966" s="5">
        <v>3</v>
      </c>
      <c r="F3966" s="5">
        <v>2</v>
      </c>
      <c r="G3966" s="12">
        <f>SUM($D$7:D3966)</f>
        <v>10665662.651000045</v>
      </c>
      <c r="H3966" s="11">
        <f t="shared" si="61"/>
        <v>0.99990419769181382</v>
      </c>
    </row>
    <row r="3967" spans="1:8" ht="15" customHeight="1" x14ac:dyDescent="0.25">
      <c r="A3967" s="5">
        <v>3961</v>
      </c>
      <c r="B3967" s="10" t="s">
        <v>7648</v>
      </c>
      <c r="C3967" s="10" t="s">
        <v>7649</v>
      </c>
      <c r="D3967" s="7">
        <v>9.9499999999999993</v>
      </c>
      <c r="E3967" s="5">
        <v>1</v>
      </c>
      <c r="F3967" s="5">
        <v>1</v>
      </c>
      <c r="G3967" s="12">
        <f>SUM($D$7:D3967)</f>
        <v>10665672.601000044</v>
      </c>
      <c r="H3967" s="11">
        <f t="shared" si="61"/>
        <v>0.99990513050275043</v>
      </c>
    </row>
    <row r="3968" spans="1:8" ht="15" customHeight="1" x14ac:dyDescent="0.25">
      <c r="A3968" s="5">
        <v>3962</v>
      </c>
      <c r="B3968" s="10" t="s">
        <v>7650</v>
      </c>
      <c r="C3968" s="10" t="s">
        <v>7651</v>
      </c>
      <c r="D3968" s="7">
        <v>9.94</v>
      </c>
      <c r="E3968" s="5">
        <v>4</v>
      </c>
      <c r="F3968" s="5">
        <v>4</v>
      </c>
      <c r="G3968" s="12">
        <f>SUM($D$7:D3968)</f>
        <v>10665682.541000044</v>
      </c>
      <c r="H3968" s="11">
        <f t="shared" si="61"/>
        <v>0.99990606237618851</v>
      </c>
    </row>
    <row r="3969" spans="1:8" ht="15" customHeight="1" x14ac:dyDescent="0.25">
      <c r="A3969" s="5">
        <v>3963</v>
      </c>
      <c r="B3969" s="10" t="s">
        <v>7652</v>
      </c>
      <c r="C3969" s="10" t="s">
        <v>4519</v>
      </c>
      <c r="D3969" s="7">
        <v>9.94</v>
      </c>
      <c r="E3969" s="5">
        <v>4</v>
      </c>
      <c r="F3969" s="5">
        <v>4</v>
      </c>
      <c r="G3969" s="12">
        <f>SUM($D$7:D3969)</f>
        <v>10665692.481000043</v>
      </c>
      <c r="H3969" s="11">
        <f t="shared" si="61"/>
        <v>0.9999069942496267</v>
      </c>
    </row>
    <row r="3970" spans="1:8" ht="15" customHeight="1" x14ac:dyDescent="0.25">
      <c r="A3970" s="5">
        <v>3964</v>
      </c>
      <c r="B3970" s="10" t="s">
        <v>7653</v>
      </c>
      <c r="C3970" s="10" t="s">
        <v>7654</v>
      </c>
      <c r="D3970" s="7">
        <v>9.8800000000000008</v>
      </c>
      <c r="E3970" s="5">
        <v>4</v>
      </c>
      <c r="F3970" s="5">
        <v>2</v>
      </c>
      <c r="G3970" s="12">
        <f>SUM($D$7:D3970)</f>
        <v>10665702.361000044</v>
      </c>
      <c r="H3970" s="11">
        <f t="shared" si="61"/>
        <v>0.99990792049807431</v>
      </c>
    </row>
    <row r="3971" spans="1:8" ht="15" customHeight="1" x14ac:dyDescent="0.25">
      <c r="A3971" s="5">
        <v>3965</v>
      </c>
      <c r="B3971" s="10" t="s">
        <v>7655</v>
      </c>
      <c r="C3971" s="10" t="s">
        <v>4523</v>
      </c>
      <c r="D3971" s="7">
        <v>9.7799999999999994</v>
      </c>
      <c r="E3971" s="5">
        <v>6</v>
      </c>
      <c r="F3971" s="5">
        <v>6</v>
      </c>
      <c r="G3971" s="12">
        <f>SUM($D$7:D3971)</f>
        <v>10665712.141000044</v>
      </c>
      <c r="H3971" s="11">
        <f t="shared" si="61"/>
        <v>0.99990883737153757</v>
      </c>
    </row>
    <row r="3972" spans="1:8" ht="15" customHeight="1" x14ac:dyDescent="0.25">
      <c r="A3972" s="5">
        <v>3966</v>
      </c>
      <c r="B3972" s="10" t="s">
        <v>7656</v>
      </c>
      <c r="C3972" s="10" t="s">
        <v>7657</v>
      </c>
      <c r="D3972" s="7">
        <v>9.48</v>
      </c>
      <c r="E3972" s="5">
        <v>12</v>
      </c>
      <c r="F3972" s="5">
        <v>1</v>
      </c>
      <c r="G3972" s="12">
        <f>SUM($D$7:D3972)</f>
        <v>10665721.621000044</v>
      </c>
      <c r="H3972" s="11">
        <f t="shared" si="61"/>
        <v>0.99990972612004814</v>
      </c>
    </row>
    <row r="3973" spans="1:8" ht="15" customHeight="1" x14ac:dyDescent="0.25">
      <c r="A3973" s="5">
        <v>3967</v>
      </c>
      <c r="B3973" s="10" t="s">
        <v>7658</v>
      </c>
      <c r="C3973" s="10" t="s">
        <v>7659</v>
      </c>
      <c r="D3973" s="7">
        <v>9.24</v>
      </c>
      <c r="E3973" s="5">
        <v>22</v>
      </c>
      <c r="F3973" s="5">
        <v>3</v>
      </c>
      <c r="G3973" s="12">
        <f>SUM($D$7:D3973)</f>
        <v>10665730.861000044</v>
      </c>
      <c r="H3973" s="11">
        <f t="shared" si="61"/>
        <v>0.99991059236859625</v>
      </c>
    </row>
    <row r="3974" spans="1:8" ht="15" customHeight="1" x14ac:dyDescent="0.25">
      <c r="A3974" s="5">
        <v>3968</v>
      </c>
      <c r="B3974" s="10" t="s">
        <v>7660</v>
      </c>
      <c r="C3974" s="10" t="s">
        <v>7661</v>
      </c>
      <c r="D3974" s="7">
        <v>9.18</v>
      </c>
      <c r="E3974" s="5">
        <v>8</v>
      </c>
      <c r="F3974" s="5">
        <v>3</v>
      </c>
      <c r="G3974" s="12">
        <f>SUM($D$7:D3974)</f>
        <v>10665740.041000044</v>
      </c>
      <c r="H3974" s="11">
        <f t="shared" si="61"/>
        <v>0.99991145299215389</v>
      </c>
    </row>
    <row r="3975" spans="1:8" ht="15" customHeight="1" x14ac:dyDescent="0.25">
      <c r="A3975" s="5">
        <v>3969</v>
      </c>
      <c r="B3975" s="10" t="s">
        <v>7662</v>
      </c>
      <c r="C3975" s="10" t="s">
        <v>5617</v>
      </c>
      <c r="D3975" s="7">
        <v>9.15</v>
      </c>
      <c r="E3975" s="5">
        <v>1</v>
      </c>
      <c r="F3975" s="5">
        <v>1</v>
      </c>
      <c r="G3975" s="12">
        <f>SUM($D$7:D3975)</f>
        <v>10665749.191000044</v>
      </c>
      <c r="H3975" s="11">
        <f t="shared" ref="H3975:H4038" si="62">G3975/SUM($D$7:$D$4167)</f>
        <v>0.99991231080321619</v>
      </c>
    </row>
    <row r="3976" spans="1:8" ht="15" customHeight="1" x14ac:dyDescent="0.25">
      <c r="A3976" s="5">
        <v>3970</v>
      </c>
      <c r="B3976" s="10" t="s">
        <v>7663</v>
      </c>
      <c r="C3976" s="10" t="s">
        <v>7664</v>
      </c>
      <c r="D3976" s="7">
        <v>9.15</v>
      </c>
      <c r="E3976" s="5">
        <v>1</v>
      </c>
      <c r="F3976" s="5">
        <v>1</v>
      </c>
      <c r="G3976" s="12">
        <f>SUM($D$7:D3976)</f>
        <v>10665758.341000045</v>
      </c>
      <c r="H3976" s="11">
        <f t="shared" si="62"/>
        <v>0.99991316861427859</v>
      </c>
    </row>
    <row r="3977" spans="1:8" ht="15" customHeight="1" x14ac:dyDescent="0.25">
      <c r="A3977" s="5">
        <v>3971</v>
      </c>
      <c r="B3977" s="10" t="s">
        <v>7665</v>
      </c>
      <c r="C3977" s="10" t="s">
        <v>7666</v>
      </c>
      <c r="D3977" s="7">
        <v>9.06</v>
      </c>
      <c r="E3977" s="5">
        <v>10</v>
      </c>
      <c r="F3977" s="5">
        <v>2</v>
      </c>
      <c r="G3977" s="12">
        <f>SUM($D$7:D3977)</f>
        <v>10665767.401000045</v>
      </c>
      <c r="H3977" s="11">
        <f t="shared" si="62"/>
        <v>0.99991401798785506</v>
      </c>
    </row>
    <row r="3978" spans="1:8" ht="15" customHeight="1" x14ac:dyDescent="0.25">
      <c r="A3978" s="5">
        <v>3972</v>
      </c>
      <c r="B3978" s="10" t="s">
        <v>7667</v>
      </c>
      <c r="C3978" s="10" t="s">
        <v>7668</v>
      </c>
      <c r="D3978" s="7">
        <v>8.85</v>
      </c>
      <c r="E3978" s="5">
        <v>3</v>
      </c>
      <c r="F3978" s="5">
        <v>2</v>
      </c>
      <c r="G3978" s="12">
        <f>SUM($D$7:D3978)</f>
        <v>10665776.251000045</v>
      </c>
      <c r="H3978" s="11">
        <f t="shared" si="62"/>
        <v>0.99991484767396444</v>
      </c>
    </row>
    <row r="3979" spans="1:8" ht="15" customHeight="1" x14ac:dyDescent="0.25">
      <c r="A3979" s="5">
        <v>3973</v>
      </c>
      <c r="B3979" s="10" t="s">
        <v>7669</v>
      </c>
      <c r="C3979" s="10" t="s">
        <v>7670</v>
      </c>
      <c r="D3979" s="7">
        <v>8.85</v>
      </c>
      <c r="E3979" s="5">
        <v>3</v>
      </c>
      <c r="F3979" s="5">
        <v>1</v>
      </c>
      <c r="G3979" s="12">
        <f>SUM($D$7:D3979)</f>
        <v>10665785.101000044</v>
      </c>
      <c r="H3979" s="11">
        <f t="shared" si="62"/>
        <v>0.99991567736007392</v>
      </c>
    </row>
    <row r="3980" spans="1:8" ht="15" customHeight="1" x14ac:dyDescent="0.25">
      <c r="A3980" s="5">
        <v>3974</v>
      </c>
      <c r="B3980" s="10" t="s">
        <v>7671</v>
      </c>
      <c r="C3980" s="10" t="s">
        <v>7672</v>
      </c>
      <c r="D3980" s="7">
        <v>8.85</v>
      </c>
      <c r="E3980" s="5">
        <v>3</v>
      </c>
      <c r="F3980" s="5">
        <v>2</v>
      </c>
      <c r="G3980" s="12">
        <f>SUM($D$7:D3980)</f>
        <v>10665793.951000044</v>
      </c>
      <c r="H3980" s="11">
        <f t="shared" si="62"/>
        <v>0.99991650704618329</v>
      </c>
    </row>
    <row r="3981" spans="1:8" ht="15" customHeight="1" x14ac:dyDescent="0.25">
      <c r="A3981" s="5">
        <v>3975</v>
      </c>
      <c r="B3981" s="10" t="s">
        <v>7673</v>
      </c>
      <c r="C3981" s="10" t="s">
        <v>7674</v>
      </c>
      <c r="D3981" s="7">
        <v>8.82</v>
      </c>
      <c r="E3981" s="5">
        <v>3</v>
      </c>
      <c r="F3981" s="5">
        <v>3</v>
      </c>
      <c r="G3981" s="12">
        <f>SUM($D$7:D3981)</f>
        <v>10665802.771000044</v>
      </c>
      <c r="H3981" s="11">
        <f t="shared" si="62"/>
        <v>0.99991733391979742</v>
      </c>
    </row>
    <row r="3982" spans="1:8" ht="15" customHeight="1" x14ac:dyDescent="0.25">
      <c r="A3982" s="5">
        <v>3976</v>
      </c>
      <c r="B3982" s="10" t="s">
        <v>7675</v>
      </c>
      <c r="C3982" s="10" t="s">
        <v>7676</v>
      </c>
      <c r="D3982" s="7">
        <v>8.76</v>
      </c>
      <c r="E3982" s="5">
        <v>3</v>
      </c>
      <c r="F3982" s="5">
        <v>3</v>
      </c>
      <c r="G3982" s="12">
        <f>SUM($D$7:D3982)</f>
        <v>10665811.531000044</v>
      </c>
      <c r="H3982" s="11">
        <f t="shared" si="62"/>
        <v>0.99991815516842109</v>
      </c>
    </row>
    <row r="3983" spans="1:8" ht="15" customHeight="1" x14ac:dyDescent="0.25">
      <c r="A3983" s="5">
        <v>3977</v>
      </c>
      <c r="B3983" s="10" t="s">
        <v>7677</v>
      </c>
      <c r="C3983" s="10" t="s">
        <v>7678</v>
      </c>
      <c r="D3983" s="7">
        <v>8.76</v>
      </c>
      <c r="E3983" s="5">
        <v>3</v>
      </c>
      <c r="F3983" s="5">
        <v>3</v>
      </c>
      <c r="G3983" s="12">
        <f>SUM($D$7:D3983)</f>
        <v>10665820.291000044</v>
      </c>
      <c r="H3983" s="11">
        <f t="shared" si="62"/>
        <v>0.99991897641704464</v>
      </c>
    </row>
    <row r="3984" spans="1:8" ht="15" customHeight="1" x14ac:dyDescent="0.25">
      <c r="A3984" s="5">
        <v>3978</v>
      </c>
      <c r="B3984" s="10" t="s">
        <v>7679</v>
      </c>
      <c r="C3984" s="10" t="s">
        <v>7680</v>
      </c>
      <c r="D3984" s="7">
        <v>8.76</v>
      </c>
      <c r="E3984" s="5">
        <v>3</v>
      </c>
      <c r="F3984" s="5">
        <v>3</v>
      </c>
      <c r="G3984" s="12">
        <f>SUM($D$7:D3984)</f>
        <v>10665829.051000044</v>
      </c>
      <c r="H3984" s="11">
        <f t="shared" si="62"/>
        <v>0.99991979766566819</v>
      </c>
    </row>
    <row r="3985" spans="1:8" ht="15" customHeight="1" x14ac:dyDescent="0.25">
      <c r="A3985" s="5">
        <v>3979</v>
      </c>
      <c r="B3985" s="10" t="s">
        <v>7681</v>
      </c>
      <c r="C3985" s="10" t="s">
        <v>7682</v>
      </c>
      <c r="D3985" s="7">
        <v>8.75</v>
      </c>
      <c r="E3985" s="5">
        <v>7</v>
      </c>
      <c r="F3985" s="5">
        <v>2</v>
      </c>
      <c r="G3985" s="12">
        <f>SUM($D$7:D3985)</f>
        <v>10665837.801000044</v>
      </c>
      <c r="H3985" s="11">
        <f t="shared" si="62"/>
        <v>0.99992061797679332</v>
      </c>
    </row>
    <row r="3986" spans="1:8" ht="15" customHeight="1" x14ac:dyDescent="0.25">
      <c r="A3986" s="5">
        <v>3980</v>
      </c>
      <c r="B3986" s="10" t="s">
        <v>7683</v>
      </c>
      <c r="C3986" s="10" t="s">
        <v>7684</v>
      </c>
      <c r="D3986" s="7">
        <v>8.6999999999999993</v>
      </c>
      <c r="E3986" s="5">
        <v>3</v>
      </c>
      <c r="F3986" s="5">
        <v>3</v>
      </c>
      <c r="G3986" s="12">
        <f>SUM($D$7:D3986)</f>
        <v>10665846.501000043</v>
      </c>
      <c r="H3986" s="11">
        <f t="shared" si="62"/>
        <v>0.99992143360042629</v>
      </c>
    </row>
    <row r="3987" spans="1:8" ht="15" customHeight="1" x14ac:dyDescent="0.25">
      <c r="A3987" s="5">
        <v>3981</v>
      </c>
      <c r="B3987" s="10" t="s">
        <v>7685</v>
      </c>
      <c r="C3987" s="10" t="s">
        <v>7686</v>
      </c>
      <c r="D3987" s="7">
        <v>8.58</v>
      </c>
      <c r="E3987" s="5">
        <v>22</v>
      </c>
      <c r="F3987" s="5">
        <v>2</v>
      </c>
      <c r="G3987" s="12">
        <f>SUM($D$7:D3987)</f>
        <v>10665855.081000043</v>
      </c>
      <c r="H3987" s="11">
        <f t="shared" si="62"/>
        <v>0.9999222379740782</v>
      </c>
    </row>
    <row r="3988" spans="1:8" ht="15" customHeight="1" x14ac:dyDescent="0.25">
      <c r="A3988" s="5">
        <v>3982</v>
      </c>
      <c r="B3988" s="10" t="s">
        <v>7687</v>
      </c>
      <c r="C3988" s="10" t="s">
        <v>7688</v>
      </c>
      <c r="D3988" s="7">
        <v>8.5</v>
      </c>
      <c r="E3988" s="5">
        <v>10</v>
      </c>
      <c r="F3988" s="5">
        <v>1</v>
      </c>
      <c r="G3988" s="12">
        <f>SUM($D$7:D3988)</f>
        <v>10665863.581000043</v>
      </c>
      <c r="H3988" s="11">
        <f t="shared" si="62"/>
        <v>0.99992303484774259</v>
      </c>
    </row>
    <row r="3989" spans="1:8" ht="15" customHeight="1" x14ac:dyDescent="0.25">
      <c r="A3989" s="5">
        <v>3983</v>
      </c>
      <c r="B3989" s="10" t="s">
        <v>7689</v>
      </c>
      <c r="C3989" s="10" t="s">
        <v>7690</v>
      </c>
      <c r="D3989" s="7">
        <v>8.5</v>
      </c>
      <c r="E3989" s="5">
        <v>10</v>
      </c>
      <c r="F3989" s="5">
        <v>1</v>
      </c>
      <c r="G3989" s="12">
        <f>SUM($D$7:D3989)</f>
        <v>10665872.081000043</v>
      </c>
      <c r="H3989" s="11">
        <f t="shared" si="62"/>
        <v>0.99992383172140709</v>
      </c>
    </row>
    <row r="3990" spans="1:8" ht="15" customHeight="1" x14ac:dyDescent="0.25">
      <c r="A3990" s="5">
        <v>3984</v>
      </c>
      <c r="B3990" s="10" t="s">
        <v>7691</v>
      </c>
      <c r="C3990" s="10" t="s">
        <v>7692</v>
      </c>
      <c r="D3990" s="7">
        <v>8.5</v>
      </c>
      <c r="E3990" s="5">
        <v>2</v>
      </c>
      <c r="F3990" s="5">
        <v>1</v>
      </c>
      <c r="G3990" s="12">
        <f>SUM($D$7:D3990)</f>
        <v>10665880.581000043</v>
      </c>
      <c r="H3990" s="11">
        <f t="shared" si="62"/>
        <v>0.99992462859507147</v>
      </c>
    </row>
    <row r="3991" spans="1:8" ht="15" customHeight="1" x14ac:dyDescent="0.25">
      <c r="A3991" s="5">
        <v>3985</v>
      </c>
      <c r="B3991" s="10" t="s">
        <v>7693</v>
      </c>
      <c r="C3991" s="10" t="s">
        <v>7694</v>
      </c>
      <c r="D3991" s="7">
        <v>8.4700000000000006</v>
      </c>
      <c r="E3991" s="5">
        <v>1</v>
      </c>
      <c r="F3991" s="5">
        <v>1</v>
      </c>
      <c r="G3991" s="12">
        <f>SUM($D$7:D3991)</f>
        <v>10665889.051000044</v>
      </c>
      <c r="H3991" s="11">
        <f t="shared" si="62"/>
        <v>0.99992542265624074</v>
      </c>
    </row>
    <row r="3992" spans="1:8" ht="15" customHeight="1" x14ac:dyDescent="0.25">
      <c r="A3992" s="5">
        <v>3986</v>
      </c>
      <c r="B3992" s="10" t="s">
        <v>7695</v>
      </c>
      <c r="C3992" s="10" t="s">
        <v>2397</v>
      </c>
      <c r="D3992" s="7">
        <v>8.4700000000000006</v>
      </c>
      <c r="E3992" s="5">
        <v>1</v>
      </c>
      <c r="F3992" s="5">
        <v>1</v>
      </c>
      <c r="G3992" s="12">
        <f>SUM($D$7:D3992)</f>
        <v>10665897.521000044</v>
      </c>
      <c r="H3992" s="11">
        <f t="shared" si="62"/>
        <v>0.99992621671740989</v>
      </c>
    </row>
    <row r="3993" spans="1:8" ht="15" customHeight="1" x14ac:dyDescent="0.25">
      <c r="A3993" s="5">
        <v>3987</v>
      </c>
      <c r="B3993" s="10" t="s">
        <v>7696</v>
      </c>
      <c r="C3993" s="10" t="s">
        <v>4193</v>
      </c>
      <c r="D3993" s="7">
        <v>8.4700000000000006</v>
      </c>
      <c r="E3993" s="5">
        <v>1</v>
      </c>
      <c r="F3993" s="5">
        <v>1</v>
      </c>
      <c r="G3993" s="12">
        <f>SUM($D$7:D3993)</f>
        <v>10665905.991000045</v>
      </c>
      <c r="H3993" s="11">
        <f t="shared" si="62"/>
        <v>0.99992701077857915</v>
      </c>
    </row>
    <row r="3994" spans="1:8" ht="15" customHeight="1" x14ac:dyDescent="0.25">
      <c r="A3994" s="5">
        <v>3988</v>
      </c>
      <c r="B3994" s="10" t="s">
        <v>7697</v>
      </c>
      <c r="C3994" s="10" t="s">
        <v>7698</v>
      </c>
      <c r="D3994" s="7">
        <v>8.4700000000000006</v>
      </c>
      <c r="E3994" s="5">
        <v>1</v>
      </c>
      <c r="F3994" s="5">
        <v>1</v>
      </c>
      <c r="G3994" s="12">
        <f>SUM($D$7:D3994)</f>
        <v>10665914.461000046</v>
      </c>
      <c r="H3994" s="11">
        <f t="shared" si="62"/>
        <v>0.9999278048397483</v>
      </c>
    </row>
    <row r="3995" spans="1:8" ht="15" customHeight="1" x14ac:dyDescent="0.25">
      <c r="A3995" s="5">
        <v>3989</v>
      </c>
      <c r="B3995" s="10" t="s">
        <v>7699</v>
      </c>
      <c r="C3995" s="10" t="s">
        <v>3241</v>
      </c>
      <c r="D3995" s="7">
        <v>8.4700000000000006</v>
      </c>
      <c r="E3995" s="5">
        <v>1</v>
      </c>
      <c r="F3995" s="5">
        <v>1</v>
      </c>
      <c r="G3995" s="12">
        <f>SUM($D$7:D3995)</f>
        <v>10665922.931000046</v>
      </c>
      <c r="H3995" s="11">
        <f t="shared" si="62"/>
        <v>0.99992859890091756</v>
      </c>
    </row>
    <row r="3996" spans="1:8" ht="15" customHeight="1" x14ac:dyDescent="0.25">
      <c r="A3996" s="5">
        <v>3990</v>
      </c>
      <c r="B3996" s="10" t="s">
        <v>7700</v>
      </c>
      <c r="C3996" s="10" t="s">
        <v>7701</v>
      </c>
      <c r="D3996" s="7">
        <v>8.4499999999999993</v>
      </c>
      <c r="E3996" s="5">
        <v>5</v>
      </c>
      <c r="F3996" s="5">
        <v>2</v>
      </c>
      <c r="G3996" s="12">
        <f>SUM($D$7:D3996)</f>
        <v>10665931.381000046</v>
      </c>
      <c r="H3996" s="11">
        <f t="shared" si="62"/>
        <v>0.99992939108708978</v>
      </c>
    </row>
    <row r="3997" spans="1:8" ht="15" customHeight="1" x14ac:dyDescent="0.25">
      <c r="A3997" s="5">
        <v>3991</v>
      </c>
      <c r="B3997" s="10" t="s">
        <v>7702</v>
      </c>
      <c r="C3997" s="10" t="s">
        <v>7703</v>
      </c>
      <c r="D3997" s="7">
        <v>8.42</v>
      </c>
      <c r="E3997" s="5">
        <v>2</v>
      </c>
      <c r="F3997" s="5">
        <v>1</v>
      </c>
      <c r="G3997" s="12">
        <f>SUM($D$7:D3997)</f>
        <v>10665939.801000046</v>
      </c>
      <c r="H3997" s="11">
        <f t="shared" si="62"/>
        <v>0.99993018046076676</v>
      </c>
    </row>
    <row r="3998" spans="1:8" ht="15" customHeight="1" x14ac:dyDescent="0.25">
      <c r="A3998" s="5">
        <v>3992</v>
      </c>
      <c r="B3998" s="10" t="s">
        <v>7704</v>
      </c>
      <c r="C3998" s="10" t="s">
        <v>7705</v>
      </c>
      <c r="D3998" s="7">
        <v>8.34</v>
      </c>
      <c r="E3998" s="5">
        <v>2</v>
      </c>
      <c r="F3998" s="5">
        <v>2</v>
      </c>
      <c r="G3998" s="12">
        <f>SUM($D$7:D3998)</f>
        <v>10665948.141000045</v>
      </c>
      <c r="H3998" s="11">
        <f t="shared" si="62"/>
        <v>0.99993096233445633</v>
      </c>
    </row>
    <row r="3999" spans="1:8" ht="15" customHeight="1" x14ac:dyDescent="0.25">
      <c r="A3999" s="5">
        <v>3993</v>
      </c>
      <c r="B3999" s="10" t="s">
        <v>7706</v>
      </c>
      <c r="C3999" s="10" t="s">
        <v>7707</v>
      </c>
      <c r="D3999" s="7">
        <v>8.3000000000000007</v>
      </c>
      <c r="E3999" s="5">
        <v>5</v>
      </c>
      <c r="F3999" s="5">
        <v>2</v>
      </c>
      <c r="G3999" s="12">
        <f>SUM($D$7:D3999)</f>
        <v>10665956.441000046</v>
      </c>
      <c r="H3999" s="11">
        <f t="shared" si="62"/>
        <v>0.99993174045815225</v>
      </c>
    </row>
    <row r="4000" spans="1:8" ht="15" customHeight="1" x14ac:dyDescent="0.25">
      <c r="A4000" s="5">
        <v>3994</v>
      </c>
      <c r="B4000" s="10" t="s">
        <v>7708</v>
      </c>
      <c r="C4000" s="10" t="s">
        <v>1787</v>
      </c>
      <c r="D4000" s="7">
        <v>8.2899999999999991</v>
      </c>
      <c r="E4000" s="5">
        <v>1</v>
      </c>
      <c r="F4000" s="5">
        <v>1</v>
      </c>
      <c r="G4000" s="12">
        <f>SUM($D$7:D4000)</f>
        <v>10665964.731000045</v>
      </c>
      <c r="H4000" s="11">
        <f t="shared" si="62"/>
        <v>0.99993251764434965</v>
      </c>
    </row>
    <row r="4001" spans="1:8" ht="15" customHeight="1" x14ac:dyDescent="0.25">
      <c r="A4001" s="5">
        <v>3995</v>
      </c>
      <c r="B4001" s="10" t="s">
        <v>7709</v>
      </c>
      <c r="C4001" s="10" t="s">
        <v>2533</v>
      </c>
      <c r="D4001" s="7">
        <v>8.2899999999999991</v>
      </c>
      <c r="E4001" s="5">
        <v>1</v>
      </c>
      <c r="F4001" s="5">
        <v>1</v>
      </c>
      <c r="G4001" s="12">
        <f>SUM($D$7:D4001)</f>
        <v>10665973.021000044</v>
      </c>
      <c r="H4001" s="11">
        <f t="shared" si="62"/>
        <v>0.99993329483054694</v>
      </c>
    </row>
    <row r="4002" spans="1:8" ht="15" customHeight="1" x14ac:dyDescent="0.25">
      <c r="A4002" s="5">
        <v>3996</v>
      </c>
      <c r="B4002" s="10" t="s">
        <v>7710</v>
      </c>
      <c r="C4002" s="10" t="s">
        <v>7711</v>
      </c>
      <c r="D4002" s="7">
        <v>7.9</v>
      </c>
      <c r="E4002" s="5">
        <v>10</v>
      </c>
      <c r="F4002" s="5">
        <v>3</v>
      </c>
      <c r="G4002" s="12">
        <f>SUM($D$7:D4002)</f>
        <v>10665980.921000045</v>
      </c>
      <c r="H4002" s="11">
        <f t="shared" si="62"/>
        <v>0.9999340354543057</v>
      </c>
    </row>
    <row r="4003" spans="1:8" ht="15" customHeight="1" x14ac:dyDescent="0.25">
      <c r="A4003" s="5">
        <v>3997</v>
      </c>
      <c r="B4003" s="10" t="s">
        <v>7712</v>
      </c>
      <c r="C4003" s="10" t="s">
        <v>7713</v>
      </c>
      <c r="D4003" s="7">
        <v>7.85</v>
      </c>
      <c r="E4003" s="5">
        <v>7</v>
      </c>
      <c r="F4003" s="5">
        <v>2</v>
      </c>
      <c r="G4003" s="12">
        <f>SUM($D$7:D4003)</f>
        <v>10665988.771000044</v>
      </c>
      <c r="H4003" s="11">
        <f t="shared" si="62"/>
        <v>0.9999347713905723</v>
      </c>
    </row>
    <row r="4004" spans="1:8" ht="15" customHeight="1" x14ac:dyDescent="0.25">
      <c r="A4004" s="5">
        <v>3998</v>
      </c>
      <c r="B4004" s="10" t="s">
        <v>7714</v>
      </c>
      <c r="C4004" s="10" t="s">
        <v>7715</v>
      </c>
      <c r="D4004" s="7">
        <v>7.82</v>
      </c>
      <c r="E4004" s="5">
        <v>26</v>
      </c>
      <c r="F4004" s="5">
        <v>2</v>
      </c>
      <c r="G4004" s="12">
        <f>SUM($D$7:D4004)</f>
        <v>10665996.591000045</v>
      </c>
      <c r="H4004" s="11">
        <f t="shared" si="62"/>
        <v>0.99993550451434354</v>
      </c>
    </row>
    <row r="4005" spans="1:8" ht="15" customHeight="1" x14ac:dyDescent="0.25">
      <c r="A4005" s="5">
        <v>3999</v>
      </c>
      <c r="B4005" s="10" t="s">
        <v>7716</v>
      </c>
      <c r="C4005" s="10" t="s">
        <v>7717</v>
      </c>
      <c r="D4005" s="7">
        <v>7.65</v>
      </c>
      <c r="E4005" s="5">
        <v>3</v>
      </c>
      <c r="F4005" s="5">
        <v>2</v>
      </c>
      <c r="G4005" s="12">
        <f>SUM($D$7:D4005)</f>
        <v>10666004.241000045</v>
      </c>
      <c r="H4005" s="11">
        <f t="shared" si="62"/>
        <v>0.99993622170064167</v>
      </c>
    </row>
    <row r="4006" spans="1:8" ht="15" customHeight="1" x14ac:dyDescent="0.25">
      <c r="A4006" s="5">
        <v>4000</v>
      </c>
      <c r="B4006" s="10" t="s">
        <v>7718</v>
      </c>
      <c r="C4006" s="10" t="s">
        <v>7719</v>
      </c>
      <c r="D4006" s="7">
        <v>7.65</v>
      </c>
      <c r="E4006" s="5">
        <v>9</v>
      </c>
      <c r="F4006" s="5">
        <v>3</v>
      </c>
      <c r="G4006" s="12">
        <f>SUM($D$7:D4006)</f>
        <v>10666011.891000045</v>
      </c>
      <c r="H4006" s="11">
        <f t="shared" si="62"/>
        <v>0.99993693888693969</v>
      </c>
    </row>
    <row r="4007" spans="1:8" ht="15" customHeight="1" x14ac:dyDescent="0.25">
      <c r="A4007" s="5">
        <v>4001</v>
      </c>
      <c r="B4007" s="10" t="s">
        <v>7720</v>
      </c>
      <c r="C4007" s="10" t="s">
        <v>7721</v>
      </c>
      <c r="D4007" s="7">
        <v>7.56</v>
      </c>
      <c r="E4007" s="5">
        <v>18</v>
      </c>
      <c r="F4007" s="5">
        <v>8</v>
      </c>
      <c r="G4007" s="12">
        <f>SUM($D$7:D4007)</f>
        <v>10666019.451000046</v>
      </c>
      <c r="H4007" s="11">
        <f t="shared" si="62"/>
        <v>0.99993764763575188</v>
      </c>
    </row>
    <row r="4008" spans="1:8" ht="15" customHeight="1" x14ac:dyDescent="0.25">
      <c r="A4008" s="5">
        <v>4002</v>
      </c>
      <c r="B4008" s="10" t="s">
        <v>7722</v>
      </c>
      <c r="C4008" s="10" t="s">
        <v>7723</v>
      </c>
      <c r="D4008" s="7">
        <v>7.5</v>
      </c>
      <c r="E4008" s="5">
        <v>2</v>
      </c>
      <c r="F4008" s="5">
        <v>2</v>
      </c>
      <c r="G4008" s="12">
        <f>SUM($D$7:D4008)</f>
        <v>10666026.951000046</v>
      </c>
      <c r="H4008" s="11">
        <f t="shared" si="62"/>
        <v>0.99993835075957338</v>
      </c>
    </row>
    <row r="4009" spans="1:8" ht="15" customHeight="1" x14ac:dyDescent="0.25">
      <c r="A4009" s="5">
        <v>4003</v>
      </c>
      <c r="B4009" s="10" t="s">
        <v>7724</v>
      </c>
      <c r="C4009" s="10" t="s">
        <v>7725</v>
      </c>
      <c r="D4009" s="7">
        <v>7.5</v>
      </c>
      <c r="E4009" s="5">
        <v>6</v>
      </c>
      <c r="F4009" s="5">
        <v>3</v>
      </c>
      <c r="G4009" s="12">
        <f>SUM($D$7:D4009)</f>
        <v>10666034.451000046</v>
      </c>
      <c r="H4009" s="11">
        <f t="shared" si="62"/>
        <v>0.99993905388339499</v>
      </c>
    </row>
    <row r="4010" spans="1:8" ht="15" customHeight="1" x14ac:dyDescent="0.25">
      <c r="A4010" s="5">
        <v>4004</v>
      </c>
      <c r="B4010" s="10" t="s">
        <v>7726</v>
      </c>
      <c r="C4010" s="10" t="s">
        <v>7727</v>
      </c>
      <c r="D4010" s="7">
        <v>7.5</v>
      </c>
      <c r="E4010" s="5">
        <v>1</v>
      </c>
      <c r="F4010" s="5">
        <v>1</v>
      </c>
      <c r="G4010" s="12">
        <f>SUM($D$7:D4010)</f>
        <v>10666041.951000046</v>
      </c>
      <c r="H4010" s="11">
        <f t="shared" si="62"/>
        <v>0.99993975700721649</v>
      </c>
    </row>
    <row r="4011" spans="1:8" ht="15" customHeight="1" x14ac:dyDescent="0.25">
      <c r="A4011" s="5">
        <v>4005</v>
      </c>
      <c r="B4011" s="10" t="s">
        <v>7728</v>
      </c>
      <c r="C4011" s="10" t="s">
        <v>7729</v>
      </c>
      <c r="D4011" s="7">
        <v>7.5</v>
      </c>
      <c r="E4011" s="5">
        <v>6</v>
      </c>
      <c r="F4011" s="5">
        <v>1</v>
      </c>
      <c r="G4011" s="12">
        <f>SUM($D$7:D4011)</f>
        <v>10666049.451000046</v>
      </c>
      <c r="H4011" s="11">
        <f t="shared" si="62"/>
        <v>0.9999404601310381</v>
      </c>
    </row>
    <row r="4012" spans="1:8" ht="15" customHeight="1" x14ac:dyDescent="0.25">
      <c r="A4012" s="5">
        <v>4006</v>
      </c>
      <c r="B4012" s="10" t="s">
        <v>7730</v>
      </c>
      <c r="C4012" s="10" t="s">
        <v>7731</v>
      </c>
      <c r="D4012" s="7">
        <v>7.5</v>
      </c>
      <c r="E4012" s="5">
        <v>15</v>
      </c>
      <c r="F4012" s="5">
        <v>3</v>
      </c>
      <c r="G4012" s="12">
        <f>SUM($D$7:D4012)</f>
        <v>10666056.951000046</v>
      </c>
      <c r="H4012" s="11">
        <f t="shared" si="62"/>
        <v>0.9999411632548596</v>
      </c>
    </row>
    <row r="4013" spans="1:8" ht="15" customHeight="1" x14ac:dyDescent="0.25">
      <c r="A4013" s="5">
        <v>4007</v>
      </c>
      <c r="B4013" s="10" t="s">
        <v>7732</v>
      </c>
      <c r="C4013" s="10" t="s">
        <v>7441</v>
      </c>
      <c r="D4013" s="7">
        <v>7.5</v>
      </c>
      <c r="E4013" s="5">
        <v>6</v>
      </c>
      <c r="F4013" s="5">
        <v>1</v>
      </c>
      <c r="G4013" s="12">
        <f>SUM($D$7:D4013)</f>
        <v>10666064.451000046</v>
      </c>
      <c r="H4013" s="11">
        <f t="shared" si="62"/>
        <v>0.99994186637868121</v>
      </c>
    </row>
    <row r="4014" spans="1:8" ht="15" customHeight="1" x14ac:dyDescent="0.25">
      <c r="A4014" s="5">
        <v>4008</v>
      </c>
      <c r="B4014" s="10" t="s">
        <v>7733</v>
      </c>
      <c r="C4014" s="10" t="s">
        <v>7734</v>
      </c>
      <c r="D4014" s="7">
        <v>7.47</v>
      </c>
      <c r="E4014" s="5">
        <v>3</v>
      </c>
      <c r="F4014" s="5">
        <v>3</v>
      </c>
      <c r="G4014" s="12">
        <f>SUM($D$7:D4014)</f>
        <v>10666071.921000047</v>
      </c>
      <c r="H4014" s="11">
        <f t="shared" si="62"/>
        <v>0.99994256669000758</v>
      </c>
    </row>
    <row r="4015" spans="1:8" ht="15" customHeight="1" x14ac:dyDescent="0.25">
      <c r="A4015" s="5">
        <v>4009</v>
      </c>
      <c r="B4015" s="10" t="s">
        <v>7735</v>
      </c>
      <c r="C4015" s="10" t="s">
        <v>7736</v>
      </c>
      <c r="D4015" s="7">
        <v>7.47</v>
      </c>
      <c r="E4015" s="5">
        <v>9</v>
      </c>
      <c r="F4015" s="5">
        <v>3</v>
      </c>
      <c r="G4015" s="12">
        <f>SUM($D$7:D4015)</f>
        <v>10666079.391000047</v>
      </c>
      <c r="H4015" s="11">
        <f t="shared" si="62"/>
        <v>0.99994326700133385</v>
      </c>
    </row>
    <row r="4016" spans="1:8" ht="15" customHeight="1" x14ac:dyDescent="0.25">
      <c r="A4016" s="5">
        <v>4010</v>
      </c>
      <c r="B4016" s="10" t="s">
        <v>7737</v>
      </c>
      <c r="C4016" s="10" t="s">
        <v>7738</v>
      </c>
      <c r="D4016" s="7">
        <v>7.43</v>
      </c>
      <c r="E4016" s="5">
        <v>3</v>
      </c>
      <c r="F4016" s="5">
        <v>2</v>
      </c>
      <c r="G4016" s="12">
        <f>SUM($D$7:D4016)</f>
        <v>10666086.821000047</v>
      </c>
      <c r="H4016" s="11">
        <f t="shared" si="62"/>
        <v>0.99994396356266646</v>
      </c>
    </row>
    <row r="4017" spans="1:8" ht="15" customHeight="1" x14ac:dyDescent="0.25">
      <c r="A4017" s="5">
        <v>4011</v>
      </c>
      <c r="B4017" s="10" t="s">
        <v>7739</v>
      </c>
      <c r="C4017" s="10" t="s">
        <v>3431</v>
      </c>
      <c r="D4017" s="7">
        <v>7.38</v>
      </c>
      <c r="E4017" s="5">
        <v>3</v>
      </c>
      <c r="F4017" s="5">
        <v>1</v>
      </c>
      <c r="G4017" s="12">
        <f>SUM($D$7:D4017)</f>
        <v>10666094.201000048</v>
      </c>
      <c r="H4017" s="11">
        <f t="shared" si="62"/>
        <v>0.9999446554365069</v>
      </c>
    </row>
    <row r="4018" spans="1:8" ht="15" customHeight="1" x14ac:dyDescent="0.25">
      <c r="A4018" s="5">
        <v>4012</v>
      </c>
      <c r="B4018" s="10" t="s">
        <v>7740</v>
      </c>
      <c r="C4018" s="10" t="s">
        <v>7741</v>
      </c>
      <c r="D4018" s="7">
        <v>7.37</v>
      </c>
      <c r="E4018" s="5">
        <v>13</v>
      </c>
      <c r="F4018" s="5">
        <v>4</v>
      </c>
      <c r="G4018" s="12">
        <f>SUM($D$7:D4018)</f>
        <v>10666101.571000047</v>
      </c>
      <c r="H4018" s="11">
        <f t="shared" si="62"/>
        <v>0.99994534637284882</v>
      </c>
    </row>
    <row r="4019" spans="1:8" ht="15" customHeight="1" x14ac:dyDescent="0.25">
      <c r="A4019" s="5">
        <v>4013</v>
      </c>
      <c r="B4019" s="10" t="s">
        <v>4277</v>
      </c>
      <c r="C4019" s="10" t="s">
        <v>7742</v>
      </c>
      <c r="D4019" s="7">
        <v>7.25</v>
      </c>
      <c r="E4019" s="5">
        <v>1</v>
      </c>
      <c r="F4019" s="5">
        <v>1</v>
      </c>
      <c r="G4019" s="12">
        <f>SUM($D$7:D4019)</f>
        <v>10666108.821000047</v>
      </c>
      <c r="H4019" s="11">
        <f t="shared" si="62"/>
        <v>0.99994602605920968</v>
      </c>
    </row>
    <row r="4020" spans="1:8" ht="15" customHeight="1" x14ac:dyDescent="0.25">
      <c r="A4020" s="5">
        <v>4014</v>
      </c>
      <c r="B4020" s="10" t="s">
        <v>7743</v>
      </c>
      <c r="C4020" s="10" t="s">
        <v>7744</v>
      </c>
      <c r="D4020" s="7">
        <v>7.14</v>
      </c>
      <c r="E4020" s="5">
        <v>17</v>
      </c>
      <c r="F4020" s="5">
        <v>4</v>
      </c>
      <c r="G4020" s="12">
        <f>SUM($D$7:D4020)</f>
        <v>10666115.961000048</v>
      </c>
      <c r="H4020" s="11">
        <f t="shared" si="62"/>
        <v>0.9999466954330879</v>
      </c>
    </row>
    <row r="4021" spans="1:8" ht="15" customHeight="1" x14ac:dyDescent="0.25">
      <c r="A4021" s="5">
        <v>4015</v>
      </c>
      <c r="B4021" s="10" t="s">
        <v>7745</v>
      </c>
      <c r="C4021" s="10" t="s">
        <v>7746</v>
      </c>
      <c r="D4021" s="7">
        <v>6.82</v>
      </c>
      <c r="E4021" s="5">
        <v>16</v>
      </c>
      <c r="F4021" s="5">
        <v>5</v>
      </c>
      <c r="G4021" s="12">
        <f>SUM($D$7:D4021)</f>
        <v>10666122.781000048</v>
      </c>
      <c r="H4021" s="11">
        <f t="shared" si="62"/>
        <v>0.99994733480701636</v>
      </c>
    </row>
    <row r="4022" spans="1:8" ht="15" customHeight="1" x14ac:dyDescent="0.25">
      <c r="A4022" s="5">
        <v>4016</v>
      </c>
      <c r="B4022" s="10" t="s">
        <v>7747</v>
      </c>
      <c r="C4022" s="10" t="s">
        <v>7748</v>
      </c>
      <c r="D4022" s="7">
        <v>6.82</v>
      </c>
      <c r="E4022" s="5">
        <v>16</v>
      </c>
      <c r="F4022" s="5">
        <v>5</v>
      </c>
      <c r="G4022" s="12">
        <f>SUM($D$7:D4022)</f>
        <v>10666129.601000048</v>
      </c>
      <c r="H4022" s="11">
        <f t="shared" si="62"/>
        <v>0.99994797418094472</v>
      </c>
    </row>
    <row r="4023" spans="1:8" ht="15" customHeight="1" x14ac:dyDescent="0.25">
      <c r="A4023" s="5">
        <v>4017</v>
      </c>
      <c r="B4023" s="10" t="s">
        <v>7749</v>
      </c>
      <c r="C4023" s="10" t="s">
        <v>7750</v>
      </c>
      <c r="D4023" s="7">
        <v>6.8</v>
      </c>
      <c r="E4023" s="5">
        <v>8</v>
      </c>
      <c r="F4023" s="5">
        <v>6</v>
      </c>
      <c r="G4023" s="12">
        <f>SUM($D$7:D4023)</f>
        <v>10666136.401000049</v>
      </c>
      <c r="H4023" s="11">
        <f t="shared" si="62"/>
        <v>0.99994861167987636</v>
      </c>
    </row>
    <row r="4024" spans="1:8" ht="15" customHeight="1" x14ac:dyDescent="0.25">
      <c r="A4024" s="5">
        <v>4018</v>
      </c>
      <c r="B4024" s="10" t="s">
        <v>7751</v>
      </c>
      <c r="C4024" s="10" t="s">
        <v>7752</v>
      </c>
      <c r="D4024" s="7">
        <v>6.76</v>
      </c>
      <c r="E4024" s="5">
        <v>4</v>
      </c>
      <c r="F4024" s="5">
        <v>1</v>
      </c>
      <c r="G4024" s="12">
        <f>SUM($D$7:D4024)</f>
        <v>10666143.161000049</v>
      </c>
      <c r="H4024" s="11">
        <f t="shared" si="62"/>
        <v>0.99994924542881414</v>
      </c>
    </row>
    <row r="4025" spans="1:8" ht="15" customHeight="1" x14ac:dyDescent="0.25">
      <c r="A4025" s="5">
        <v>4019</v>
      </c>
      <c r="B4025" s="10" t="s">
        <v>7753</v>
      </c>
      <c r="C4025" s="10" t="s">
        <v>7754</v>
      </c>
      <c r="D4025" s="7">
        <v>6.72</v>
      </c>
      <c r="E4025" s="5">
        <v>2</v>
      </c>
      <c r="F4025" s="5">
        <v>1</v>
      </c>
      <c r="G4025" s="12">
        <f>SUM($D$7:D4025)</f>
        <v>10666149.881000049</v>
      </c>
      <c r="H4025" s="11">
        <f t="shared" si="62"/>
        <v>0.99994987542775837</v>
      </c>
    </row>
    <row r="4026" spans="1:8" ht="15" customHeight="1" x14ac:dyDescent="0.25">
      <c r="A4026" s="5">
        <v>4020</v>
      </c>
      <c r="B4026" s="10" t="s">
        <v>7755</v>
      </c>
      <c r="C4026" s="10" t="s">
        <v>7756</v>
      </c>
      <c r="D4026" s="7">
        <v>6.72</v>
      </c>
      <c r="E4026" s="5">
        <v>16</v>
      </c>
      <c r="F4026" s="5">
        <v>4</v>
      </c>
      <c r="G4026" s="12">
        <f>SUM($D$7:D4026)</f>
        <v>10666156.60100005</v>
      </c>
      <c r="H4026" s="11">
        <f t="shared" si="62"/>
        <v>0.99995050542670261</v>
      </c>
    </row>
    <row r="4027" spans="1:8" ht="15" customHeight="1" x14ac:dyDescent="0.25">
      <c r="A4027" s="5">
        <v>4021</v>
      </c>
      <c r="B4027" s="10" t="s">
        <v>7757</v>
      </c>
      <c r="C4027" s="10" t="s">
        <v>7758</v>
      </c>
      <c r="D4027" s="7">
        <v>6.72</v>
      </c>
      <c r="E4027" s="5">
        <v>2</v>
      </c>
      <c r="F4027" s="5">
        <v>1</v>
      </c>
      <c r="G4027" s="12">
        <f>SUM($D$7:D4027)</f>
        <v>10666163.321000051</v>
      </c>
      <c r="H4027" s="11">
        <f t="shared" si="62"/>
        <v>0.99995113542564673</v>
      </c>
    </row>
    <row r="4028" spans="1:8" ht="15" customHeight="1" x14ac:dyDescent="0.25">
      <c r="A4028" s="5">
        <v>4022</v>
      </c>
      <c r="B4028" s="10" t="s">
        <v>7759</v>
      </c>
      <c r="C4028" s="10" t="s">
        <v>7760</v>
      </c>
      <c r="D4028" s="7">
        <v>6.72</v>
      </c>
      <c r="E4028" s="5">
        <v>16</v>
      </c>
      <c r="F4028" s="5">
        <v>5</v>
      </c>
      <c r="G4028" s="12">
        <f>SUM($D$7:D4028)</f>
        <v>10666170.041000051</v>
      </c>
      <c r="H4028" s="11">
        <f t="shared" si="62"/>
        <v>0.99995176542459097</v>
      </c>
    </row>
    <row r="4029" spans="1:8" ht="15" customHeight="1" x14ac:dyDescent="0.25">
      <c r="A4029" s="5">
        <v>4023</v>
      </c>
      <c r="B4029" s="10" t="s">
        <v>7761</v>
      </c>
      <c r="C4029" s="10" t="s">
        <v>7762</v>
      </c>
      <c r="D4029" s="7">
        <v>6.64</v>
      </c>
      <c r="E4029" s="5">
        <v>4</v>
      </c>
      <c r="F4029" s="5">
        <v>2</v>
      </c>
      <c r="G4029" s="12">
        <f>SUM($D$7:D4029)</f>
        <v>10666176.681000052</v>
      </c>
      <c r="H4029" s="11">
        <f t="shared" si="62"/>
        <v>0.99995238792354768</v>
      </c>
    </row>
    <row r="4030" spans="1:8" ht="15" customHeight="1" x14ac:dyDescent="0.25">
      <c r="A4030" s="5">
        <v>4024</v>
      </c>
      <c r="B4030" s="10" t="s">
        <v>7763</v>
      </c>
      <c r="C4030" s="10" t="s">
        <v>7764</v>
      </c>
      <c r="D4030" s="7">
        <v>6.6</v>
      </c>
      <c r="E4030" s="5">
        <v>4</v>
      </c>
      <c r="F4030" s="5">
        <v>1</v>
      </c>
      <c r="G4030" s="12">
        <f>SUM($D$7:D4030)</f>
        <v>10666183.281000052</v>
      </c>
      <c r="H4030" s="11">
        <f t="shared" si="62"/>
        <v>0.99995300667251064</v>
      </c>
    </row>
    <row r="4031" spans="1:8" ht="15" customHeight="1" x14ac:dyDescent="0.25">
      <c r="A4031" s="5">
        <v>4025</v>
      </c>
      <c r="B4031" s="10" t="s">
        <v>7765</v>
      </c>
      <c r="C4031" s="10" t="s">
        <v>7766</v>
      </c>
      <c r="D4031" s="7">
        <v>6.6</v>
      </c>
      <c r="E4031" s="5">
        <v>4</v>
      </c>
      <c r="F4031" s="5">
        <v>1</v>
      </c>
      <c r="G4031" s="12">
        <f>SUM($D$7:D4031)</f>
        <v>10666189.881000051</v>
      </c>
      <c r="H4031" s="11">
        <f t="shared" si="62"/>
        <v>0.99995362542147359</v>
      </c>
    </row>
    <row r="4032" spans="1:8" ht="15" customHeight="1" x14ac:dyDescent="0.25">
      <c r="A4032" s="5">
        <v>4026</v>
      </c>
      <c r="B4032" s="10" t="s">
        <v>7767</v>
      </c>
      <c r="C4032" s="10" t="s">
        <v>7768</v>
      </c>
      <c r="D4032" s="7">
        <v>6.58</v>
      </c>
      <c r="E4032" s="5">
        <v>2</v>
      </c>
      <c r="F4032" s="5">
        <v>1</v>
      </c>
      <c r="G4032" s="12">
        <f>SUM($D$7:D4032)</f>
        <v>10666196.461000051</v>
      </c>
      <c r="H4032" s="11">
        <f t="shared" si="62"/>
        <v>0.99995424229543972</v>
      </c>
    </row>
    <row r="4033" spans="1:8" ht="15" customHeight="1" x14ac:dyDescent="0.25">
      <c r="A4033" s="5">
        <v>4027</v>
      </c>
      <c r="B4033" s="10" t="s">
        <v>7769</v>
      </c>
      <c r="C4033" s="10" t="s">
        <v>7770</v>
      </c>
      <c r="D4033" s="7">
        <v>6.3</v>
      </c>
      <c r="E4033" s="5">
        <v>3</v>
      </c>
      <c r="F4033" s="5">
        <v>1</v>
      </c>
      <c r="G4033" s="12">
        <f>SUM($D$7:D4033)</f>
        <v>10666202.761000052</v>
      </c>
      <c r="H4033" s="11">
        <f t="shared" si="62"/>
        <v>0.99995483291944987</v>
      </c>
    </row>
    <row r="4034" spans="1:8" ht="15" customHeight="1" x14ac:dyDescent="0.25">
      <c r="A4034" s="5">
        <v>4028</v>
      </c>
      <c r="B4034" s="10" t="s">
        <v>7771</v>
      </c>
      <c r="C4034" s="10" t="s">
        <v>7772</v>
      </c>
      <c r="D4034" s="7">
        <v>6.3</v>
      </c>
      <c r="E4034" s="5">
        <v>15</v>
      </c>
      <c r="F4034" s="5">
        <v>4</v>
      </c>
      <c r="G4034" s="12">
        <f>SUM($D$7:D4034)</f>
        <v>10666209.061000053</v>
      </c>
      <c r="H4034" s="11">
        <f t="shared" si="62"/>
        <v>0.99995542354346001</v>
      </c>
    </row>
    <row r="4035" spans="1:8" ht="15" customHeight="1" x14ac:dyDescent="0.25">
      <c r="A4035" s="5">
        <v>4029</v>
      </c>
      <c r="B4035" s="10" t="s">
        <v>7773</v>
      </c>
      <c r="C4035" s="10" t="s">
        <v>7774</v>
      </c>
      <c r="D4035" s="7">
        <v>6.25</v>
      </c>
      <c r="E4035" s="5">
        <v>6</v>
      </c>
      <c r="F4035" s="5">
        <v>3</v>
      </c>
      <c r="G4035" s="12">
        <f>SUM($D$7:D4035)</f>
        <v>10666215.311000053</v>
      </c>
      <c r="H4035" s="11">
        <f t="shared" si="62"/>
        <v>0.99995600947997798</v>
      </c>
    </row>
    <row r="4036" spans="1:8" ht="15" customHeight="1" x14ac:dyDescent="0.25">
      <c r="A4036" s="5">
        <v>4030</v>
      </c>
      <c r="B4036" s="10" t="s">
        <v>7775</v>
      </c>
      <c r="C4036" s="10" t="s">
        <v>7776</v>
      </c>
      <c r="D4036" s="7">
        <v>6.25</v>
      </c>
      <c r="E4036" s="5">
        <v>5</v>
      </c>
      <c r="F4036" s="5">
        <v>4</v>
      </c>
      <c r="G4036" s="12">
        <f>SUM($D$7:D4036)</f>
        <v>10666221.561000053</v>
      </c>
      <c r="H4036" s="11">
        <f t="shared" si="62"/>
        <v>0.99995659541649595</v>
      </c>
    </row>
    <row r="4037" spans="1:8" ht="15" customHeight="1" x14ac:dyDescent="0.25">
      <c r="A4037" s="5">
        <v>4031</v>
      </c>
      <c r="B4037" s="10" t="s">
        <v>7777</v>
      </c>
      <c r="C4037" s="10" t="s">
        <v>7778</v>
      </c>
      <c r="D4037" s="7">
        <v>6.25</v>
      </c>
      <c r="E4037" s="5">
        <v>5</v>
      </c>
      <c r="F4037" s="5">
        <v>2</v>
      </c>
      <c r="G4037" s="12">
        <f>SUM($D$7:D4037)</f>
        <v>10666227.811000053</v>
      </c>
      <c r="H4037" s="11">
        <f t="shared" si="62"/>
        <v>0.99995718135301392</v>
      </c>
    </row>
    <row r="4038" spans="1:8" ht="15" customHeight="1" x14ac:dyDescent="0.25">
      <c r="A4038" s="5">
        <v>4032</v>
      </c>
      <c r="B4038" s="10" t="s">
        <v>7779</v>
      </c>
      <c r="C4038" s="10" t="s">
        <v>7780</v>
      </c>
      <c r="D4038" s="7">
        <v>6.24</v>
      </c>
      <c r="E4038" s="5">
        <v>3</v>
      </c>
      <c r="F4038" s="5">
        <v>3</v>
      </c>
      <c r="G4038" s="12">
        <f>SUM($D$7:D4038)</f>
        <v>10666234.051000053</v>
      </c>
      <c r="H4038" s="11">
        <f t="shared" si="62"/>
        <v>0.99995776635203348</v>
      </c>
    </row>
    <row r="4039" spans="1:8" ht="15" customHeight="1" x14ac:dyDescent="0.25">
      <c r="A4039" s="5">
        <v>4033</v>
      </c>
      <c r="B4039" s="10" t="s">
        <v>7781</v>
      </c>
      <c r="C4039" s="10" t="s">
        <v>7782</v>
      </c>
      <c r="D4039" s="7">
        <v>5.95</v>
      </c>
      <c r="E4039" s="5">
        <v>1</v>
      </c>
      <c r="F4039" s="5">
        <v>1</v>
      </c>
      <c r="G4039" s="12">
        <f>SUM($D$7:D4039)</f>
        <v>10666240.001000052</v>
      </c>
      <c r="H4039" s="11">
        <f t="shared" ref="H4039:H4102" si="63">G4039/SUM($D$7:$D$4167)</f>
        <v>0.99995832416359853</v>
      </c>
    </row>
    <row r="4040" spans="1:8" ht="15" customHeight="1" x14ac:dyDescent="0.25">
      <c r="A4040" s="5">
        <v>4034</v>
      </c>
      <c r="B4040" s="10" t="s">
        <v>7783</v>
      </c>
      <c r="C4040" s="10" t="s">
        <v>7784</v>
      </c>
      <c r="D4040" s="7">
        <v>5.95</v>
      </c>
      <c r="E4040" s="5">
        <v>1</v>
      </c>
      <c r="F4040" s="5">
        <v>1</v>
      </c>
      <c r="G4040" s="12">
        <f>SUM($D$7:D4040)</f>
        <v>10666245.951000052</v>
      </c>
      <c r="H4040" s="11">
        <f t="shared" si="63"/>
        <v>0.99995888197516358</v>
      </c>
    </row>
    <row r="4041" spans="1:8" ht="15" customHeight="1" x14ac:dyDescent="0.25">
      <c r="A4041" s="5">
        <v>4035</v>
      </c>
      <c r="B4041" s="10" t="s">
        <v>7785</v>
      </c>
      <c r="C4041" s="10" t="s">
        <v>7786</v>
      </c>
      <c r="D4041" s="7">
        <v>5.95</v>
      </c>
      <c r="E4041" s="5">
        <v>7</v>
      </c>
      <c r="F4041" s="5">
        <v>2</v>
      </c>
      <c r="G4041" s="12">
        <f>SUM($D$7:D4041)</f>
        <v>10666251.901000051</v>
      </c>
      <c r="H4041" s="11">
        <f t="shared" si="63"/>
        <v>0.99995943978672863</v>
      </c>
    </row>
    <row r="4042" spans="1:8" ht="15" customHeight="1" x14ac:dyDescent="0.25">
      <c r="A4042" s="5">
        <v>4036</v>
      </c>
      <c r="B4042" s="10" t="s">
        <v>7787</v>
      </c>
      <c r="C4042" s="10" t="s">
        <v>7788</v>
      </c>
      <c r="D4042" s="7">
        <v>5.9</v>
      </c>
      <c r="E4042" s="5">
        <v>2</v>
      </c>
      <c r="F4042" s="5">
        <v>2</v>
      </c>
      <c r="G4042" s="12">
        <f>SUM($D$7:D4042)</f>
        <v>10666257.801000051</v>
      </c>
      <c r="H4042" s="11">
        <f t="shared" si="63"/>
        <v>0.99995999291080162</v>
      </c>
    </row>
    <row r="4043" spans="1:8" ht="15" customHeight="1" x14ac:dyDescent="0.25">
      <c r="A4043" s="5">
        <v>4037</v>
      </c>
      <c r="B4043" s="10" t="s">
        <v>7789</v>
      </c>
      <c r="C4043" s="10" t="s">
        <v>7790</v>
      </c>
      <c r="D4043" s="7">
        <v>5.9</v>
      </c>
      <c r="E4043" s="5">
        <v>2</v>
      </c>
      <c r="F4043" s="5">
        <v>2</v>
      </c>
      <c r="G4043" s="12">
        <f>SUM($D$7:D4043)</f>
        <v>10666263.701000052</v>
      </c>
      <c r="H4043" s="11">
        <f t="shared" si="63"/>
        <v>0.99996054603487461</v>
      </c>
    </row>
    <row r="4044" spans="1:8" ht="15" customHeight="1" x14ac:dyDescent="0.25">
      <c r="A4044" s="5">
        <v>4038</v>
      </c>
      <c r="B4044" s="10" t="s">
        <v>5842</v>
      </c>
      <c r="C4044" s="10" t="s">
        <v>7791</v>
      </c>
      <c r="D4044" s="7">
        <v>5.9</v>
      </c>
      <c r="E4044" s="5">
        <v>2</v>
      </c>
      <c r="F4044" s="5">
        <v>2</v>
      </c>
      <c r="G4044" s="12">
        <f>SUM($D$7:D4044)</f>
        <v>10666269.601000052</v>
      </c>
      <c r="H4044" s="11">
        <f t="shared" si="63"/>
        <v>0.9999610991589476</v>
      </c>
    </row>
    <row r="4045" spans="1:8" ht="15" customHeight="1" x14ac:dyDescent="0.25">
      <c r="A4045" s="5">
        <v>4039</v>
      </c>
      <c r="B4045" s="10" t="s">
        <v>6096</v>
      </c>
      <c r="C4045" s="10" t="s">
        <v>7792</v>
      </c>
      <c r="D4045" s="7">
        <v>5.88</v>
      </c>
      <c r="E4045" s="5">
        <v>14</v>
      </c>
      <c r="F4045" s="5">
        <v>3</v>
      </c>
      <c r="G4045" s="12">
        <f>SUM($D$7:D4045)</f>
        <v>10666275.481000053</v>
      </c>
      <c r="H4045" s="11">
        <f t="shared" si="63"/>
        <v>0.99996165040802387</v>
      </c>
    </row>
    <row r="4046" spans="1:8" ht="15" customHeight="1" x14ac:dyDescent="0.25">
      <c r="A4046" s="5">
        <v>4040</v>
      </c>
      <c r="B4046" s="10" t="s">
        <v>7793</v>
      </c>
      <c r="C4046" s="10" t="s">
        <v>7794</v>
      </c>
      <c r="D4046" s="7">
        <v>5.82</v>
      </c>
      <c r="E4046" s="5">
        <v>2</v>
      </c>
      <c r="F4046" s="5">
        <v>1</v>
      </c>
      <c r="G4046" s="12">
        <f>SUM($D$7:D4046)</f>
        <v>10666281.301000053</v>
      </c>
      <c r="H4046" s="11">
        <f t="shared" si="63"/>
        <v>0.99996219603210934</v>
      </c>
    </row>
    <row r="4047" spans="1:8" ht="15" customHeight="1" x14ac:dyDescent="0.25">
      <c r="A4047" s="5">
        <v>4041</v>
      </c>
      <c r="B4047" s="10" t="s">
        <v>7795</v>
      </c>
      <c r="C4047" s="10" t="s">
        <v>7796</v>
      </c>
      <c r="D4047" s="7">
        <v>5.82</v>
      </c>
      <c r="E4047" s="5">
        <v>2</v>
      </c>
      <c r="F4047" s="5">
        <v>1</v>
      </c>
      <c r="G4047" s="12">
        <f>SUM($D$7:D4047)</f>
        <v>10666287.121000053</v>
      </c>
      <c r="H4047" s="11">
        <f t="shared" si="63"/>
        <v>0.99996274165619492</v>
      </c>
    </row>
    <row r="4048" spans="1:8" ht="15" customHeight="1" x14ac:dyDescent="0.25">
      <c r="A4048" s="5">
        <v>4042</v>
      </c>
      <c r="B4048" s="10" t="s">
        <v>7797</v>
      </c>
      <c r="C4048" s="10" t="s">
        <v>7798</v>
      </c>
      <c r="D4048" s="7">
        <v>5.82</v>
      </c>
      <c r="E4048" s="5">
        <v>2</v>
      </c>
      <c r="F4048" s="5">
        <v>2</v>
      </c>
      <c r="G4048" s="12">
        <f>SUM($D$7:D4048)</f>
        <v>10666292.941000054</v>
      </c>
      <c r="H4048" s="11">
        <f t="shared" si="63"/>
        <v>0.9999632872802805</v>
      </c>
    </row>
    <row r="4049" spans="1:8" ht="15" customHeight="1" x14ac:dyDescent="0.25">
      <c r="A4049" s="5">
        <v>4043</v>
      </c>
      <c r="B4049" s="10" t="s">
        <v>7799</v>
      </c>
      <c r="C4049" s="10" t="s">
        <v>7800</v>
      </c>
      <c r="D4049" s="7">
        <v>5.8</v>
      </c>
      <c r="E4049" s="5">
        <v>2</v>
      </c>
      <c r="F4049" s="5">
        <v>2</v>
      </c>
      <c r="G4049" s="12">
        <f>SUM($D$7:D4049)</f>
        <v>10666298.741000054</v>
      </c>
      <c r="H4049" s="11">
        <f t="shared" si="63"/>
        <v>0.99996383102936925</v>
      </c>
    </row>
    <row r="4050" spans="1:8" ht="15" customHeight="1" x14ac:dyDescent="0.25">
      <c r="A4050" s="5">
        <v>4044</v>
      </c>
      <c r="B4050" s="10" t="s">
        <v>7801</v>
      </c>
      <c r="C4050" s="10" t="s">
        <v>7802</v>
      </c>
      <c r="D4050" s="7">
        <v>5.8</v>
      </c>
      <c r="E4050" s="5">
        <v>2</v>
      </c>
      <c r="F4050" s="5">
        <v>2</v>
      </c>
      <c r="G4050" s="12">
        <f>SUM($D$7:D4050)</f>
        <v>10666304.541000055</v>
      </c>
      <c r="H4050" s="11">
        <f t="shared" si="63"/>
        <v>0.99996437477845801</v>
      </c>
    </row>
    <row r="4051" spans="1:8" ht="15" customHeight="1" x14ac:dyDescent="0.25">
      <c r="A4051" s="5">
        <v>4045</v>
      </c>
      <c r="B4051" s="10" t="s">
        <v>7803</v>
      </c>
      <c r="C4051" s="10" t="s">
        <v>7804</v>
      </c>
      <c r="D4051" s="7">
        <v>5.48</v>
      </c>
      <c r="E4051" s="5">
        <v>2</v>
      </c>
      <c r="F4051" s="5">
        <v>2</v>
      </c>
      <c r="G4051" s="12">
        <f>SUM($D$7:D4051)</f>
        <v>10666310.021000056</v>
      </c>
      <c r="H4051" s="11">
        <f t="shared" si="63"/>
        <v>0.99996488852759702</v>
      </c>
    </row>
    <row r="4052" spans="1:8" ht="15" customHeight="1" x14ac:dyDescent="0.25">
      <c r="A4052" s="5">
        <v>4046</v>
      </c>
      <c r="B4052" s="10" t="s">
        <v>7805</v>
      </c>
      <c r="C4052" s="10" t="s">
        <v>7806</v>
      </c>
      <c r="D4052" s="7">
        <v>5.45</v>
      </c>
      <c r="E4052" s="5">
        <v>1</v>
      </c>
      <c r="F4052" s="5">
        <v>1</v>
      </c>
      <c r="G4052" s="12">
        <f>SUM($D$7:D4052)</f>
        <v>10666315.471000055</v>
      </c>
      <c r="H4052" s="11">
        <f t="shared" si="63"/>
        <v>0.99996539946424057</v>
      </c>
    </row>
    <row r="4053" spans="1:8" ht="15" customHeight="1" x14ac:dyDescent="0.25">
      <c r="A4053" s="5">
        <v>4047</v>
      </c>
      <c r="B4053" s="10" t="s">
        <v>7807</v>
      </c>
      <c r="C4053" s="10" t="s">
        <v>7808</v>
      </c>
      <c r="D4053" s="7">
        <v>5.45</v>
      </c>
      <c r="E4053" s="5">
        <v>1</v>
      </c>
      <c r="F4053" s="5">
        <v>1</v>
      </c>
      <c r="G4053" s="12">
        <f>SUM($D$7:D4053)</f>
        <v>10666320.921000054</v>
      </c>
      <c r="H4053" s="11">
        <f t="shared" si="63"/>
        <v>0.99996591040088423</v>
      </c>
    </row>
    <row r="4054" spans="1:8" ht="15" customHeight="1" x14ac:dyDescent="0.25">
      <c r="A4054" s="5">
        <v>4048</v>
      </c>
      <c r="B4054" s="10" t="s">
        <v>7809</v>
      </c>
      <c r="C4054" s="10" t="s">
        <v>7810</v>
      </c>
      <c r="D4054" s="7">
        <v>5.32</v>
      </c>
      <c r="E4054" s="5">
        <v>28</v>
      </c>
      <c r="F4054" s="5">
        <v>3</v>
      </c>
      <c r="G4054" s="12">
        <f>SUM($D$7:D4054)</f>
        <v>10666326.241000054</v>
      </c>
      <c r="H4054" s="11">
        <f t="shared" si="63"/>
        <v>0.99996640915004831</v>
      </c>
    </row>
    <row r="4055" spans="1:8" ht="15" customHeight="1" x14ac:dyDescent="0.25">
      <c r="A4055" s="5">
        <v>4049</v>
      </c>
      <c r="B4055" s="10" t="s">
        <v>7811</v>
      </c>
      <c r="C4055" s="10" t="s">
        <v>7812</v>
      </c>
      <c r="D4055" s="7">
        <v>5.0999999999999996</v>
      </c>
      <c r="E4055" s="5">
        <v>2</v>
      </c>
      <c r="F4055" s="5">
        <v>2</v>
      </c>
      <c r="G4055" s="12">
        <f>SUM($D$7:D4055)</f>
        <v>10666331.341000054</v>
      </c>
      <c r="H4055" s="11">
        <f t="shared" si="63"/>
        <v>0.99996688727424698</v>
      </c>
    </row>
    <row r="4056" spans="1:8" ht="15" customHeight="1" x14ac:dyDescent="0.25">
      <c r="A4056" s="5">
        <v>4050</v>
      </c>
      <c r="B4056" s="10" t="s">
        <v>7813</v>
      </c>
      <c r="C4056" s="10" t="s">
        <v>7814</v>
      </c>
      <c r="D4056" s="7">
        <v>5.0999999999999996</v>
      </c>
      <c r="E4056" s="5">
        <v>2</v>
      </c>
      <c r="F4056" s="5">
        <v>1</v>
      </c>
      <c r="G4056" s="12">
        <f>SUM($D$7:D4056)</f>
        <v>10666336.441000054</v>
      </c>
      <c r="H4056" s="11">
        <f t="shared" si="63"/>
        <v>0.99996736539844555</v>
      </c>
    </row>
    <row r="4057" spans="1:8" ht="15" customHeight="1" x14ac:dyDescent="0.25">
      <c r="A4057" s="5">
        <v>4051</v>
      </c>
      <c r="B4057" s="10" t="s">
        <v>7815</v>
      </c>
      <c r="C4057" s="10" t="s">
        <v>7816</v>
      </c>
      <c r="D4057" s="7">
        <v>5.09</v>
      </c>
      <c r="E4057" s="5">
        <v>1</v>
      </c>
      <c r="F4057" s="5">
        <v>1</v>
      </c>
      <c r="G4057" s="12">
        <f>SUM($D$7:D4057)</f>
        <v>10666341.531000054</v>
      </c>
      <c r="H4057" s="11">
        <f t="shared" si="63"/>
        <v>0.99996784258514582</v>
      </c>
    </row>
    <row r="4058" spans="1:8" ht="15" customHeight="1" x14ac:dyDescent="0.25">
      <c r="A4058" s="5">
        <v>4052</v>
      </c>
      <c r="B4058" s="10" t="s">
        <v>7817</v>
      </c>
      <c r="C4058" s="10" t="s">
        <v>7818</v>
      </c>
      <c r="D4058" s="7">
        <v>5.07</v>
      </c>
      <c r="E4058" s="5">
        <v>3</v>
      </c>
      <c r="F4058" s="5">
        <v>1</v>
      </c>
      <c r="G4058" s="12">
        <f>SUM($D$7:D4058)</f>
        <v>10666346.601000054</v>
      </c>
      <c r="H4058" s="11">
        <f t="shared" si="63"/>
        <v>0.99996831789684926</v>
      </c>
    </row>
    <row r="4059" spans="1:8" ht="15" customHeight="1" x14ac:dyDescent="0.25">
      <c r="A4059" s="5">
        <v>4053</v>
      </c>
      <c r="B4059" s="10" t="s">
        <v>7819</v>
      </c>
      <c r="C4059" s="10" t="s">
        <v>7820</v>
      </c>
      <c r="D4059" s="7">
        <v>5.0199999999999996</v>
      </c>
      <c r="E4059" s="5">
        <v>10</v>
      </c>
      <c r="F4059" s="5">
        <v>4</v>
      </c>
      <c r="G4059" s="12">
        <f>SUM($D$7:D4059)</f>
        <v>10666351.621000053</v>
      </c>
      <c r="H4059" s="11">
        <f t="shared" si="63"/>
        <v>0.99996878852106041</v>
      </c>
    </row>
    <row r="4060" spans="1:8" ht="15" customHeight="1" x14ac:dyDescent="0.25">
      <c r="A4060" s="5">
        <v>4054</v>
      </c>
      <c r="B4060" s="10" t="s">
        <v>7821</v>
      </c>
      <c r="C4060" s="10" t="s">
        <v>7822</v>
      </c>
      <c r="D4060" s="7">
        <v>4.9800000000000004</v>
      </c>
      <c r="E4060" s="5">
        <v>1</v>
      </c>
      <c r="F4060" s="5">
        <v>1</v>
      </c>
      <c r="G4060" s="12">
        <f>SUM($D$7:D4060)</f>
        <v>10666356.601000054</v>
      </c>
      <c r="H4060" s="11">
        <f t="shared" si="63"/>
        <v>0.99996925539527792</v>
      </c>
    </row>
    <row r="4061" spans="1:8" ht="15" customHeight="1" x14ac:dyDescent="0.25">
      <c r="A4061" s="5">
        <v>4055</v>
      </c>
      <c r="B4061" s="10" t="s">
        <v>7823</v>
      </c>
      <c r="C4061" s="10" t="s">
        <v>7824</v>
      </c>
      <c r="D4061" s="7">
        <v>4.9800000000000004</v>
      </c>
      <c r="E4061" s="5">
        <v>2</v>
      </c>
      <c r="F4061" s="5">
        <v>2</v>
      </c>
      <c r="G4061" s="12">
        <f>SUM($D$7:D4061)</f>
        <v>10666361.581000054</v>
      </c>
      <c r="H4061" s="11">
        <f t="shared" si="63"/>
        <v>0.99996972226949554</v>
      </c>
    </row>
    <row r="4062" spans="1:8" ht="15" customHeight="1" x14ac:dyDescent="0.25">
      <c r="A4062" s="5">
        <v>4056</v>
      </c>
      <c r="B4062" s="10" t="s">
        <v>7825</v>
      </c>
      <c r="C4062" s="10" t="s">
        <v>3439</v>
      </c>
      <c r="D4062" s="7">
        <v>4.9800000000000004</v>
      </c>
      <c r="E4062" s="5">
        <v>6</v>
      </c>
      <c r="F4062" s="5">
        <v>1</v>
      </c>
      <c r="G4062" s="12">
        <f>SUM($D$7:D4062)</f>
        <v>10666366.561000055</v>
      </c>
      <c r="H4062" s="11">
        <f t="shared" si="63"/>
        <v>0.99997018914371305</v>
      </c>
    </row>
    <row r="4063" spans="1:8" ht="15" customHeight="1" x14ac:dyDescent="0.25">
      <c r="A4063" s="5">
        <v>4057</v>
      </c>
      <c r="B4063" s="10" t="s">
        <v>7826</v>
      </c>
      <c r="C4063" s="10" t="s">
        <v>7827</v>
      </c>
      <c r="D4063" s="7">
        <v>4.97</v>
      </c>
      <c r="E4063" s="5">
        <v>2</v>
      </c>
      <c r="F4063" s="5">
        <v>2</v>
      </c>
      <c r="G4063" s="12">
        <f>SUM($D$7:D4063)</f>
        <v>10666371.531000055</v>
      </c>
      <c r="H4063" s="11">
        <f t="shared" si="63"/>
        <v>0.99997065508043226</v>
      </c>
    </row>
    <row r="4064" spans="1:8" ht="15" customHeight="1" x14ac:dyDescent="0.25">
      <c r="A4064" s="5">
        <v>4058</v>
      </c>
      <c r="B4064" s="10" t="s">
        <v>7828</v>
      </c>
      <c r="C4064" s="10" t="s">
        <v>7829</v>
      </c>
      <c r="D4064" s="7">
        <v>4.97</v>
      </c>
      <c r="E4064" s="5">
        <v>2</v>
      </c>
      <c r="F4064" s="5">
        <v>2</v>
      </c>
      <c r="G4064" s="12">
        <f>SUM($D$7:D4064)</f>
        <v>10666376.501000056</v>
      </c>
      <c r="H4064" s="11">
        <f t="shared" si="63"/>
        <v>0.99997112101715135</v>
      </c>
    </row>
    <row r="4065" spans="1:8" ht="15" customHeight="1" x14ac:dyDescent="0.25">
      <c r="A4065" s="5">
        <v>4059</v>
      </c>
      <c r="B4065" s="10" t="s">
        <v>7830</v>
      </c>
      <c r="C4065" s="10" t="s">
        <v>5747</v>
      </c>
      <c r="D4065" s="7">
        <v>4.96</v>
      </c>
      <c r="E4065" s="5">
        <v>1</v>
      </c>
      <c r="F4065" s="5">
        <v>1</v>
      </c>
      <c r="G4065" s="12">
        <f>SUM($D$7:D4065)</f>
        <v>10666381.461000057</v>
      </c>
      <c r="H4065" s="11">
        <f t="shared" si="63"/>
        <v>0.99997158601637215</v>
      </c>
    </row>
    <row r="4066" spans="1:8" ht="15" customHeight="1" x14ac:dyDescent="0.25">
      <c r="A4066" s="5">
        <v>4060</v>
      </c>
      <c r="B4066" s="10" t="s">
        <v>7831</v>
      </c>
      <c r="C4066" s="10" t="s">
        <v>5147</v>
      </c>
      <c r="D4066" s="7">
        <v>4.96</v>
      </c>
      <c r="E4066" s="5">
        <v>1</v>
      </c>
      <c r="F4066" s="5">
        <v>1</v>
      </c>
      <c r="G4066" s="12">
        <f>SUM($D$7:D4066)</f>
        <v>10666386.421000058</v>
      </c>
      <c r="H4066" s="11">
        <f t="shared" si="63"/>
        <v>0.99997205101559283</v>
      </c>
    </row>
    <row r="4067" spans="1:8" ht="15" customHeight="1" x14ac:dyDescent="0.25">
      <c r="A4067" s="5">
        <v>4061</v>
      </c>
      <c r="B4067" s="10" t="s">
        <v>7832</v>
      </c>
      <c r="C4067" s="10" t="s">
        <v>7833</v>
      </c>
      <c r="D4067" s="7">
        <v>4.95</v>
      </c>
      <c r="E4067" s="5">
        <v>1</v>
      </c>
      <c r="F4067" s="5">
        <v>1</v>
      </c>
      <c r="G4067" s="12">
        <f>SUM($D$7:D4067)</f>
        <v>10666391.371000057</v>
      </c>
      <c r="H4067" s="11">
        <f t="shared" si="63"/>
        <v>0.99997251507731499</v>
      </c>
    </row>
    <row r="4068" spans="1:8" ht="15" customHeight="1" x14ac:dyDescent="0.25">
      <c r="A4068" s="5">
        <v>4062</v>
      </c>
      <c r="B4068" s="10" t="s">
        <v>7834</v>
      </c>
      <c r="C4068" s="10" t="s">
        <v>7835</v>
      </c>
      <c r="D4068" s="7">
        <v>4.95</v>
      </c>
      <c r="E4068" s="5">
        <v>1</v>
      </c>
      <c r="F4068" s="5">
        <v>1</v>
      </c>
      <c r="G4068" s="12">
        <f>SUM($D$7:D4068)</f>
        <v>10666396.321000056</v>
      </c>
      <c r="H4068" s="11">
        <f t="shared" si="63"/>
        <v>0.99997297913903715</v>
      </c>
    </row>
    <row r="4069" spans="1:8" ht="15" customHeight="1" x14ac:dyDescent="0.25">
      <c r="A4069" s="5">
        <v>4063</v>
      </c>
      <c r="B4069" s="10" t="s">
        <v>7836</v>
      </c>
      <c r="C4069" s="10" t="s">
        <v>7837</v>
      </c>
      <c r="D4069" s="7">
        <v>4.95</v>
      </c>
      <c r="E4069" s="5">
        <v>1</v>
      </c>
      <c r="F4069" s="5">
        <v>1</v>
      </c>
      <c r="G4069" s="12">
        <f>SUM($D$7:D4069)</f>
        <v>10666401.271000056</v>
      </c>
      <c r="H4069" s="11">
        <f t="shared" si="63"/>
        <v>0.99997344320075932</v>
      </c>
    </row>
    <row r="4070" spans="1:8" ht="15" customHeight="1" x14ac:dyDescent="0.25">
      <c r="A4070" s="5">
        <v>4064</v>
      </c>
      <c r="B4070" s="10" t="s">
        <v>7838</v>
      </c>
      <c r="C4070" s="10" t="s">
        <v>3954</v>
      </c>
      <c r="D4070" s="7">
        <v>4.92</v>
      </c>
      <c r="E4070" s="5">
        <v>2</v>
      </c>
      <c r="F4070" s="5">
        <v>2</v>
      </c>
      <c r="G4070" s="12">
        <f>SUM($D$7:D4070)</f>
        <v>10666406.191000056</v>
      </c>
      <c r="H4070" s="11">
        <f t="shared" si="63"/>
        <v>0.99997390444998635</v>
      </c>
    </row>
    <row r="4071" spans="1:8" ht="15" customHeight="1" x14ac:dyDescent="0.25">
      <c r="A4071" s="5">
        <v>4065</v>
      </c>
      <c r="B4071" s="10" t="s">
        <v>7839</v>
      </c>
      <c r="C4071" s="10" t="s">
        <v>7840</v>
      </c>
      <c r="D4071" s="7">
        <v>4.92</v>
      </c>
      <c r="E4071" s="5">
        <v>2</v>
      </c>
      <c r="F4071" s="5">
        <v>1</v>
      </c>
      <c r="G4071" s="12">
        <f>SUM($D$7:D4071)</f>
        <v>10666411.111000055</v>
      </c>
      <c r="H4071" s="11">
        <f t="shared" si="63"/>
        <v>0.99997436569921327</v>
      </c>
    </row>
    <row r="4072" spans="1:8" ht="15" customHeight="1" x14ac:dyDescent="0.25">
      <c r="A4072" s="5">
        <v>4066</v>
      </c>
      <c r="B4072" s="10" t="s">
        <v>7841</v>
      </c>
      <c r="C4072" s="10" t="s">
        <v>6535</v>
      </c>
      <c r="D4072" s="7">
        <v>4.92</v>
      </c>
      <c r="E4072" s="5">
        <v>2</v>
      </c>
      <c r="F4072" s="5">
        <v>2</v>
      </c>
      <c r="G4072" s="12">
        <f>SUM($D$7:D4072)</f>
        <v>10666416.031000055</v>
      </c>
      <c r="H4072" s="11">
        <f t="shared" si="63"/>
        <v>0.9999748269484402</v>
      </c>
    </row>
    <row r="4073" spans="1:8" ht="15" customHeight="1" x14ac:dyDescent="0.25">
      <c r="A4073" s="5">
        <v>4067</v>
      </c>
      <c r="B4073" s="10" t="s">
        <v>7842</v>
      </c>
      <c r="C4073" s="10" t="s">
        <v>3753</v>
      </c>
      <c r="D4073" s="7">
        <v>4.92</v>
      </c>
      <c r="E4073" s="5">
        <v>3</v>
      </c>
      <c r="F4073" s="5">
        <v>3</v>
      </c>
      <c r="G4073" s="12">
        <f>SUM($D$7:D4073)</f>
        <v>10666420.951000055</v>
      </c>
      <c r="H4073" s="11">
        <f t="shared" si="63"/>
        <v>0.99997528819766712</v>
      </c>
    </row>
    <row r="4074" spans="1:8" ht="15" customHeight="1" x14ac:dyDescent="0.25">
      <c r="A4074" s="5">
        <v>4068</v>
      </c>
      <c r="B4074" s="10" t="s">
        <v>7843</v>
      </c>
      <c r="C4074" s="10" t="s">
        <v>7844</v>
      </c>
      <c r="D4074" s="7">
        <v>4.92</v>
      </c>
      <c r="E4074" s="5">
        <v>2</v>
      </c>
      <c r="F4074" s="5">
        <v>1</v>
      </c>
      <c r="G4074" s="12">
        <f>SUM($D$7:D4074)</f>
        <v>10666425.871000055</v>
      </c>
      <c r="H4074" s="11">
        <f t="shared" si="63"/>
        <v>0.99997574944689405</v>
      </c>
    </row>
    <row r="4075" spans="1:8" ht="15" customHeight="1" x14ac:dyDescent="0.25">
      <c r="A4075" s="5">
        <v>4069</v>
      </c>
      <c r="B4075" s="10" t="s">
        <v>7845</v>
      </c>
      <c r="C4075" s="10" t="s">
        <v>7846</v>
      </c>
      <c r="D4075" s="7">
        <v>4.6500000000000004</v>
      </c>
      <c r="E4075" s="5">
        <v>1</v>
      </c>
      <c r="F4075" s="5">
        <v>1</v>
      </c>
      <c r="G4075" s="12">
        <f>SUM($D$7:D4075)</f>
        <v>10666430.521000056</v>
      </c>
      <c r="H4075" s="11">
        <f t="shared" si="63"/>
        <v>0.99997618538366351</v>
      </c>
    </row>
    <row r="4076" spans="1:8" ht="15" customHeight="1" x14ac:dyDescent="0.25">
      <c r="A4076" s="5">
        <v>4070</v>
      </c>
      <c r="B4076" s="10" t="s">
        <v>7847</v>
      </c>
      <c r="C4076" s="10" t="s">
        <v>7848</v>
      </c>
      <c r="D4076" s="7">
        <v>4.6399999999999997</v>
      </c>
      <c r="E4076" s="5">
        <v>16</v>
      </c>
      <c r="F4076" s="5">
        <v>3</v>
      </c>
      <c r="G4076" s="12">
        <f>SUM($D$7:D4076)</f>
        <v>10666435.161000056</v>
      </c>
      <c r="H4076" s="11">
        <f t="shared" si="63"/>
        <v>0.99997662038293444</v>
      </c>
    </row>
    <row r="4077" spans="1:8" ht="15" customHeight="1" x14ac:dyDescent="0.25">
      <c r="A4077" s="5">
        <v>4071</v>
      </c>
      <c r="B4077" s="10" t="s">
        <v>7849</v>
      </c>
      <c r="C4077" s="10" t="s">
        <v>7850</v>
      </c>
      <c r="D4077" s="7">
        <v>4.62</v>
      </c>
      <c r="E4077" s="5">
        <v>11</v>
      </c>
      <c r="F4077" s="5">
        <v>2</v>
      </c>
      <c r="G4077" s="12">
        <f>SUM($D$7:D4077)</f>
        <v>10666439.781000055</v>
      </c>
      <c r="H4077" s="11">
        <f t="shared" si="63"/>
        <v>0.99997705350720845</v>
      </c>
    </row>
    <row r="4078" spans="1:8" ht="15" customHeight="1" x14ac:dyDescent="0.25">
      <c r="A4078" s="5">
        <v>4072</v>
      </c>
      <c r="B4078" s="10" t="s">
        <v>7851</v>
      </c>
      <c r="C4078" s="10" t="s">
        <v>7852</v>
      </c>
      <c r="D4078" s="7">
        <v>4.62</v>
      </c>
      <c r="E4078" s="5">
        <v>11</v>
      </c>
      <c r="F4078" s="5">
        <v>2</v>
      </c>
      <c r="G4078" s="12">
        <f>SUM($D$7:D4078)</f>
        <v>10666444.401000055</v>
      </c>
      <c r="H4078" s="11">
        <f t="shared" si="63"/>
        <v>0.99997748663148245</v>
      </c>
    </row>
    <row r="4079" spans="1:8" ht="15" customHeight="1" x14ac:dyDescent="0.25">
      <c r="A4079" s="5">
        <v>4073</v>
      </c>
      <c r="B4079" s="10" t="s">
        <v>7853</v>
      </c>
      <c r="C4079" s="10" t="s">
        <v>7854</v>
      </c>
      <c r="D4079" s="7">
        <v>4.5599999999999996</v>
      </c>
      <c r="E4079" s="5">
        <v>24</v>
      </c>
      <c r="F4079" s="5">
        <v>3</v>
      </c>
      <c r="G4079" s="12">
        <f>SUM($D$7:D4079)</f>
        <v>10666448.961000055</v>
      </c>
      <c r="H4079" s="11">
        <f t="shared" si="63"/>
        <v>0.99997791413076609</v>
      </c>
    </row>
    <row r="4080" spans="1:8" ht="15" customHeight="1" x14ac:dyDescent="0.25">
      <c r="A4080" s="5">
        <v>4074</v>
      </c>
      <c r="B4080" s="10" t="s">
        <v>7460</v>
      </c>
      <c r="C4080" s="10" t="s">
        <v>7855</v>
      </c>
      <c r="D4080" s="7">
        <v>4.5599999999999996</v>
      </c>
      <c r="E4080" s="5">
        <v>12</v>
      </c>
      <c r="F4080" s="5">
        <v>1</v>
      </c>
      <c r="G4080" s="12">
        <f>SUM($D$7:D4080)</f>
        <v>10666453.521000056</v>
      </c>
      <c r="H4080" s="11">
        <f t="shared" si="63"/>
        <v>0.99997834163004962</v>
      </c>
    </row>
    <row r="4081" spans="1:8" ht="15" customHeight="1" x14ac:dyDescent="0.25">
      <c r="A4081" s="5">
        <v>4075</v>
      </c>
      <c r="B4081" s="10" t="s">
        <v>7856</v>
      </c>
      <c r="C4081" s="10" t="s">
        <v>7857</v>
      </c>
      <c r="D4081" s="7">
        <v>4.29</v>
      </c>
      <c r="E4081" s="5">
        <v>11</v>
      </c>
      <c r="F4081" s="5">
        <v>2</v>
      </c>
      <c r="G4081" s="12">
        <f>SUM($D$7:D4081)</f>
        <v>10666457.811000055</v>
      </c>
      <c r="H4081" s="11">
        <f t="shared" si="63"/>
        <v>0.99997874381687546</v>
      </c>
    </row>
    <row r="4082" spans="1:8" ht="15" customHeight="1" x14ac:dyDescent="0.25">
      <c r="A4082" s="5">
        <v>4076</v>
      </c>
      <c r="B4082" s="10" t="s">
        <v>7858</v>
      </c>
      <c r="C4082" s="10" t="s">
        <v>7859</v>
      </c>
      <c r="D4082" s="7">
        <v>4.25</v>
      </c>
      <c r="E4082" s="5">
        <v>5</v>
      </c>
      <c r="F4082" s="5">
        <v>3</v>
      </c>
      <c r="G4082" s="12">
        <f>SUM($D$7:D4082)</f>
        <v>10666462.061000055</v>
      </c>
      <c r="H4082" s="11">
        <f t="shared" si="63"/>
        <v>0.99997914225370765</v>
      </c>
    </row>
    <row r="4083" spans="1:8" ht="15" customHeight="1" x14ac:dyDescent="0.25">
      <c r="A4083" s="5">
        <v>4077</v>
      </c>
      <c r="B4083" s="10" t="s">
        <v>7847</v>
      </c>
      <c r="C4083" s="10" t="s">
        <v>7860</v>
      </c>
      <c r="D4083" s="7">
        <v>4.25</v>
      </c>
      <c r="E4083" s="5">
        <v>5</v>
      </c>
      <c r="F4083" s="5">
        <v>3</v>
      </c>
      <c r="G4083" s="12">
        <f>SUM($D$7:D4083)</f>
        <v>10666466.311000055</v>
      </c>
      <c r="H4083" s="11">
        <f t="shared" si="63"/>
        <v>0.99997954069053985</v>
      </c>
    </row>
    <row r="4084" spans="1:8" ht="15" customHeight="1" x14ac:dyDescent="0.25">
      <c r="A4084" s="5">
        <v>4078</v>
      </c>
      <c r="B4084" s="10" t="s">
        <v>2279</v>
      </c>
      <c r="C4084" s="10" t="s">
        <v>7861</v>
      </c>
      <c r="D4084" s="7">
        <v>4.25</v>
      </c>
      <c r="E4084" s="5">
        <v>1</v>
      </c>
      <c r="F4084" s="5">
        <v>1</v>
      </c>
      <c r="G4084" s="12">
        <f>SUM($D$7:D4084)</f>
        <v>10666470.561000055</v>
      </c>
      <c r="H4084" s="11">
        <f t="shared" si="63"/>
        <v>0.99997993912737215</v>
      </c>
    </row>
    <row r="4085" spans="1:8" ht="15" customHeight="1" x14ac:dyDescent="0.25">
      <c r="A4085" s="5">
        <v>4079</v>
      </c>
      <c r="B4085" s="10" t="s">
        <v>7862</v>
      </c>
      <c r="C4085" s="10" t="s">
        <v>7863</v>
      </c>
      <c r="D4085" s="7">
        <v>4.25</v>
      </c>
      <c r="E4085" s="5">
        <v>1</v>
      </c>
      <c r="F4085" s="5">
        <v>1</v>
      </c>
      <c r="G4085" s="12">
        <f>SUM($D$7:D4085)</f>
        <v>10666474.811000055</v>
      </c>
      <c r="H4085" s="11">
        <f t="shared" si="63"/>
        <v>0.99998033756420435</v>
      </c>
    </row>
    <row r="4086" spans="1:8" ht="15" customHeight="1" x14ac:dyDescent="0.25">
      <c r="A4086" s="5">
        <v>4080</v>
      </c>
      <c r="B4086" s="10" t="s">
        <v>7864</v>
      </c>
      <c r="C4086" s="10" t="s">
        <v>7865</v>
      </c>
      <c r="D4086" s="7">
        <v>4.25</v>
      </c>
      <c r="E4086" s="5">
        <v>1</v>
      </c>
      <c r="F4086" s="5">
        <v>1</v>
      </c>
      <c r="G4086" s="12">
        <f>SUM($D$7:D4086)</f>
        <v>10666479.061000055</v>
      </c>
      <c r="H4086" s="11">
        <f t="shared" si="63"/>
        <v>0.99998073600103654</v>
      </c>
    </row>
    <row r="4087" spans="1:8" ht="15" customHeight="1" x14ac:dyDescent="0.25">
      <c r="A4087" s="5">
        <v>4081</v>
      </c>
      <c r="B4087" s="10" t="s">
        <v>7866</v>
      </c>
      <c r="C4087" s="10" t="s">
        <v>7867</v>
      </c>
      <c r="D4087" s="7">
        <v>4.2</v>
      </c>
      <c r="E4087" s="5">
        <v>2</v>
      </c>
      <c r="F4087" s="5">
        <v>1</v>
      </c>
      <c r="G4087" s="12">
        <f>SUM($D$7:D4087)</f>
        <v>10666483.261000054</v>
      </c>
      <c r="H4087" s="11">
        <f t="shared" si="63"/>
        <v>0.99998112975037656</v>
      </c>
    </row>
    <row r="4088" spans="1:8" ht="15" customHeight="1" x14ac:dyDescent="0.25">
      <c r="A4088" s="5">
        <v>4082</v>
      </c>
      <c r="B4088" s="10" t="s">
        <v>7868</v>
      </c>
      <c r="C4088" s="10" t="s">
        <v>7869</v>
      </c>
      <c r="D4088" s="7">
        <v>4.2</v>
      </c>
      <c r="E4088" s="5">
        <v>2</v>
      </c>
      <c r="F4088" s="5">
        <v>2</v>
      </c>
      <c r="G4088" s="12">
        <f>SUM($D$7:D4088)</f>
        <v>10666487.461000053</v>
      </c>
      <c r="H4088" s="11">
        <f t="shared" si="63"/>
        <v>0.99998152349971658</v>
      </c>
    </row>
    <row r="4089" spans="1:8" ht="15" customHeight="1" x14ac:dyDescent="0.25">
      <c r="A4089" s="5">
        <v>4083</v>
      </c>
      <c r="B4089" s="10" t="s">
        <v>7870</v>
      </c>
      <c r="C4089" s="10" t="s">
        <v>7871</v>
      </c>
      <c r="D4089" s="7">
        <v>4.17</v>
      </c>
      <c r="E4089" s="5">
        <v>5</v>
      </c>
      <c r="F4089" s="5">
        <v>5</v>
      </c>
      <c r="G4089" s="12">
        <f>SUM($D$7:D4089)</f>
        <v>10666491.631000053</v>
      </c>
      <c r="H4089" s="11">
        <f t="shared" si="63"/>
        <v>0.99998191443656137</v>
      </c>
    </row>
    <row r="4090" spans="1:8" ht="15" customHeight="1" x14ac:dyDescent="0.25">
      <c r="A4090" s="5">
        <v>4084</v>
      </c>
      <c r="B4090" s="10" t="s">
        <v>2536</v>
      </c>
      <c r="C4090" s="10" t="s">
        <v>7872</v>
      </c>
      <c r="D4090" s="7">
        <v>4.1500000000000004</v>
      </c>
      <c r="E4090" s="5">
        <v>1</v>
      </c>
      <c r="F4090" s="5">
        <v>1</v>
      </c>
      <c r="G4090" s="12">
        <f>SUM($D$7:D4090)</f>
        <v>10666495.781000054</v>
      </c>
      <c r="H4090" s="11">
        <f t="shared" si="63"/>
        <v>0.99998230349840933</v>
      </c>
    </row>
    <row r="4091" spans="1:8" ht="15" customHeight="1" x14ac:dyDescent="0.25">
      <c r="A4091" s="5">
        <v>4085</v>
      </c>
      <c r="B4091" s="10" t="s">
        <v>7873</v>
      </c>
      <c r="C4091" s="10" t="s">
        <v>4006</v>
      </c>
      <c r="D4091" s="7">
        <v>4.13</v>
      </c>
      <c r="E4091" s="5">
        <v>1</v>
      </c>
      <c r="F4091" s="5">
        <v>1</v>
      </c>
      <c r="G4091" s="12">
        <f>SUM($D$7:D4091)</f>
        <v>10666499.911000054</v>
      </c>
      <c r="H4091" s="11">
        <f t="shared" si="63"/>
        <v>0.99998269068526047</v>
      </c>
    </row>
    <row r="4092" spans="1:8" ht="15" customHeight="1" x14ac:dyDescent="0.25">
      <c r="A4092" s="5">
        <v>4086</v>
      </c>
      <c r="B4092" s="10" t="s">
        <v>7874</v>
      </c>
      <c r="C4092" s="10" t="s">
        <v>5002</v>
      </c>
      <c r="D4092" s="7">
        <v>4.13</v>
      </c>
      <c r="E4092" s="5">
        <v>1</v>
      </c>
      <c r="F4092" s="5">
        <v>1</v>
      </c>
      <c r="G4092" s="12">
        <f>SUM($D$7:D4092)</f>
        <v>10666504.041000055</v>
      </c>
      <c r="H4092" s="11">
        <f t="shared" si="63"/>
        <v>0.9999830778721116</v>
      </c>
    </row>
    <row r="4093" spans="1:8" ht="15" customHeight="1" x14ac:dyDescent="0.25">
      <c r="A4093" s="5">
        <v>4087</v>
      </c>
      <c r="B4093" s="10" t="s">
        <v>7875</v>
      </c>
      <c r="C4093" s="10" t="s">
        <v>5194</v>
      </c>
      <c r="D4093" s="7">
        <v>4.13</v>
      </c>
      <c r="E4093" s="5">
        <v>1</v>
      </c>
      <c r="F4093" s="5">
        <v>1</v>
      </c>
      <c r="G4093" s="12">
        <f>SUM($D$7:D4093)</f>
        <v>10666508.171000056</v>
      </c>
      <c r="H4093" s="11">
        <f t="shared" si="63"/>
        <v>0.99998346505896274</v>
      </c>
    </row>
    <row r="4094" spans="1:8" ht="15" customHeight="1" x14ac:dyDescent="0.25">
      <c r="A4094" s="5">
        <v>4088</v>
      </c>
      <c r="B4094" s="10" t="s">
        <v>7876</v>
      </c>
      <c r="C4094" s="10" t="s">
        <v>3549</v>
      </c>
      <c r="D4094" s="7">
        <v>4.05</v>
      </c>
      <c r="E4094" s="5">
        <v>5</v>
      </c>
      <c r="F4094" s="5">
        <v>1</v>
      </c>
      <c r="G4094" s="12">
        <f>SUM($D$7:D4094)</f>
        <v>10666512.221000057</v>
      </c>
      <c r="H4094" s="11">
        <f t="shared" si="63"/>
        <v>0.99998384474582647</v>
      </c>
    </row>
    <row r="4095" spans="1:8" ht="15" customHeight="1" x14ac:dyDescent="0.25">
      <c r="A4095" s="5">
        <v>4089</v>
      </c>
      <c r="B4095" s="10" t="s">
        <v>7877</v>
      </c>
      <c r="C4095" s="10" t="s">
        <v>7878</v>
      </c>
      <c r="D4095" s="7">
        <v>3.78</v>
      </c>
      <c r="E4095" s="5">
        <v>9</v>
      </c>
      <c r="F4095" s="5">
        <v>3</v>
      </c>
      <c r="G4095" s="12">
        <f>SUM($D$7:D4095)</f>
        <v>10666516.001000056</v>
      </c>
      <c r="H4095" s="11">
        <f t="shared" si="63"/>
        <v>0.99998419912023251</v>
      </c>
    </row>
    <row r="4096" spans="1:8" ht="15" customHeight="1" x14ac:dyDescent="0.25">
      <c r="A4096" s="5">
        <v>4090</v>
      </c>
      <c r="B4096" s="10" t="s">
        <v>7879</v>
      </c>
      <c r="C4096" s="10" t="s">
        <v>7880</v>
      </c>
      <c r="D4096" s="7">
        <v>3.78</v>
      </c>
      <c r="E4096" s="5">
        <v>9</v>
      </c>
      <c r="F4096" s="5">
        <v>3</v>
      </c>
      <c r="G4096" s="12">
        <f>SUM($D$7:D4096)</f>
        <v>10666519.781000055</v>
      </c>
      <c r="H4096" s="11">
        <f t="shared" si="63"/>
        <v>0.99998455349463844</v>
      </c>
    </row>
    <row r="4097" spans="1:8" ht="15" customHeight="1" x14ac:dyDescent="0.25">
      <c r="A4097" s="5">
        <v>4091</v>
      </c>
      <c r="B4097" s="10" t="s">
        <v>7881</v>
      </c>
      <c r="C4097" s="10" t="s">
        <v>7882</v>
      </c>
      <c r="D4097" s="7">
        <v>3.76</v>
      </c>
      <c r="E4097" s="5">
        <v>2</v>
      </c>
      <c r="F4097" s="5">
        <v>2</v>
      </c>
      <c r="G4097" s="12">
        <f>SUM($D$7:D4097)</f>
        <v>10666523.541000055</v>
      </c>
      <c r="H4097" s="11">
        <f t="shared" si="63"/>
        <v>0.99998490599404766</v>
      </c>
    </row>
    <row r="4098" spans="1:8" ht="15" customHeight="1" x14ac:dyDescent="0.25">
      <c r="A4098" s="5">
        <v>4092</v>
      </c>
      <c r="B4098" s="10" t="s">
        <v>7883</v>
      </c>
      <c r="C4098" s="10" t="s">
        <v>7884</v>
      </c>
      <c r="D4098" s="7">
        <v>3.75</v>
      </c>
      <c r="E4098" s="5">
        <v>3</v>
      </c>
      <c r="F4098" s="5">
        <v>2</v>
      </c>
      <c r="G4098" s="12">
        <f>SUM($D$7:D4098)</f>
        <v>10666527.291000055</v>
      </c>
      <c r="H4098" s="11">
        <f t="shared" si="63"/>
        <v>0.99998525755595846</v>
      </c>
    </row>
    <row r="4099" spans="1:8" ht="15" customHeight="1" x14ac:dyDescent="0.25">
      <c r="A4099" s="5">
        <v>4093</v>
      </c>
      <c r="B4099" s="10" t="s">
        <v>7885</v>
      </c>
      <c r="C4099" s="10" t="s">
        <v>5682</v>
      </c>
      <c r="D4099" s="7">
        <v>3.75</v>
      </c>
      <c r="E4099" s="5">
        <v>3</v>
      </c>
      <c r="F4099" s="5">
        <v>2</v>
      </c>
      <c r="G4099" s="12">
        <f>SUM($D$7:D4099)</f>
        <v>10666531.041000055</v>
      </c>
      <c r="H4099" s="11">
        <f t="shared" si="63"/>
        <v>0.99998560911786927</v>
      </c>
    </row>
    <row r="4100" spans="1:8" ht="15" customHeight="1" x14ac:dyDescent="0.25">
      <c r="A4100" s="5">
        <v>4094</v>
      </c>
      <c r="B4100" s="10" t="s">
        <v>7886</v>
      </c>
      <c r="C4100" s="10" t="s">
        <v>7887</v>
      </c>
      <c r="D4100" s="7">
        <v>3.73</v>
      </c>
      <c r="E4100" s="5">
        <v>1</v>
      </c>
      <c r="F4100" s="5">
        <v>1</v>
      </c>
      <c r="G4100" s="12">
        <f>SUM($D$7:D4100)</f>
        <v>10666534.771000056</v>
      </c>
      <c r="H4100" s="11">
        <f t="shared" si="63"/>
        <v>0.99998595880478325</v>
      </c>
    </row>
    <row r="4101" spans="1:8" ht="15" customHeight="1" x14ac:dyDescent="0.25">
      <c r="A4101" s="5">
        <v>4095</v>
      </c>
      <c r="B4101" s="10" t="s">
        <v>7888</v>
      </c>
      <c r="C4101" s="10" t="s">
        <v>7889</v>
      </c>
      <c r="D4101" s="7">
        <v>3.73</v>
      </c>
      <c r="E4101" s="5">
        <v>1</v>
      </c>
      <c r="F4101" s="5">
        <v>1</v>
      </c>
      <c r="G4101" s="12">
        <f>SUM($D$7:D4101)</f>
        <v>10666538.501000056</v>
      </c>
      <c r="H4101" s="11">
        <f t="shared" si="63"/>
        <v>0.99998630849169723</v>
      </c>
    </row>
    <row r="4102" spans="1:8" ht="15" customHeight="1" x14ac:dyDescent="0.25">
      <c r="A4102" s="5">
        <v>4096</v>
      </c>
      <c r="B4102" s="10" t="s">
        <v>7890</v>
      </c>
      <c r="C4102" s="10" t="s">
        <v>7891</v>
      </c>
      <c r="D4102" s="7">
        <v>3.61</v>
      </c>
      <c r="E4102" s="5">
        <v>19</v>
      </c>
      <c r="F4102" s="5">
        <v>2</v>
      </c>
      <c r="G4102" s="12">
        <f>SUM($D$7:D4102)</f>
        <v>10666542.111000055</v>
      </c>
      <c r="H4102" s="11">
        <f t="shared" si="63"/>
        <v>0.99998664692862993</v>
      </c>
    </row>
    <row r="4103" spans="1:8" ht="15" customHeight="1" x14ac:dyDescent="0.25">
      <c r="A4103" s="5">
        <v>4097</v>
      </c>
      <c r="B4103" s="10" t="s">
        <v>7892</v>
      </c>
      <c r="C4103" s="10" t="s">
        <v>7893</v>
      </c>
      <c r="D4103" s="7">
        <v>3.6</v>
      </c>
      <c r="E4103" s="5">
        <v>30</v>
      </c>
      <c r="F4103" s="5">
        <v>3</v>
      </c>
      <c r="G4103" s="12">
        <f>SUM($D$7:D4103)</f>
        <v>10666545.711000055</v>
      </c>
      <c r="H4103" s="11">
        <f t="shared" ref="H4103:H4166" si="64">G4103/SUM($D$7:$D$4167)</f>
        <v>0.99998698442806422</v>
      </c>
    </row>
    <row r="4104" spans="1:8" ht="15" customHeight="1" x14ac:dyDescent="0.25">
      <c r="A4104" s="5">
        <v>4098</v>
      </c>
      <c r="B4104" s="10" t="s">
        <v>7894</v>
      </c>
      <c r="C4104" s="10" t="s">
        <v>7895</v>
      </c>
      <c r="D4104" s="7">
        <v>3.57</v>
      </c>
      <c r="E4104" s="5">
        <v>17</v>
      </c>
      <c r="F4104" s="5">
        <v>4</v>
      </c>
      <c r="G4104" s="12">
        <f>SUM($D$7:D4104)</f>
        <v>10666549.281000055</v>
      </c>
      <c r="H4104" s="11">
        <f t="shared" si="64"/>
        <v>0.99998731911500327</v>
      </c>
    </row>
    <row r="4105" spans="1:8" ht="15" customHeight="1" x14ac:dyDescent="0.25">
      <c r="A4105" s="5">
        <v>4099</v>
      </c>
      <c r="B4105" s="10" t="s">
        <v>7896</v>
      </c>
      <c r="C4105" s="10" t="s">
        <v>7897</v>
      </c>
      <c r="D4105" s="7">
        <v>3.5</v>
      </c>
      <c r="E4105" s="5">
        <v>7</v>
      </c>
      <c r="F4105" s="5">
        <v>2</v>
      </c>
      <c r="G4105" s="12">
        <f>SUM($D$7:D4105)</f>
        <v>10666552.781000055</v>
      </c>
      <c r="H4105" s="11">
        <f t="shared" si="64"/>
        <v>0.99998764723945333</v>
      </c>
    </row>
    <row r="4106" spans="1:8" ht="15" customHeight="1" x14ac:dyDescent="0.25">
      <c r="A4106" s="5">
        <v>4100</v>
      </c>
      <c r="B4106" s="10" t="s">
        <v>7898</v>
      </c>
      <c r="C4106" s="10" t="s">
        <v>7899</v>
      </c>
      <c r="D4106" s="7">
        <v>3.48</v>
      </c>
      <c r="E4106" s="5">
        <v>12</v>
      </c>
      <c r="F4106" s="5">
        <v>1</v>
      </c>
      <c r="G4106" s="12">
        <f>SUM($D$7:D4106)</f>
        <v>10666556.261000056</v>
      </c>
      <c r="H4106" s="11">
        <f t="shared" si="64"/>
        <v>0.99998797348890667</v>
      </c>
    </row>
    <row r="4107" spans="1:8" ht="15" customHeight="1" x14ac:dyDescent="0.25">
      <c r="A4107" s="5">
        <v>4101</v>
      </c>
      <c r="B4107" s="10" t="s">
        <v>7900</v>
      </c>
      <c r="C4107" s="10" t="s">
        <v>7901</v>
      </c>
      <c r="D4107" s="7">
        <v>3.4</v>
      </c>
      <c r="E4107" s="5">
        <v>4</v>
      </c>
      <c r="F4107" s="5">
        <v>2</v>
      </c>
      <c r="G4107" s="12">
        <f>SUM($D$7:D4107)</f>
        <v>10666559.661000056</v>
      </c>
      <c r="H4107" s="11">
        <f t="shared" si="64"/>
        <v>0.99998829223837249</v>
      </c>
    </row>
    <row r="4108" spans="1:8" ht="15" customHeight="1" x14ac:dyDescent="0.25">
      <c r="A4108" s="5">
        <v>4102</v>
      </c>
      <c r="B4108" s="10" t="s">
        <v>7902</v>
      </c>
      <c r="C4108" s="10" t="s">
        <v>7903</v>
      </c>
      <c r="D4108" s="7">
        <v>3.38</v>
      </c>
      <c r="E4108" s="5">
        <v>2</v>
      </c>
      <c r="F4108" s="5">
        <v>1</v>
      </c>
      <c r="G4108" s="12">
        <f>SUM($D$7:D4108)</f>
        <v>10666563.041000057</v>
      </c>
      <c r="H4108" s="11">
        <f t="shared" si="64"/>
        <v>0.99998860911284138</v>
      </c>
    </row>
    <row r="4109" spans="1:8" ht="15" customHeight="1" x14ac:dyDescent="0.25">
      <c r="A4109" s="5">
        <v>4103</v>
      </c>
      <c r="B4109" s="10" t="s">
        <v>7904</v>
      </c>
      <c r="C4109" s="10" t="s">
        <v>7905</v>
      </c>
      <c r="D4109" s="7">
        <v>3.36</v>
      </c>
      <c r="E4109" s="5">
        <v>1</v>
      </c>
      <c r="F4109" s="5">
        <v>1</v>
      </c>
      <c r="G4109" s="12">
        <f>SUM($D$7:D4109)</f>
        <v>10666566.401000056</v>
      </c>
      <c r="H4109" s="11">
        <f t="shared" si="64"/>
        <v>0.99998892411231344</v>
      </c>
    </row>
    <row r="4110" spans="1:8" ht="15" customHeight="1" x14ac:dyDescent="0.25">
      <c r="A4110" s="5">
        <v>4104</v>
      </c>
      <c r="B4110" s="10" t="s">
        <v>7906</v>
      </c>
      <c r="C4110" s="10" t="s">
        <v>7907</v>
      </c>
      <c r="D4110" s="7">
        <v>3.36</v>
      </c>
      <c r="E4110" s="5">
        <v>1</v>
      </c>
      <c r="F4110" s="5">
        <v>1</v>
      </c>
      <c r="G4110" s="12">
        <f>SUM($D$7:D4110)</f>
        <v>10666569.761000056</v>
      </c>
      <c r="H4110" s="11">
        <f t="shared" si="64"/>
        <v>0.99998923911178539</v>
      </c>
    </row>
    <row r="4111" spans="1:8" ht="15" customHeight="1" x14ac:dyDescent="0.25">
      <c r="A4111" s="5">
        <v>4105</v>
      </c>
      <c r="B4111" s="10" t="s">
        <v>7908</v>
      </c>
      <c r="C4111" s="10" t="s">
        <v>7909</v>
      </c>
      <c r="D4111" s="7">
        <v>3.36</v>
      </c>
      <c r="E4111" s="5">
        <v>1</v>
      </c>
      <c r="F4111" s="5">
        <v>1</v>
      </c>
      <c r="G4111" s="12">
        <f>SUM($D$7:D4111)</f>
        <v>10666573.121000055</v>
      </c>
      <c r="H4111" s="11">
        <f t="shared" si="64"/>
        <v>0.99998955411125745</v>
      </c>
    </row>
    <row r="4112" spans="1:8" ht="15" customHeight="1" x14ac:dyDescent="0.25">
      <c r="A4112" s="5">
        <v>4106</v>
      </c>
      <c r="B4112" s="10" t="s">
        <v>7910</v>
      </c>
      <c r="C4112" s="10" t="s">
        <v>7911</v>
      </c>
      <c r="D4112" s="7">
        <v>3.36</v>
      </c>
      <c r="E4112" s="5">
        <v>1</v>
      </c>
      <c r="F4112" s="5">
        <v>1</v>
      </c>
      <c r="G4112" s="12">
        <f>SUM($D$7:D4112)</f>
        <v>10666576.481000055</v>
      </c>
      <c r="H4112" s="11">
        <f t="shared" si="64"/>
        <v>0.9999898691107294</v>
      </c>
    </row>
    <row r="4113" spans="1:8" ht="15" customHeight="1" x14ac:dyDescent="0.25">
      <c r="A4113" s="5">
        <v>4107</v>
      </c>
      <c r="B4113" s="10" t="s">
        <v>7912</v>
      </c>
      <c r="C4113" s="10" t="s">
        <v>7913</v>
      </c>
      <c r="D4113" s="7">
        <v>3.33</v>
      </c>
      <c r="E4113" s="5">
        <v>1</v>
      </c>
      <c r="F4113" s="5">
        <v>1</v>
      </c>
      <c r="G4113" s="12">
        <f>SUM($D$7:D4113)</f>
        <v>10666579.811000055</v>
      </c>
      <c r="H4113" s="11">
        <f t="shared" si="64"/>
        <v>0.99999018129770623</v>
      </c>
    </row>
    <row r="4114" spans="1:8" ht="15" customHeight="1" x14ac:dyDescent="0.25">
      <c r="A4114" s="5">
        <v>4108</v>
      </c>
      <c r="B4114" s="10" t="s">
        <v>7914</v>
      </c>
      <c r="C4114" s="10" t="s">
        <v>6768</v>
      </c>
      <c r="D4114" s="7">
        <v>3.32</v>
      </c>
      <c r="E4114" s="5">
        <v>2</v>
      </c>
      <c r="F4114" s="5">
        <v>2</v>
      </c>
      <c r="G4114" s="12">
        <f>SUM($D$7:D4114)</f>
        <v>10666583.131000055</v>
      </c>
      <c r="H4114" s="11">
        <f t="shared" si="64"/>
        <v>0.99999049254718464</v>
      </c>
    </row>
    <row r="4115" spans="1:8" ht="15" customHeight="1" x14ac:dyDescent="0.25">
      <c r="A4115" s="5">
        <v>4109</v>
      </c>
      <c r="B4115" s="10" t="s">
        <v>7915</v>
      </c>
      <c r="C4115" s="10" t="s">
        <v>7916</v>
      </c>
      <c r="D4115" s="7">
        <v>3.32</v>
      </c>
      <c r="E4115" s="5">
        <v>1</v>
      </c>
      <c r="F4115" s="5">
        <v>1</v>
      </c>
      <c r="G4115" s="12">
        <f>SUM($D$7:D4115)</f>
        <v>10666586.451000055</v>
      </c>
      <c r="H4115" s="11">
        <f t="shared" si="64"/>
        <v>0.99999080379666294</v>
      </c>
    </row>
    <row r="4116" spans="1:8" ht="15" customHeight="1" x14ac:dyDescent="0.25">
      <c r="A4116" s="5">
        <v>4110</v>
      </c>
      <c r="B4116" s="10" t="s">
        <v>7917</v>
      </c>
      <c r="C4116" s="10" t="s">
        <v>7918</v>
      </c>
      <c r="D4116" s="7">
        <v>3.25</v>
      </c>
      <c r="E4116" s="5">
        <v>5</v>
      </c>
      <c r="F4116" s="5">
        <v>3</v>
      </c>
      <c r="G4116" s="12">
        <f>SUM($D$7:D4116)</f>
        <v>10666589.701000055</v>
      </c>
      <c r="H4116" s="11">
        <f t="shared" si="64"/>
        <v>0.99999110848365236</v>
      </c>
    </row>
    <row r="4117" spans="1:8" ht="15" customHeight="1" x14ac:dyDescent="0.25">
      <c r="A4117" s="5">
        <v>4111</v>
      </c>
      <c r="B4117" s="10" t="s">
        <v>7919</v>
      </c>
      <c r="C4117" s="10" t="s">
        <v>7920</v>
      </c>
      <c r="D4117" s="7">
        <v>3.04</v>
      </c>
      <c r="E4117" s="5">
        <v>14</v>
      </c>
      <c r="F4117" s="5">
        <v>4</v>
      </c>
      <c r="G4117" s="12">
        <f>SUM($D$7:D4117)</f>
        <v>10666592.741000054</v>
      </c>
      <c r="H4117" s="11">
        <f t="shared" si="64"/>
        <v>0.99999139348317456</v>
      </c>
    </row>
    <row r="4118" spans="1:8" ht="15" customHeight="1" x14ac:dyDescent="0.25">
      <c r="A4118" s="5">
        <v>4112</v>
      </c>
      <c r="B4118" s="10" t="s">
        <v>7921</v>
      </c>
      <c r="C4118" s="10" t="s">
        <v>7922</v>
      </c>
      <c r="D4118" s="7">
        <v>2.91</v>
      </c>
      <c r="E4118" s="5">
        <v>1</v>
      </c>
      <c r="F4118" s="5">
        <v>1</v>
      </c>
      <c r="G4118" s="12">
        <f>SUM($D$7:D4118)</f>
        <v>10666595.651000055</v>
      </c>
      <c r="H4118" s="11">
        <f t="shared" si="64"/>
        <v>0.99999166629521741</v>
      </c>
    </row>
    <row r="4119" spans="1:8" ht="15" customHeight="1" x14ac:dyDescent="0.25">
      <c r="A4119" s="5">
        <v>4113</v>
      </c>
      <c r="B4119" s="10" t="s">
        <v>7923</v>
      </c>
      <c r="C4119" s="10" t="s">
        <v>7924</v>
      </c>
      <c r="D4119" s="7">
        <v>2.91</v>
      </c>
      <c r="E4119" s="5">
        <v>1</v>
      </c>
      <c r="F4119" s="5">
        <v>1</v>
      </c>
      <c r="G4119" s="12">
        <f>SUM($D$7:D4119)</f>
        <v>10666598.561000055</v>
      </c>
      <c r="H4119" s="11">
        <f t="shared" si="64"/>
        <v>0.99999193910726014</v>
      </c>
    </row>
    <row r="4120" spans="1:8" ht="15" customHeight="1" x14ac:dyDescent="0.25">
      <c r="A4120" s="5">
        <v>4114</v>
      </c>
      <c r="B4120" s="10" t="s">
        <v>7925</v>
      </c>
      <c r="C4120" s="10" t="s">
        <v>7926</v>
      </c>
      <c r="D4120" s="7">
        <v>2.91</v>
      </c>
      <c r="E4120" s="5">
        <v>1</v>
      </c>
      <c r="F4120" s="5">
        <v>1</v>
      </c>
      <c r="G4120" s="12">
        <f>SUM($D$7:D4120)</f>
        <v>10666601.471000055</v>
      </c>
      <c r="H4120" s="11">
        <f t="shared" si="64"/>
        <v>0.99999221191930288</v>
      </c>
    </row>
    <row r="4121" spans="1:8" ht="15" customHeight="1" x14ac:dyDescent="0.25">
      <c r="A4121" s="5">
        <v>4115</v>
      </c>
      <c r="B4121" s="10" t="s">
        <v>7927</v>
      </c>
      <c r="C4121" s="10" t="s">
        <v>7197</v>
      </c>
      <c r="D4121" s="7">
        <v>2.9</v>
      </c>
      <c r="E4121" s="5">
        <v>1</v>
      </c>
      <c r="F4121" s="5">
        <v>1</v>
      </c>
      <c r="G4121" s="12">
        <f>SUM($D$7:D4121)</f>
        <v>10666604.371000055</v>
      </c>
      <c r="H4121" s="11">
        <f t="shared" si="64"/>
        <v>0.99999248379384731</v>
      </c>
    </row>
    <row r="4122" spans="1:8" ht="15" customHeight="1" x14ac:dyDescent="0.25">
      <c r="A4122" s="5">
        <v>4116</v>
      </c>
      <c r="B4122" s="10" t="s">
        <v>7928</v>
      </c>
      <c r="C4122" s="10" t="s">
        <v>7929</v>
      </c>
      <c r="D4122" s="7">
        <v>2.5499999999999998</v>
      </c>
      <c r="E4122" s="5">
        <v>1</v>
      </c>
      <c r="F4122" s="5">
        <v>1</v>
      </c>
      <c r="G4122" s="12">
        <f>SUM($D$7:D4122)</f>
        <v>10666606.921000056</v>
      </c>
      <c r="H4122" s="11">
        <f t="shared" si="64"/>
        <v>0.99999272285594665</v>
      </c>
    </row>
    <row r="4123" spans="1:8" ht="15" customHeight="1" x14ac:dyDescent="0.25">
      <c r="A4123" s="5">
        <v>4117</v>
      </c>
      <c r="B4123" s="10" t="s">
        <v>7930</v>
      </c>
      <c r="C4123" s="10" t="s">
        <v>77</v>
      </c>
      <c r="D4123" s="7">
        <v>2.5499999999999998</v>
      </c>
      <c r="E4123" s="5">
        <v>1</v>
      </c>
      <c r="F4123" s="5">
        <v>1</v>
      </c>
      <c r="G4123" s="12">
        <f>SUM($D$7:D4123)</f>
        <v>10666609.471000057</v>
      </c>
      <c r="H4123" s="11">
        <f t="shared" si="64"/>
        <v>0.9999929619180461</v>
      </c>
    </row>
    <row r="4124" spans="1:8" ht="15" customHeight="1" x14ac:dyDescent="0.25">
      <c r="A4124" s="5">
        <v>4118</v>
      </c>
      <c r="B4124" s="10" t="s">
        <v>7931</v>
      </c>
      <c r="C4124" s="10" t="s">
        <v>7932</v>
      </c>
      <c r="D4124" s="7">
        <v>2.52</v>
      </c>
      <c r="E4124" s="5">
        <v>6</v>
      </c>
      <c r="F4124" s="5">
        <v>1</v>
      </c>
      <c r="G4124" s="12">
        <f>SUM($D$7:D4124)</f>
        <v>10666611.991000056</v>
      </c>
      <c r="H4124" s="11">
        <f t="shared" si="64"/>
        <v>0.99999319816765009</v>
      </c>
    </row>
    <row r="4125" spans="1:8" ht="15" customHeight="1" x14ac:dyDescent="0.25">
      <c r="A4125" s="5">
        <v>4119</v>
      </c>
      <c r="B4125" s="10" t="s">
        <v>7933</v>
      </c>
      <c r="C4125" s="10" t="s">
        <v>7934</v>
      </c>
      <c r="D4125" s="7">
        <v>2.5099999999999998</v>
      </c>
      <c r="E4125" s="5">
        <v>1</v>
      </c>
      <c r="F4125" s="5">
        <v>1</v>
      </c>
      <c r="G4125" s="12">
        <f>SUM($D$7:D4125)</f>
        <v>10666614.501000056</v>
      </c>
      <c r="H4125" s="11">
        <f t="shared" si="64"/>
        <v>0.99999343347975567</v>
      </c>
    </row>
    <row r="4126" spans="1:8" ht="15" customHeight="1" x14ac:dyDescent="0.25">
      <c r="A4126" s="5">
        <v>4120</v>
      </c>
      <c r="B4126" s="10" t="s">
        <v>7935</v>
      </c>
      <c r="C4126" s="10" t="s">
        <v>7936</v>
      </c>
      <c r="D4126" s="7">
        <v>2.5</v>
      </c>
      <c r="E4126" s="5">
        <v>2</v>
      </c>
      <c r="F4126" s="5">
        <v>1</v>
      </c>
      <c r="G4126" s="12">
        <f>SUM($D$7:D4126)</f>
        <v>10666617.001000056</v>
      </c>
      <c r="H4126" s="11">
        <f t="shared" si="64"/>
        <v>0.99999366785436283</v>
      </c>
    </row>
    <row r="4127" spans="1:8" ht="15" customHeight="1" x14ac:dyDescent="0.25">
      <c r="A4127" s="5">
        <v>4121</v>
      </c>
      <c r="B4127" s="10" t="s">
        <v>7937</v>
      </c>
      <c r="C4127" s="10" t="s">
        <v>7938</v>
      </c>
      <c r="D4127" s="7">
        <v>2.48</v>
      </c>
      <c r="E4127" s="5">
        <v>1</v>
      </c>
      <c r="F4127" s="5">
        <v>1</v>
      </c>
      <c r="G4127" s="12">
        <f>SUM($D$7:D4127)</f>
        <v>10666619.481000056</v>
      </c>
      <c r="H4127" s="11">
        <f t="shared" si="64"/>
        <v>0.99999390035397329</v>
      </c>
    </row>
    <row r="4128" spans="1:8" ht="15" customHeight="1" x14ac:dyDescent="0.25">
      <c r="A4128" s="5">
        <v>4122</v>
      </c>
      <c r="B4128" s="10" t="s">
        <v>7939</v>
      </c>
      <c r="C4128" s="10" t="s">
        <v>7940</v>
      </c>
      <c r="D4128" s="7">
        <v>2.4700000000000002</v>
      </c>
      <c r="E4128" s="5">
        <v>13</v>
      </c>
      <c r="F4128" s="5">
        <v>2</v>
      </c>
      <c r="G4128" s="12">
        <f>SUM($D$7:D4128)</f>
        <v>10666621.951000057</v>
      </c>
      <c r="H4128" s="11">
        <f t="shared" si="64"/>
        <v>0.99999413191608522</v>
      </c>
    </row>
    <row r="4129" spans="1:8" ht="15" customHeight="1" x14ac:dyDescent="0.25">
      <c r="A4129" s="5">
        <v>4123</v>
      </c>
      <c r="B4129" s="10" t="s">
        <v>7941</v>
      </c>
      <c r="C4129" s="10" t="s">
        <v>4519</v>
      </c>
      <c r="D4129" s="7">
        <v>2.46</v>
      </c>
      <c r="E4129" s="5">
        <v>1</v>
      </c>
      <c r="F4129" s="5">
        <v>1</v>
      </c>
      <c r="G4129" s="12">
        <f>SUM($D$7:D4129)</f>
        <v>10666624.411000058</v>
      </c>
      <c r="H4129" s="11">
        <f t="shared" si="64"/>
        <v>0.99999436254069873</v>
      </c>
    </row>
    <row r="4130" spans="1:8" ht="15" customHeight="1" x14ac:dyDescent="0.25">
      <c r="A4130" s="5">
        <v>4124</v>
      </c>
      <c r="B4130" s="10" t="s">
        <v>7942</v>
      </c>
      <c r="C4130" s="10" t="s">
        <v>4876</v>
      </c>
      <c r="D4130" s="7">
        <v>2.46</v>
      </c>
      <c r="E4130" s="5">
        <v>1</v>
      </c>
      <c r="F4130" s="5">
        <v>1</v>
      </c>
      <c r="G4130" s="12">
        <f>SUM($D$7:D4130)</f>
        <v>10666626.871000059</v>
      </c>
      <c r="H4130" s="11">
        <f t="shared" si="64"/>
        <v>0.99999459316531236</v>
      </c>
    </row>
    <row r="4131" spans="1:8" ht="15" customHeight="1" x14ac:dyDescent="0.25">
      <c r="A4131" s="5">
        <v>4125</v>
      </c>
      <c r="B4131" s="10" t="s">
        <v>7943</v>
      </c>
      <c r="C4131" s="10" t="s">
        <v>2655</v>
      </c>
      <c r="D4131" s="7">
        <v>2.46</v>
      </c>
      <c r="E4131" s="5">
        <v>1</v>
      </c>
      <c r="F4131" s="5">
        <v>1</v>
      </c>
      <c r="G4131" s="12">
        <f>SUM($D$7:D4131)</f>
        <v>10666629.33100006</v>
      </c>
      <c r="H4131" s="11">
        <f t="shared" si="64"/>
        <v>0.99999482378992588</v>
      </c>
    </row>
    <row r="4132" spans="1:8" ht="15" customHeight="1" x14ac:dyDescent="0.25">
      <c r="A4132" s="5">
        <v>4126</v>
      </c>
      <c r="B4132" s="10" t="s">
        <v>7944</v>
      </c>
      <c r="C4132" s="10" t="s">
        <v>4129</v>
      </c>
      <c r="D4132" s="7">
        <v>2.46</v>
      </c>
      <c r="E4132" s="5">
        <v>1</v>
      </c>
      <c r="F4132" s="5">
        <v>1</v>
      </c>
      <c r="G4132" s="12">
        <f>SUM($D$7:D4132)</f>
        <v>10666631.791000061</v>
      </c>
      <c r="H4132" s="11">
        <f t="shared" si="64"/>
        <v>0.99999505441453951</v>
      </c>
    </row>
    <row r="4133" spans="1:8" ht="15" customHeight="1" x14ac:dyDescent="0.25">
      <c r="A4133" s="5">
        <v>4127</v>
      </c>
      <c r="B4133" s="10" t="s">
        <v>7945</v>
      </c>
      <c r="C4133" s="10" t="s">
        <v>6815</v>
      </c>
      <c r="D4133" s="7">
        <v>2.46</v>
      </c>
      <c r="E4133" s="5">
        <v>1</v>
      </c>
      <c r="F4133" s="5">
        <v>1</v>
      </c>
      <c r="G4133" s="12">
        <f>SUM($D$7:D4133)</f>
        <v>10666634.251000062</v>
      </c>
      <c r="H4133" s="11">
        <f t="shared" si="64"/>
        <v>0.99999528503915303</v>
      </c>
    </row>
    <row r="4134" spans="1:8" ht="15" customHeight="1" x14ac:dyDescent="0.25">
      <c r="A4134" s="5">
        <v>4128</v>
      </c>
      <c r="B4134" s="10" t="s">
        <v>7946</v>
      </c>
      <c r="C4134" s="10" t="s">
        <v>7947</v>
      </c>
      <c r="D4134" s="7">
        <v>2.34</v>
      </c>
      <c r="E4134" s="5">
        <v>6</v>
      </c>
      <c r="F4134" s="5">
        <v>1</v>
      </c>
      <c r="G4134" s="12">
        <f>SUM($D$7:D4134)</f>
        <v>10666636.591000061</v>
      </c>
      <c r="H4134" s="11">
        <f t="shared" si="64"/>
        <v>0.99999550441378537</v>
      </c>
    </row>
    <row r="4135" spans="1:8" ht="15" customHeight="1" x14ac:dyDescent="0.25">
      <c r="A4135" s="5">
        <v>4129</v>
      </c>
      <c r="B4135" s="10" t="s">
        <v>7948</v>
      </c>
      <c r="C4135" s="10" t="s">
        <v>7949</v>
      </c>
      <c r="D4135" s="7">
        <v>2.2799999999999998</v>
      </c>
      <c r="E4135" s="5">
        <v>12</v>
      </c>
      <c r="F4135" s="5">
        <v>2</v>
      </c>
      <c r="G4135" s="12">
        <f>SUM($D$7:D4135)</f>
        <v>10666638.871000061</v>
      </c>
      <c r="H4135" s="11">
        <f t="shared" si="64"/>
        <v>0.99999571816342703</v>
      </c>
    </row>
    <row r="4136" spans="1:8" ht="15" customHeight="1" x14ac:dyDescent="0.25">
      <c r="A4136" s="5">
        <v>4130</v>
      </c>
      <c r="B4136" s="10" t="s">
        <v>7950</v>
      </c>
      <c r="C4136" s="10" t="s">
        <v>7951</v>
      </c>
      <c r="D4136" s="7">
        <v>2.12</v>
      </c>
      <c r="E4136" s="5">
        <v>1</v>
      </c>
      <c r="F4136" s="5">
        <v>1</v>
      </c>
      <c r="G4136" s="12">
        <f>SUM($D$7:D4136)</f>
        <v>10666640.99100006</v>
      </c>
      <c r="H4136" s="11">
        <f t="shared" si="64"/>
        <v>0.99999591691309386</v>
      </c>
    </row>
    <row r="4137" spans="1:8" ht="15" customHeight="1" x14ac:dyDescent="0.25">
      <c r="A4137" s="5">
        <v>4131</v>
      </c>
      <c r="B4137" s="10" t="s">
        <v>7952</v>
      </c>
      <c r="C4137" s="10" t="s">
        <v>7953</v>
      </c>
      <c r="D4137" s="7">
        <v>2.1</v>
      </c>
      <c r="E4137" s="5">
        <v>1</v>
      </c>
      <c r="F4137" s="5">
        <v>1</v>
      </c>
      <c r="G4137" s="12">
        <f>SUM($D$7:D4137)</f>
        <v>10666643.09100006</v>
      </c>
      <c r="H4137" s="11">
        <f t="shared" si="64"/>
        <v>0.99999611378776387</v>
      </c>
    </row>
    <row r="4138" spans="1:8" ht="15" customHeight="1" x14ac:dyDescent="0.25">
      <c r="A4138" s="5">
        <v>4132</v>
      </c>
      <c r="B4138" s="10" t="s">
        <v>7954</v>
      </c>
      <c r="C4138" s="10" t="s">
        <v>7955</v>
      </c>
      <c r="D4138" s="7">
        <v>2.1</v>
      </c>
      <c r="E4138" s="5">
        <v>1</v>
      </c>
      <c r="F4138" s="5">
        <v>1</v>
      </c>
      <c r="G4138" s="12">
        <f>SUM($D$7:D4138)</f>
        <v>10666645.191000059</v>
      </c>
      <c r="H4138" s="11">
        <f t="shared" si="64"/>
        <v>0.99999631066243388</v>
      </c>
    </row>
    <row r="4139" spans="1:8" ht="15" customHeight="1" x14ac:dyDescent="0.25">
      <c r="A4139" s="5">
        <v>4133</v>
      </c>
      <c r="B4139" s="10" t="s">
        <v>7956</v>
      </c>
      <c r="C4139" s="10" t="s">
        <v>7957</v>
      </c>
      <c r="D4139" s="7">
        <v>2.1</v>
      </c>
      <c r="E4139" s="5">
        <v>1</v>
      </c>
      <c r="F4139" s="5">
        <v>1</v>
      </c>
      <c r="G4139" s="12">
        <f>SUM($D$7:D4139)</f>
        <v>10666647.291000059</v>
      </c>
      <c r="H4139" s="11">
        <f t="shared" si="64"/>
        <v>0.9999965075371039</v>
      </c>
    </row>
    <row r="4140" spans="1:8" ht="15" customHeight="1" x14ac:dyDescent="0.25">
      <c r="A4140" s="5">
        <v>4134</v>
      </c>
      <c r="B4140" s="10" t="s">
        <v>7958</v>
      </c>
      <c r="C4140" s="10" t="s">
        <v>7959</v>
      </c>
      <c r="D4140" s="7">
        <v>2.1</v>
      </c>
      <c r="E4140" s="5">
        <v>2</v>
      </c>
      <c r="F4140" s="5">
        <v>1</v>
      </c>
      <c r="G4140" s="12">
        <f>SUM($D$7:D4140)</f>
        <v>10666649.391000059</v>
      </c>
      <c r="H4140" s="11">
        <f t="shared" si="64"/>
        <v>0.9999967044117738</v>
      </c>
    </row>
    <row r="4141" spans="1:8" ht="15" customHeight="1" x14ac:dyDescent="0.25">
      <c r="A4141" s="5">
        <v>4135</v>
      </c>
      <c r="B4141" s="10" t="s">
        <v>7960</v>
      </c>
      <c r="C4141" s="10" t="s">
        <v>7961</v>
      </c>
      <c r="D4141" s="7">
        <v>2.1</v>
      </c>
      <c r="E4141" s="5">
        <v>1</v>
      </c>
      <c r="F4141" s="5">
        <v>1</v>
      </c>
      <c r="G4141" s="12">
        <f>SUM($D$7:D4141)</f>
        <v>10666651.491000058</v>
      </c>
      <c r="H4141" s="11">
        <f t="shared" si="64"/>
        <v>0.99999690128644381</v>
      </c>
    </row>
    <row r="4142" spans="1:8" ht="15" customHeight="1" x14ac:dyDescent="0.25">
      <c r="A4142" s="5">
        <v>4136</v>
      </c>
      <c r="B4142" s="10" t="s">
        <v>7962</v>
      </c>
      <c r="C4142" s="10" t="s">
        <v>6981</v>
      </c>
      <c r="D4142" s="7">
        <v>2.09</v>
      </c>
      <c r="E4142" s="5">
        <v>11</v>
      </c>
      <c r="F4142" s="5">
        <v>3</v>
      </c>
      <c r="G4142" s="12">
        <f>SUM($D$7:D4142)</f>
        <v>10666653.581000058</v>
      </c>
      <c r="H4142" s="11">
        <f t="shared" si="64"/>
        <v>0.99999709722361541</v>
      </c>
    </row>
    <row r="4143" spans="1:8" ht="15" customHeight="1" x14ac:dyDescent="0.25">
      <c r="A4143" s="5">
        <v>4137</v>
      </c>
      <c r="B4143" s="10" t="s">
        <v>7963</v>
      </c>
      <c r="C4143" s="10" t="s">
        <v>7964</v>
      </c>
      <c r="D4143" s="7">
        <v>2.04</v>
      </c>
      <c r="E4143" s="5">
        <v>2</v>
      </c>
      <c r="F4143" s="5">
        <v>2</v>
      </c>
      <c r="G4143" s="12">
        <f>SUM($D$7:D4143)</f>
        <v>10666655.621000057</v>
      </c>
      <c r="H4143" s="11">
        <f t="shared" si="64"/>
        <v>0.99999728847329483</v>
      </c>
    </row>
    <row r="4144" spans="1:8" ht="15" customHeight="1" x14ac:dyDescent="0.25">
      <c r="A4144" s="5">
        <v>4138</v>
      </c>
      <c r="B4144" s="10" t="s">
        <v>7965</v>
      </c>
      <c r="C4144" s="10" t="s">
        <v>7966</v>
      </c>
      <c r="D4144" s="7">
        <v>1.95</v>
      </c>
      <c r="E4144" s="5">
        <v>1</v>
      </c>
      <c r="F4144" s="5">
        <v>1</v>
      </c>
      <c r="G4144" s="12">
        <f>SUM($D$7:D4144)</f>
        <v>10666657.571000056</v>
      </c>
      <c r="H4144" s="11">
        <f t="shared" si="64"/>
        <v>0.99999747128548833</v>
      </c>
    </row>
    <row r="4145" spans="1:8" ht="15" customHeight="1" x14ac:dyDescent="0.25">
      <c r="A4145" s="5">
        <v>4139</v>
      </c>
      <c r="B4145" s="10" t="s">
        <v>7967</v>
      </c>
      <c r="C4145" s="10" t="s">
        <v>7968</v>
      </c>
      <c r="D4145" s="7">
        <v>1.95</v>
      </c>
      <c r="E4145" s="5">
        <v>1</v>
      </c>
      <c r="F4145" s="5">
        <v>1</v>
      </c>
      <c r="G4145" s="12">
        <f>SUM($D$7:D4145)</f>
        <v>10666659.521000056</v>
      </c>
      <c r="H4145" s="11">
        <f t="shared" si="64"/>
        <v>0.99999765409768193</v>
      </c>
    </row>
    <row r="4146" spans="1:8" ht="15" customHeight="1" x14ac:dyDescent="0.25">
      <c r="A4146" s="5">
        <v>4140</v>
      </c>
      <c r="B4146" s="10" t="s">
        <v>7969</v>
      </c>
      <c r="C4146" s="10" t="s">
        <v>7970</v>
      </c>
      <c r="D4146" s="7">
        <v>1.95</v>
      </c>
      <c r="E4146" s="5">
        <v>1</v>
      </c>
      <c r="F4146" s="5">
        <v>1</v>
      </c>
      <c r="G4146" s="12">
        <f>SUM($D$7:D4146)</f>
        <v>10666661.471000055</v>
      </c>
      <c r="H4146" s="11">
        <f t="shared" si="64"/>
        <v>0.99999783690987543</v>
      </c>
    </row>
    <row r="4147" spans="1:8" ht="15" customHeight="1" x14ac:dyDescent="0.25">
      <c r="A4147" s="5">
        <v>4141</v>
      </c>
      <c r="B4147" s="10" t="s">
        <v>7971</v>
      </c>
      <c r="C4147" s="10" t="s">
        <v>7972</v>
      </c>
      <c r="D4147" s="7">
        <v>1.66</v>
      </c>
      <c r="E4147" s="5">
        <v>1</v>
      </c>
      <c r="F4147" s="5">
        <v>1</v>
      </c>
      <c r="G4147" s="12">
        <f>SUM($D$7:D4147)</f>
        <v>10666663.131000055</v>
      </c>
      <c r="H4147" s="11">
        <f t="shared" si="64"/>
        <v>0.99999799253461463</v>
      </c>
    </row>
    <row r="4148" spans="1:8" ht="15" customHeight="1" x14ac:dyDescent="0.25">
      <c r="A4148" s="5">
        <v>4142</v>
      </c>
      <c r="B4148" s="10" t="s">
        <v>7973</v>
      </c>
      <c r="C4148" s="10" t="s">
        <v>7974</v>
      </c>
      <c r="D4148" s="7">
        <v>1.65</v>
      </c>
      <c r="E4148" s="5">
        <v>1</v>
      </c>
      <c r="F4148" s="5">
        <v>1</v>
      </c>
      <c r="G4148" s="12">
        <f>SUM($D$7:D4148)</f>
        <v>10666664.781000055</v>
      </c>
      <c r="H4148" s="11">
        <f t="shared" si="64"/>
        <v>0.99999814722185543</v>
      </c>
    </row>
    <row r="4149" spans="1:8" ht="15" customHeight="1" x14ac:dyDescent="0.25">
      <c r="A4149" s="5">
        <v>4143</v>
      </c>
      <c r="B4149" s="10" t="s">
        <v>7975</v>
      </c>
      <c r="C4149" s="10" t="s">
        <v>7976</v>
      </c>
      <c r="D4149" s="7">
        <v>1.65</v>
      </c>
      <c r="E4149" s="5">
        <v>1</v>
      </c>
      <c r="F4149" s="5">
        <v>1</v>
      </c>
      <c r="G4149" s="12">
        <f>SUM($D$7:D4149)</f>
        <v>10666666.431000056</v>
      </c>
      <c r="H4149" s="11">
        <f t="shared" si="64"/>
        <v>0.99999830190909622</v>
      </c>
    </row>
    <row r="4150" spans="1:8" ht="15" customHeight="1" x14ac:dyDescent="0.25">
      <c r="A4150" s="5">
        <v>4144</v>
      </c>
      <c r="B4150" s="10" t="s">
        <v>7977</v>
      </c>
      <c r="C4150" s="10" t="s">
        <v>7978</v>
      </c>
      <c r="D4150" s="7">
        <v>1.52</v>
      </c>
      <c r="E4150" s="5">
        <v>8</v>
      </c>
      <c r="F4150" s="5">
        <v>2</v>
      </c>
      <c r="G4150" s="12">
        <f>SUM($D$7:D4150)</f>
        <v>10666667.951000055</v>
      </c>
      <c r="H4150" s="11">
        <f t="shared" si="64"/>
        <v>0.99999844440885732</v>
      </c>
    </row>
    <row r="4151" spans="1:8" ht="15" customHeight="1" x14ac:dyDescent="0.25">
      <c r="A4151" s="5">
        <v>4145</v>
      </c>
      <c r="B4151" s="10" t="s">
        <v>7979</v>
      </c>
      <c r="C4151" s="10" t="s">
        <v>7980</v>
      </c>
      <c r="D4151" s="7">
        <v>1.25</v>
      </c>
      <c r="E4151" s="5">
        <v>1</v>
      </c>
      <c r="F4151" s="5">
        <v>1</v>
      </c>
      <c r="G4151" s="12">
        <f>SUM($D$7:D4151)</f>
        <v>10666669.201000055</v>
      </c>
      <c r="H4151" s="11">
        <f t="shared" si="64"/>
        <v>0.99999856159616096</v>
      </c>
    </row>
    <row r="4152" spans="1:8" ht="15" customHeight="1" x14ac:dyDescent="0.25">
      <c r="A4152" s="5">
        <v>4146</v>
      </c>
      <c r="B4152" s="10" t="s">
        <v>7981</v>
      </c>
      <c r="C4152" s="10" t="s">
        <v>7982</v>
      </c>
      <c r="D4152" s="7">
        <v>1.25</v>
      </c>
      <c r="E4152" s="5">
        <v>1</v>
      </c>
      <c r="F4152" s="5">
        <v>1</v>
      </c>
      <c r="G4152" s="12">
        <f>SUM($D$7:D4152)</f>
        <v>10666670.451000055</v>
      </c>
      <c r="H4152" s="11">
        <f t="shared" si="64"/>
        <v>0.99999867878346449</v>
      </c>
    </row>
    <row r="4153" spans="1:8" ht="15" customHeight="1" x14ac:dyDescent="0.25">
      <c r="A4153" s="5">
        <v>4147</v>
      </c>
      <c r="B4153" s="10" t="s">
        <v>7983</v>
      </c>
      <c r="C4153" s="10" t="s">
        <v>7984</v>
      </c>
      <c r="D4153" s="7">
        <v>1.25</v>
      </c>
      <c r="E4153" s="5">
        <v>1</v>
      </c>
      <c r="F4153" s="5">
        <v>1</v>
      </c>
      <c r="G4153" s="12">
        <f>SUM($D$7:D4153)</f>
        <v>10666671.701000055</v>
      </c>
      <c r="H4153" s="11">
        <f t="shared" si="64"/>
        <v>0.99999879597076813</v>
      </c>
    </row>
    <row r="4154" spans="1:8" ht="15" customHeight="1" x14ac:dyDescent="0.25">
      <c r="A4154" s="5">
        <v>4148</v>
      </c>
      <c r="B4154" s="10" t="s">
        <v>7985</v>
      </c>
      <c r="C4154" s="10" t="s">
        <v>7986</v>
      </c>
      <c r="D4154" s="7">
        <v>1.25</v>
      </c>
      <c r="E4154" s="5">
        <v>1</v>
      </c>
      <c r="F4154" s="5">
        <v>1</v>
      </c>
      <c r="G4154" s="12">
        <f>SUM($D$7:D4154)</f>
        <v>10666672.951000055</v>
      </c>
      <c r="H4154" s="11">
        <f t="shared" si="64"/>
        <v>0.99999891315807166</v>
      </c>
    </row>
    <row r="4155" spans="1:8" ht="15" customHeight="1" x14ac:dyDescent="0.25">
      <c r="A4155" s="5">
        <v>4149</v>
      </c>
      <c r="B4155" s="10" t="s">
        <v>7987</v>
      </c>
      <c r="C4155" s="10" t="s">
        <v>7988</v>
      </c>
      <c r="D4155" s="7">
        <v>1.25</v>
      </c>
      <c r="E4155" s="5">
        <v>1</v>
      </c>
      <c r="F4155" s="5">
        <v>1</v>
      </c>
      <c r="G4155" s="12">
        <f>SUM($D$7:D4155)</f>
        <v>10666674.201000055</v>
      </c>
      <c r="H4155" s="11">
        <f t="shared" si="64"/>
        <v>0.99999903034537529</v>
      </c>
    </row>
    <row r="4156" spans="1:8" ht="15" customHeight="1" x14ac:dyDescent="0.25">
      <c r="A4156" s="5">
        <v>4150</v>
      </c>
      <c r="B4156" s="10" t="s">
        <v>7989</v>
      </c>
      <c r="C4156" s="10" t="s">
        <v>7990</v>
      </c>
      <c r="D4156" s="7">
        <v>1.25</v>
      </c>
      <c r="E4156" s="5">
        <v>1</v>
      </c>
      <c r="F4156" s="5">
        <v>1</v>
      </c>
      <c r="G4156" s="12">
        <f>SUM($D$7:D4156)</f>
        <v>10666675.451000055</v>
      </c>
      <c r="H4156" s="11">
        <f t="shared" si="64"/>
        <v>0.99999914753267882</v>
      </c>
    </row>
    <row r="4157" spans="1:8" ht="15" customHeight="1" x14ac:dyDescent="0.25">
      <c r="A4157" s="5">
        <v>4151</v>
      </c>
      <c r="B4157" s="10" t="s">
        <v>7991</v>
      </c>
      <c r="C4157" s="10" t="s">
        <v>7992</v>
      </c>
      <c r="D4157" s="7">
        <v>1.25</v>
      </c>
      <c r="E4157" s="5">
        <v>1</v>
      </c>
      <c r="F4157" s="5">
        <v>1</v>
      </c>
      <c r="G4157" s="12">
        <f>SUM($D$7:D4157)</f>
        <v>10666676.701000055</v>
      </c>
      <c r="H4157" s="11">
        <f t="shared" si="64"/>
        <v>0.99999926471998246</v>
      </c>
    </row>
    <row r="4158" spans="1:8" ht="15" customHeight="1" x14ac:dyDescent="0.25">
      <c r="A4158" s="5">
        <v>4152</v>
      </c>
      <c r="B4158" s="10" t="s">
        <v>2158</v>
      </c>
      <c r="C4158" s="10" t="s">
        <v>7993</v>
      </c>
      <c r="D4158" s="7">
        <v>1.25</v>
      </c>
      <c r="E4158" s="5">
        <v>1</v>
      </c>
      <c r="F4158" s="5">
        <v>1</v>
      </c>
      <c r="G4158" s="12">
        <f>SUM($D$7:D4158)</f>
        <v>10666677.951000055</v>
      </c>
      <c r="H4158" s="11">
        <f t="shared" si="64"/>
        <v>0.9999993819072861</v>
      </c>
    </row>
    <row r="4159" spans="1:8" ht="15" customHeight="1" x14ac:dyDescent="0.25">
      <c r="A4159" s="5">
        <v>4153</v>
      </c>
      <c r="B4159" s="10" t="s">
        <v>7994</v>
      </c>
      <c r="C4159" s="10" t="s">
        <v>7995</v>
      </c>
      <c r="D4159" s="7">
        <v>1.1000000000000001</v>
      </c>
      <c r="E4159" s="5">
        <v>2</v>
      </c>
      <c r="F4159" s="5">
        <v>2</v>
      </c>
      <c r="G4159" s="12">
        <f>SUM($D$7:D4159)</f>
        <v>10666679.051000055</v>
      </c>
      <c r="H4159" s="11">
        <f t="shared" si="64"/>
        <v>0.99999948503211322</v>
      </c>
    </row>
    <row r="4160" spans="1:8" ht="15" customHeight="1" x14ac:dyDescent="0.25">
      <c r="A4160" s="5">
        <v>4154</v>
      </c>
      <c r="B4160" s="10" t="s">
        <v>7996</v>
      </c>
      <c r="C4160" s="10" t="s">
        <v>7997</v>
      </c>
      <c r="D4160" s="7">
        <v>0.95</v>
      </c>
      <c r="E4160" s="5">
        <v>5</v>
      </c>
      <c r="F4160" s="5">
        <v>1</v>
      </c>
      <c r="G4160" s="12">
        <f>SUM($D$7:D4160)</f>
        <v>10666680.001000054</v>
      </c>
      <c r="H4160" s="11">
        <f t="shared" si="64"/>
        <v>0.99999957409446383</v>
      </c>
    </row>
    <row r="4161" spans="1:8" ht="15" customHeight="1" x14ac:dyDescent="0.25">
      <c r="A4161" s="5">
        <v>4155</v>
      </c>
      <c r="B4161" s="10" t="s">
        <v>7998</v>
      </c>
      <c r="C4161" s="10" t="s">
        <v>7999</v>
      </c>
      <c r="D4161" s="7">
        <v>0.95</v>
      </c>
      <c r="E4161" s="5">
        <v>5</v>
      </c>
      <c r="F4161" s="5">
        <v>1</v>
      </c>
      <c r="G4161" s="12">
        <f>SUM($D$7:D4161)</f>
        <v>10666680.951000053</v>
      </c>
      <c r="H4161" s="11">
        <f t="shared" si="64"/>
        <v>0.99999966315681454</v>
      </c>
    </row>
    <row r="4162" spans="1:8" ht="15" customHeight="1" x14ac:dyDescent="0.25">
      <c r="A4162" s="5">
        <v>4156</v>
      </c>
      <c r="B4162" s="10" t="s">
        <v>8000</v>
      </c>
      <c r="C4162" s="10" t="s">
        <v>8001</v>
      </c>
      <c r="D4162" s="7">
        <v>0.85</v>
      </c>
      <c r="E4162" s="5">
        <v>1</v>
      </c>
      <c r="F4162" s="5">
        <v>1</v>
      </c>
      <c r="G4162" s="12">
        <f>SUM($D$7:D4162)</f>
        <v>10666681.801000053</v>
      </c>
      <c r="H4162" s="11">
        <f t="shared" si="64"/>
        <v>0.99999974284418092</v>
      </c>
    </row>
    <row r="4163" spans="1:8" ht="15" customHeight="1" x14ac:dyDescent="0.25">
      <c r="A4163" s="5">
        <v>4157</v>
      </c>
      <c r="B4163" s="10" t="s">
        <v>8002</v>
      </c>
      <c r="C4163" s="10" t="s">
        <v>8003</v>
      </c>
      <c r="D4163" s="7">
        <v>0.84</v>
      </c>
      <c r="E4163" s="5">
        <v>2</v>
      </c>
      <c r="F4163" s="5">
        <v>1</v>
      </c>
      <c r="G4163" s="12">
        <f>SUM($D$7:D4163)</f>
        <v>10666682.641000053</v>
      </c>
      <c r="H4163" s="11">
        <f t="shared" si="64"/>
        <v>0.99999982159404888</v>
      </c>
    </row>
    <row r="4164" spans="1:8" ht="15" customHeight="1" x14ac:dyDescent="0.25">
      <c r="A4164" s="5">
        <v>4158</v>
      </c>
      <c r="B4164" s="10" t="s">
        <v>8004</v>
      </c>
      <c r="C4164" s="10" t="s">
        <v>2767</v>
      </c>
      <c r="D4164" s="7">
        <v>0.83</v>
      </c>
      <c r="E4164" s="5">
        <v>1</v>
      </c>
      <c r="F4164" s="5">
        <v>1</v>
      </c>
      <c r="G4164" s="12">
        <f>SUM($D$7:D4164)</f>
        <v>10666683.471000053</v>
      </c>
      <c r="H4164" s="11">
        <f t="shared" si="64"/>
        <v>0.99999989940641854</v>
      </c>
    </row>
    <row r="4165" spans="1:8" ht="15" customHeight="1" x14ac:dyDescent="0.25">
      <c r="A4165" s="5">
        <v>4159</v>
      </c>
      <c r="B4165" s="10" t="s">
        <v>2522</v>
      </c>
      <c r="C4165" s="10" t="s">
        <v>8005</v>
      </c>
      <c r="D4165" s="7">
        <v>0.65</v>
      </c>
      <c r="E4165" s="5">
        <v>1</v>
      </c>
      <c r="F4165" s="5">
        <v>1</v>
      </c>
      <c r="G4165" s="12">
        <f>SUM($D$7:D4165)</f>
        <v>10666684.121000053</v>
      </c>
      <c r="H4165" s="11">
        <f t="shared" si="64"/>
        <v>0.99999996034381644</v>
      </c>
    </row>
    <row r="4166" spans="1:8" ht="15" customHeight="1" x14ac:dyDescent="0.25">
      <c r="A4166" s="5">
        <v>4160</v>
      </c>
      <c r="B4166" s="10" t="s">
        <v>8006</v>
      </c>
      <c r="C4166" s="10" t="s">
        <v>8007</v>
      </c>
      <c r="D4166" s="7">
        <v>0.42</v>
      </c>
      <c r="E4166" s="5">
        <v>1</v>
      </c>
      <c r="F4166" s="5">
        <v>1</v>
      </c>
      <c r="G4166" s="12">
        <f>SUM($D$7:D4166)</f>
        <v>10666684.541000053</v>
      </c>
      <c r="H4166" s="11">
        <f t="shared" si="64"/>
        <v>0.99999999971875042</v>
      </c>
    </row>
    <row r="4167" spans="1:8" ht="15" customHeight="1" x14ac:dyDescent="0.25">
      <c r="A4167" s="5">
        <v>4161</v>
      </c>
      <c r="B4167" s="10" t="s">
        <v>8008</v>
      </c>
      <c r="C4167" s="10" t="s">
        <v>8009</v>
      </c>
      <c r="D4167" s="7">
        <v>3.0000000000000001E-3</v>
      </c>
      <c r="E4167" s="5">
        <v>3</v>
      </c>
      <c r="F4167" s="5">
        <v>3</v>
      </c>
      <c r="G4167" s="12">
        <f>SUM($D$7:D4167)</f>
        <v>10666684.544000054</v>
      </c>
      <c r="H4167" s="11">
        <f t="shared" ref="H4167:H4230" si="65">G4167/SUM($D$7:$D$4167)</f>
        <v>1</v>
      </c>
    </row>
  </sheetData>
  <mergeCells count="2">
    <mergeCell ref="A1:H1"/>
    <mergeCell ref="J13:K16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zoomScaleNormal="100" workbookViewId="0">
      <selection sqref="A1:G1"/>
    </sheetView>
  </sheetViews>
  <sheetFormatPr defaultColWidth="8.7109375" defaultRowHeight="15" customHeight="1" x14ac:dyDescent="0.25"/>
  <cols>
    <col min="1" max="1" width="15.7109375" customWidth="1"/>
    <col min="2" max="7" width="18.7109375" customWidth="1"/>
    <col min="9" max="10" width="30.7109375" customWidth="1"/>
  </cols>
  <sheetData>
    <row r="1" spans="1:10" ht="21.75" customHeight="1" x14ac:dyDescent="0.25">
      <c r="A1" s="2" t="s">
        <v>8010</v>
      </c>
      <c r="B1" s="2"/>
      <c r="C1" s="2"/>
      <c r="D1" s="2"/>
      <c r="E1" s="2"/>
      <c r="F1" s="2"/>
      <c r="G1" s="2"/>
    </row>
    <row r="3" spans="1:10" ht="27.75" customHeight="1" x14ac:dyDescent="0.25">
      <c r="A3" s="9" t="s">
        <v>8011</v>
      </c>
      <c r="B3" s="9" t="s">
        <v>22</v>
      </c>
      <c r="C3" s="9" t="s">
        <v>8012</v>
      </c>
      <c r="D3" s="9" t="s">
        <v>8013</v>
      </c>
      <c r="E3" s="9" t="s">
        <v>8014</v>
      </c>
      <c r="F3" s="9" t="s">
        <v>8015</v>
      </c>
      <c r="G3" s="9" t="s">
        <v>8016</v>
      </c>
      <c r="I3" s="4" t="s">
        <v>8017</v>
      </c>
      <c r="J3" s="6" t="s">
        <v>8018</v>
      </c>
    </row>
    <row r="4" spans="1:10" ht="15" customHeight="1" x14ac:dyDescent="0.25">
      <c r="A4" s="15">
        <v>40179</v>
      </c>
      <c r="B4" s="7">
        <v>58960.79</v>
      </c>
      <c r="C4" s="5">
        <v>1</v>
      </c>
      <c r="D4" s="7"/>
      <c r="E4" s="7">
        <v>-142102.61813666701</v>
      </c>
      <c r="F4" s="7">
        <v>201063.40813666701</v>
      </c>
      <c r="G4" s="8">
        <v>-1.4149169858594399</v>
      </c>
    </row>
    <row r="5" spans="1:10" ht="15" customHeight="1" x14ac:dyDescent="0.25">
      <c r="A5" s="15">
        <v>40210</v>
      </c>
      <c r="B5" s="7">
        <v>47748.38</v>
      </c>
      <c r="C5" s="5">
        <v>2</v>
      </c>
      <c r="D5" s="7"/>
      <c r="E5" s="7">
        <v>-91098.460965362407</v>
      </c>
      <c r="F5" s="7">
        <v>138846.840965362</v>
      </c>
      <c r="G5" s="8">
        <v>-1.5241403586187401</v>
      </c>
      <c r="I5" s="4" t="s">
        <v>8019</v>
      </c>
      <c r="J5" s="10" t="s">
        <v>8020</v>
      </c>
    </row>
    <row r="6" spans="1:10" ht="15" customHeight="1" x14ac:dyDescent="0.25">
      <c r="A6" s="15">
        <v>40238</v>
      </c>
      <c r="B6" s="7">
        <v>46943.71</v>
      </c>
      <c r="C6" s="5">
        <v>3</v>
      </c>
      <c r="D6" s="7">
        <v>51217.6266666667</v>
      </c>
      <c r="E6" s="7">
        <v>-40094.303794058003</v>
      </c>
      <c r="F6" s="7">
        <v>87038.013794058003</v>
      </c>
      <c r="G6" s="8">
        <v>-2.1708324015581799</v>
      </c>
      <c r="I6" s="4" t="s">
        <v>8021</v>
      </c>
      <c r="J6" s="12">
        <f>FORECAST(9,F34:F41,C34:C41)*AVERAGEIF(D34:D41,1,E34:E41)</f>
        <v>2692926.1849907124</v>
      </c>
    </row>
    <row r="7" spans="1:10" ht="95.25" customHeight="1" x14ac:dyDescent="0.25">
      <c r="A7" s="15">
        <v>40269</v>
      </c>
      <c r="B7" s="7">
        <v>0</v>
      </c>
      <c r="C7" s="5">
        <v>4</v>
      </c>
      <c r="D7" s="7">
        <v>31564.03</v>
      </c>
      <c r="E7" s="7">
        <v>10909.8533772463</v>
      </c>
      <c r="F7" s="7">
        <v>-10909.8533772463</v>
      </c>
      <c r="G7" s="8">
        <v>-1</v>
      </c>
      <c r="I7" s="4" t="s">
        <v>8022</v>
      </c>
      <c r="J7" s="6" t="s">
        <v>8023</v>
      </c>
    </row>
    <row r="8" spans="1:10" ht="15" customHeight="1" x14ac:dyDescent="0.25">
      <c r="A8" s="15">
        <v>40299</v>
      </c>
      <c r="B8" s="7">
        <v>31774.95</v>
      </c>
      <c r="C8" s="5">
        <v>5</v>
      </c>
      <c r="D8" s="7">
        <v>26239.553333333301</v>
      </c>
      <c r="E8" s="7">
        <v>61914.010548550701</v>
      </c>
      <c r="F8" s="7">
        <v>-30139.0605485507</v>
      </c>
      <c r="G8" s="8">
        <v>-0.48678902047407702</v>
      </c>
    </row>
    <row r="9" spans="1:10" ht="15" customHeight="1" x14ac:dyDescent="0.25">
      <c r="A9" s="15">
        <v>40330</v>
      </c>
      <c r="B9" s="7">
        <v>54830.46</v>
      </c>
      <c r="C9" s="5">
        <v>6</v>
      </c>
      <c r="D9" s="7">
        <v>28868.47</v>
      </c>
      <c r="E9" s="7">
        <v>112918.167719855</v>
      </c>
      <c r="F9" s="7">
        <v>-58087.707719855098</v>
      </c>
      <c r="G9" s="8">
        <v>-0.51442304540371298</v>
      </c>
    </row>
    <row r="10" spans="1:10" ht="15" customHeight="1" x14ac:dyDescent="0.25">
      <c r="A10" s="15">
        <v>40360</v>
      </c>
      <c r="B10" s="7">
        <v>99618.2</v>
      </c>
      <c r="C10" s="5">
        <v>7</v>
      </c>
      <c r="D10" s="7">
        <v>62074.536666666703</v>
      </c>
      <c r="E10" s="7">
        <v>163922.32489115899</v>
      </c>
      <c r="F10" s="7">
        <v>-64304.124891159401</v>
      </c>
      <c r="G10" s="8">
        <v>-0.39228411952951397</v>
      </c>
    </row>
    <row r="11" spans="1:10" ht="15" customHeight="1" x14ac:dyDescent="0.25">
      <c r="A11" s="15">
        <v>40391</v>
      </c>
      <c r="B11" s="7">
        <v>45389.98</v>
      </c>
      <c r="C11" s="5">
        <v>8</v>
      </c>
      <c r="D11" s="7">
        <v>66612.88</v>
      </c>
      <c r="E11" s="7">
        <v>214926.482062464</v>
      </c>
      <c r="F11" s="7">
        <v>-169536.50206246399</v>
      </c>
      <c r="G11" s="8">
        <v>-0.78881159936908896</v>
      </c>
    </row>
    <row r="12" spans="1:10" ht="15" customHeight="1" x14ac:dyDescent="0.25">
      <c r="A12" s="15">
        <v>40422</v>
      </c>
      <c r="B12" s="7">
        <v>53586.18</v>
      </c>
      <c r="C12" s="5">
        <v>9</v>
      </c>
      <c r="D12" s="7">
        <v>66198.12</v>
      </c>
      <c r="E12" s="7">
        <v>265930.63923376799</v>
      </c>
      <c r="F12" s="7">
        <v>-212344.45923376799</v>
      </c>
      <c r="G12" s="8">
        <v>-0.79849565227083596</v>
      </c>
    </row>
    <row r="13" spans="1:10" ht="15" customHeight="1" x14ac:dyDescent="0.25">
      <c r="A13" s="15">
        <v>40452</v>
      </c>
      <c r="B13" s="7">
        <v>59182.92</v>
      </c>
      <c r="C13" s="5">
        <v>10</v>
      </c>
      <c r="D13" s="7">
        <v>52719.6933333333</v>
      </c>
      <c r="E13" s="7">
        <v>316934.79640507197</v>
      </c>
      <c r="F13" s="7">
        <v>-257751.87640507301</v>
      </c>
      <c r="G13" s="8">
        <v>-0.81326468197465196</v>
      </c>
    </row>
    <row r="14" spans="1:10" ht="15" customHeight="1" x14ac:dyDescent="0.25">
      <c r="A14" s="15">
        <v>40483</v>
      </c>
      <c r="B14" s="7">
        <v>0</v>
      </c>
      <c r="C14" s="5">
        <v>11</v>
      </c>
      <c r="D14" s="7">
        <v>37589.699999999997</v>
      </c>
      <c r="E14" s="7">
        <v>367938.95357637701</v>
      </c>
      <c r="F14" s="7">
        <v>-367938.95357637701</v>
      </c>
      <c r="G14" s="8">
        <v>-1</v>
      </c>
    </row>
    <row r="15" spans="1:10" ht="15" customHeight="1" x14ac:dyDescent="0.25">
      <c r="A15" s="15">
        <v>40513</v>
      </c>
      <c r="B15" s="7">
        <v>325710.57</v>
      </c>
      <c r="C15" s="5">
        <v>12</v>
      </c>
      <c r="D15" s="7">
        <v>128297.83</v>
      </c>
      <c r="E15" s="7">
        <v>418943.110747681</v>
      </c>
      <c r="F15" s="7">
        <v>-93232.540747681196</v>
      </c>
      <c r="G15" s="8">
        <v>-0.222542245846436</v>
      </c>
    </row>
    <row r="16" spans="1:10" ht="15" customHeight="1" x14ac:dyDescent="0.25">
      <c r="A16" s="15">
        <v>40544</v>
      </c>
      <c r="B16" s="7">
        <v>702201.27</v>
      </c>
      <c r="C16" s="5">
        <v>13</v>
      </c>
      <c r="D16" s="7">
        <v>342637.28</v>
      </c>
      <c r="E16" s="7">
        <v>469947.26791898598</v>
      </c>
      <c r="F16" s="7">
        <v>232254.00208101401</v>
      </c>
      <c r="G16" s="8">
        <v>0.49421289990572498</v>
      </c>
    </row>
    <row r="17" spans="1:10" ht="15" customHeight="1" x14ac:dyDescent="0.25">
      <c r="A17" s="15">
        <v>40575</v>
      </c>
      <c r="B17" s="7">
        <v>576737.18999999994</v>
      </c>
      <c r="C17" s="5">
        <v>14</v>
      </c>
      <c r="D17" s="7">
        <v>534883.01</v>
      </c>
      <c r="E17" s="7">
        <v>520951.42509029002</v>
      </c>
      <c r="F17" s="7">
        <v>55785.76490971</v>
      </c>
      <c r="G17" s="8">
        <v>0.10708438872211801</v>
      </c>
    </row>
    <row r="18" spans="1:10" ht="15" customHeight="1" x14ac:dyDescent="0.25">
      <c r="A18" s="15">
        <v>40603</v>
      </c>
      <c r="B18" s="7">
        <v>758658.51</v>
      </c>
      <c r="C18" s="5">
        <v>15</v>
      </c>
      <c r="D18" s="7">
        <v>679198.99</v>
      </c>
      <c r="E18" s="7">
        <v>571955.58226159401</v>
      </c>
      <c r="F18" s="7">
        <v>186702.927738406</v>
      </c>
      <c r="G18" s="8">
        <v>0.32642906814573902</v>
      </c>
    </row>
    <row r="19" spans="1:10" ht="15" customHeight="1" x14ac:dyDescent="0.25">
      <c r="A19" s="15">
        <v>40634</v>
      </c>
      <c r="B19" s="7">
        <v>707968.04099999997</v>
      </c>
      <c r="C19" s="5">
        <v>16</v>
      </c>
      <c r="D19" s="7">
        <v>681121.24699999997</v>
      </c>
      <c r="E19" s="7">
        <v>622959.73943289905</v>
      </c>
      <c r="F19" s="7">
        <v>85008.3015671014</v>
      </c>
      <c r="G19" s="8">
        <v>0.13645874072775099</v>
      </c>
    </row>
    <row r="20" spans="1:10" ht="15" customHeight="1" x14ac:dyDescent="0.25">
      <c r="A20" s="15">
        <v>40664</v>
      </c>
      <c r="B20" s="7">
        <v>826693.54</v>
      </c>
      <c r="C20" s="5">
        <v>17</v>
      </c>
      <c r="D20" s="7">
        <v>764440.03033333295</v>
      </c>
      <c r="E20" s="7">
        <v>673963.89660420304</v>
      </c>
      <c r="F20" s="7">
        <v>152729.643395797</v>
      </c>
      <c r="G20" s="8">
        <v>0.22661398357587401</v>
      </c>
    </row>
    <row r="21" spans="1:10" ht="15" customHeight="1" x14ac:dyDescent="0.25">
      <c r="A21" s="15">
        <v>40695</v>
      </c>
      <c r="B21" s="7">
        <v>788024.86</v>
      </c>
      <c r="C21" s="5">
        <v>18</v>
      </c>
      <c r="D21" s="7">
        <v>774228.81366666697</v>
      </c>
      <c r="E21" s="7">
        <v>724968.05377550703</v>
      </c>
      <c r="F21" s="7">
        <v>63056.806224492699</v>
      </c>
      <c r="G21" s="8">
        <v>8.69787377472757E-2</v>
      </c>
    </row>
    <row r="22" spans="1:10" ht="15" customHeight="1" x14ac:dyDescent="0.25">
      <c r="A22" s="15">
        <v>40725</v>
      </c>
      <c r="B22" s="7">
        <v>906494.27099999995</v>
      </c>
      <c r="C22" s="5">
        <v>19</v>
      </c>
      <c r="D22" s="7">
        <v>840404.22366666701</v>
      </c>
      <c r="E22" s="7">
        <v>775972.21094681195</v>
      </c>
      <c r="F22" s="7">
        <v>130522.060053188</v>
      </c>
      <c r="G22" s="8">
        <v>0.16820455450837599</v>
      </c>
      <c r="I22" s="16" t="s">
        <v>8024</v>
      </c>
    </row>
    <row r="23" spans="1:10" ht="15" customHeight="1" x14ac:dyDescent="0.25">
      <c r="A23" s="15">
        <v>40756</v>
      </c>
      <c r="B23" s="7">
        <v>755231.15</v>
      </c>
      <c r="C23" s="5">
        <v>20</v>
      </c>
      <c r="D23" s="7">
        <v>816583.42700000003</v>
      </c>
      <c r="E23" s="7">
        <v>826976.36811811605</v>
      </c>
      <c r="F23" s="7">
        <v>-71745.218118115896</v>
      </c>
      <c r="G23" s="8">
        <v>-8.6756068110363002E-2</v>
      </c>
      <c r="I23" s="17" t="s">
        <v>8025</v>
      </c>
      <c r="J23" s="17" t="s">
        <v>8026</v>
      </c>
    </row>
    <row r="24" spans="1:10" ht="15" customHeight="1" x14ac:dyDescent="0.25">
      <c r="A24" s="15">
        <v>40787</v>
      </c>
      <c r="B24" s="7">
        <v>1205462.4720000001</v>
      </c>
      <c r="C24" s="5">
        <v>21</v>
      </c>
      <c r="D24" s="7">
        <v>955729.29766666703</v>
      </c>
      <c r="E24" s="7">
        <v>877980.52528942004</v>
      </c>
      <c r="F24" s="7">
        <v>327481.94671058003</v>
      </c>
      <c r="G24" s="8">
        <v>0.37299454518382102</v>
      </c>
      <c r="I24" t="s">
        <v>8027</v>
      </c>
      <c r="J24" s="18">
        <v>431968.30394546699</v>
      </c>
    </row>
    <row r="25" spans="1:10" ht="15" customHeight="1" x14ac:dyDescent="0.25">
      <c r="A25" s="15">
        <v>40817</v>
      </c>
      <c r="B25" s="7">
        <v>1029973.78</v>
      </c>
      <c r="C25" s="5">
        <v>22</v>
      </c>
      <c r="D25" s="7">
        <v>996889.13399999996</v>
      </c>
      <c r="E25" s="7">
        <v>928984.68246072496</v>
      </c>
      <c r="F25" s="7">
        <v>100989.097539275</v>
      </c>
      <c r="G25" s="8">
        <v>0.108709109467523</v>
      </c>
      <c r="I25" t="s">
        <v>8028</v>
      </c>
      <c r="J25" s="18">
        <v>-610521.79975460202</v>
      </c>
    </row>
    <row r="26" spans="1:10" ht="15" customHeight="1" x14ac:dyDescent="0.25">
      <c r="A26" s="15">
        <v>40848</v>
      </c>
      <c r="B26" s="7">
        <v>1340417.58</v>
      </c>
      <c r="C26" s="5">
        <v>23</v>
      </c>
      <c r="D26" s="7">
        <v>1191951.2773333299</v>
      </c>
      <c r="E26" s="7">
        <v>979988.83963202895</v>
      </c>
      <c r="F26" s="7">
        <v>360428.74036797101</v>
      </c>
      <c r="G26" s="8">
        <v>0.36778861737171098</v>
      </c>
      <c r="I26" t="s">
        <v>8029</v>
      </c>
      <c r="J26" s="19">
        <v>0.87017326978161602</v>
      </c>
    </row>
    <row r="27" spans="1:10" ht="15" customHeight="1" x14ac:dyDescent="0.25">
      <c r="A27" s="15">
        <v>40878</v>
      </c>
      <c r="B27" s="7">
        <v>245075.74</v>
      </c>
      <c r="C27" s="5">
        <v>24</v>
      </c>
      <c r="D27" s="7">
        <v>871822.36666666705</v>
      </c>
      <c r="E27" s="7">
        <v>1030992.99680333</v>
      </c>
      <c r="F27" s="7">
        <v>-785917.25680333399</v>
      </c>
      <c r="G27" s="8">
        <v>-0.76229155701360296</v>
      </c>
      <c r="I27" t="s">
        <v>8030</v>
      </c>
      <c r="J27" s="19">
        <v>4.9517288592176301E-3</v>
      </c>
    </row>
    <row r="28" spans="1:10" ht="15" customHeight="1" x14ac:dyDescent="0.25">
      <c r="I28" t="s">
        <v>8031</v>
      </c>
      <c r="J28" s="18">
        <v>99860.445671766603</v>
      </c>
    </row>
    <row r="30" spans="1:10" ht="45" customHeight="1" x14ac:dyDescent="0.25">
      <c r="A30" s="4" t="s">
        <v>8032</v>
      </c>
      <c r="B30" s="10" t="s">
        <v>8033</v>
      </c>
      <c r="I30" t="s">
        <v>72</v>
      </c>
      <c r="J30" s="20" t="s">
        <v>8034</v>
      </c>
    </row>
    <row r="33" spans="1:7" ht="15" customHeight="1" x14ac:dyDescent="0.25">
      <c r="A33" s="9" t="s">
        <v>8035</v>
      </c>
      <c r="B33" s="9" t="s">
        <v>22</v>
      </c>
      <c r="C33" s="9" t="s">
        <v>8012</v>
      </c>
      <c r="D33" s="9" t="s">
        <v>8036</v>
      </c>
      <c r="E33" s="9" t="s">
        <v>8037</v>
      </c>
      <c r="F33" s="9" t="s">
        <v>8038</v>
      </c>
      <c r="G33" s="9" t="s">
        <v>8014</v>
      </c>
    </row>
    <row r="34" spans="1:7" ht="15" customHeight="1" x14ac:dyDescent="0.25">
      <c r="A34" s="10" t="s">
        <v>8039</v>
      </c>
      <c r="B34" s="7">
        <v>153652.88</v>
      </c>
      <c r="C34" s="5">
        <v>1</v>
      </c>
      <c r="D34" s="5">
        <v>1</v>
      </c>
      <c r="E34" s="21">
        <v>0.82171731655177704</v>
      </c>
      <c r="F34" s="7">
        <v>186989.950077702</v>
      </c>
      <c r="G34" s="7">
        <v>-178553.495809135</v>
      </c>
    </row>
    <row r="35" spans="1:7" ht="15" customHeight="1" x14ac:dyDescent="0.25">
      <c r="A35" s="10" t="s">
        <v>8040</v>
      </c>
      <c r="B35" s="7">
        <v>86605.41</v>
      </c>
      <c r="C35" s="5">
        <v>2</v>
      </c>
      <c r="D35" s="5">
        <v>2</v>
      </c>
      <c r="E35" s="21">
        <v>0.90348292988761003</v>
      </c>
      <c r="F35" s="7">
        <v>95857.273153764501</v>
      </c>
      <c r="G35" s="7">
        <v>253414.80813633199</v>
      </c>
    </row>
    <row r="36" spans="1:7" ht="15" customHeight="1" x14ac:dyDescent="0.25">
      <c r="A36" s="10" t="s">
        <v>8041</v>
      </c>
      <c r="B36" s="7">
        <v>198594.36</v>
      </c>
      <c r="C36" s="5">
        <v>3</v>
      </c>
      <c r="D36" s="5">
        <v>3</v>
      </c>
      <c r="E36" s="21">
        <v>1.1496664180340801</v>
      </c>
      <c r="F36" s="7">
        <v>172740.85498608701</v>
      </c>
      <c r="G36" s="7">
        <v>685383.11208179896</v>
      </c>
    </row>
    <row r="37" spans="1:7" ht="15" customHeight="1" x14ac:dyDescent="0.25">
      <c r="A37" s="10" t="s">
        <v>8042</v>
      </c>
      <c r="B37" s="7">
        <v>384893.49</v>
      </c>
      <c r="C37" s="5">
        <v>4</v>
      </c>
      <c r="D37" s="5">
        <v>4</v>
      </c>
      <c r="E37" s="21">
        <v>1.1251333355265301</v>
      </c>
      <c r="F37" s="7">
        <v>342087.00235504197</v>
      </c>
      <c r="G37" s="7">
        <v>1117351.41602727</v>
      </c>
    </row>
    <row r="38" spans="1:7" ht="15" customHeight="1" x14ac:dyDescent="0.25">
      <c r="A38" s="10" t="s">
        <v>8043</v>
      </c>
      <c r="B38" s="7">
        <v>2037596.97</v>
      </c>
      <c r="C38" s="5">
        <v>5</v>
      </c>
      <c r="D38" s="5">
        <v>1</v>
      </c>
      <c r="E38" s="21">
        <v>0.82171731655177704</v>
      </c>
      <c r="F38" s="7">
        <v>2479681.1859223</v>
      </c>
      <c r="G38" s="7">
        <v>1549319.7199727299</v>
      </c>
    </row>
    <row r="39" spans="1:7" ht="15" customHeight="1" x14ac:dyDescent="0.25">
      <c r="A39" s="10" t="s">
        <v>8044</v>
      </c>
      <c r="B39" s="7">
        <v>2322686.4410000001</v>
      </c>
      <c r="C39" s="5">
        <v>6</v>
      </c>
      <c r="D39" s="5">
        <v>2</v>
      </c>
      <c r="E39" s="21">
        <v>0.90348292988761003</v>
      </c>
      <c r="F39" s="7">
        <v>2570813.8628462399</v>
      </c>
      <c r="G39" s="7">
        <v>1981288.0239182001</v>
      </c>
    </row>
    <row r="40" spans="1:7" ht="15" customHeight="1" x14ac:dyDescent="0.25">
      <c r="A40" s="10" t="s">
        <v>8045</v>
      </c>
      <c r="B40" s="7">
        <v>2867187.8930000002</v>
      </c>
      <c r="C40" s="5">
        <v>7</v>
      </c>
      <c r="D40" s="5">
        <v>3</v>
      </c>
      <c r="E40" s="21">
        <v>1.1496664180340801</v>
      </c>
      <c r="F40" s="7">
        <v>2493930.2810139102</v>
      </c>
      <c r="G40" s="7">
        <v>2413256.32786367</v>
      </c>
    </row>
    <row r="41" spans="1:7" ht="15" customHeight="1" x14ac:dyDescent="0.25">
      <c r="A41" s="10" t="s">
        <v>8046</v>
      </c>
      <c r="B41" s="7">
        <v>2615467.1</v>
      </c>
      <c r="C41" s="5">
        <v>8</v>
      </c>
      <c r="D41" s="5">
        <v>4</v>
      </c>
      <c r="E41" s="21">
        <v>1.1251333355265301</v>
      </c>
      <c r="F41" s="7">
        <v>2324584.1336449599</v>
      </c>
      <c r="G41" s="7">
        <v>2845224.6318091401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tabSelected="1" zoomScaleNormal="100" workbookViewId="0">
      <selection sqref="A1:B1"/>
    </sheetView>
  </sheetViews>
  <sheetFormatPr defaultColWidth="8.7109375" defaultRowHeight="15" customHeight="1" x14ac:dyDescent="0.25"/>
  <cols>
    <col min="1" max="1" width="28.7109375" customWidth="1"/>
    <col min="2" max="2" width="100.7109375" customWidth="1"/>
  </cols>
  <sheetData>
    <row r="1" spans="1:2" ht="21.75" customHeight="1" x14ac:dyDescent="0.25">
      <c r="A1" s="2" t="s">
        <v>8047</v>
      </c>
      <c r="B1" s="2"/>
    </row>
    <row r="2" spans="1:2" ht="15" customHeight="1" x14ac:dyDescent="0.25">
      <c r="A2" s="4" t="s">
        <v>8048</v>
      </c>
      <c r="B2" s="6" t="s">
        <v>8049</v>
      </c>
    </row>
    <row r="3" spans="1:2" ht="27.75" customHeight="1" x14ac:dyDescent="0.25">
      <c r="A3" s="4" t="s">
        <v>8050</v>
      </c>
      <c r="B3" s="6" t="s">
        <v>8051</v>
      </c>
    </row>
    <row r="4" spans="1:2" ht="27.75" customHeight="1" x14ac:dyDescent="0.25">
      <c r="A4" s="4" t="s">
        <v>8052</v>
      </c>
      <c r="B4" s="6" t="s">
        <v>8053</v>
      </c>
    </row>
    <row r="5" spans="1:2" ht="27.75" customHeight="1" x14ac:dyDescent="0.25">
      <c r="A5" s="4" t="s">
        <v>8054</v>
      </c>
      <c r="B5" s="6" t="s">
        <v>8055</v>
      </c>
    </row>
    <row r="6" spans="1:2" ht="27.75" customHeight="1" x14ac:dyDescent="0.25">
      <c r="A6" s="4" t="s">
        <v>8056</v>
      </c>
      <c r="B6" s="6" t="s">
        <v>8057</v>
      </c>
    </row>
    <row r="7" spans="1:2" ht="15" customHeight="1" x14ac:dyDescent="0.25">
      <c r="A7" s="4" t="s">
        <v>8058</v>
      </c>
      <c r="B7" s="6" t="s">
        <v>8059</v>
      </c>
    </row>
    <row r="8" spans="1:2" ht="15" customHeight="1" x14ac:dyDescent="0.25">
      <c r="A8" s="4" t="s">
        <v>8058</v>
      </c>
      <c r="B8" s="6" t="s">
        <v>8060</v>
      </c>
    </row>
    <row r="9" spans="1:2" ht="27.75" customHeight="1" x14ac:dyDescent="0.25">
      <c r="A9" s="4" t="s">
        <v>8061</v>
      </c>
      <c r="B9" s="6" t="s">
        <v>8062</v>
      </c>
    </row>
    <row r="10" spans="1:2" ht="27.75" customHeight="1" x14ac:dyDescent="0.25">
      <c r="A10" s="4" t="s">
        <v>8063</v>
      </c>
      <c r="B10" s="6" t="s">
        <v>8064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Data_Profile</vt:lpstr>
      <vt:lpstr>Hourly_Pivot_AOV</vt:lpstr>
      <vt:lpstr>Pareto_Analysis</vt:lpstr>
      <vt:lpstr>TimeSeries_Forecast</vt:lpstr>
      <vt:lpstr>Submission_Notes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dcterms:modified xsi:type="dcterms:W3CDTF">2026-08-08T11:28:12Z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2026-08-08T11:18:02Z</dcterms:created>
  <dc:creator>Prepared from uploaded Kaggle dataset</dc:creator>
  <dc:description/>
  <dc:language>en-US</dc:language>
  <cp:lastModifiedBy>Prepared from uploaded Kaggle dataset</cp:lastModifiedBy>
  <dcterms:modified xsi:type="dcterms:W3CDTF">2026-08-08T11:18:38Z</dcterms:modified>
  <cp:revision>0</cp:revision>
  <dc:subject/>
  <dc:title>Online Retail Advanced Excel Analysis</dc:title>
</cp:coreProperties>
</file>