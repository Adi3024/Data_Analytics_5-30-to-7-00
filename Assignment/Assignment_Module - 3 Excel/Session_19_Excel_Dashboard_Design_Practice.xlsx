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" sheetId="2" state="visible" r:id="rId4"/>
    <sheet name="Cuisine_Summary" sheetId="3" state="visible" r:id="rId5"/>
    <sheet name="Monthly_Orders" sheetId="4" state="visible" r:id="rId6"/>
    <sheet name="Waterfall_Data" sheetId="5" state="visible" r:id="rId7"/>
    <sheet name="Waterfall_Chart_Data" sheetId="6" state="hidden" r:id="rId8"/>
    <sheet name="Dashboard_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<sst xmlns="http://schemas.openxmlformats.org/spreadsheetml/2006/main" count="131" uniqueCount="86">
  <si>
    <t xml:space="preserve">ZOMATO-STYLE FOOD DELIVERY ANALYTICS</t>
  </si>
  <si>
    <t xml:space="preserve">Excel Dashboard Design Practice | KPIs • Trends • Cuisine Mix • Monthly Change • Insights</t>
  </si>
  <si>
    <t xml:space="preserve">MIN ORDER VALUE</t>
  </si>
  <si>
    <t xml:space="preserve">MAX ORDER VALUE</t>
  </si>
  <si>
    <t xml:space="preserve">AVERAGE ORDER VALUE</t>
  </si>
  <si>
    <t xml:space="preserve">TRENDS – MONTHLY ORDER TOTALS</t>
  </si>
  <si>
    <t xml:space="preserve">INSIGHTS</t>
  </si>
  <si>
    <t xml:space="preserve">• Track average order value to monitor customer spending.</t>
  </si>
  <si>
    <t xml:space="preserve">• Compare cuisine mix to understand demand patterns.</t>
  </si>
  <si>
    <t xml:space="preserve">• Use month-on-month changes to identify growth or decline.</t>
  </si>
  <si>
    <t xml:space="preserve">• Keep cards and charts aligned with consistent spacing.</t>
  </si>
  <si>
    <t xml:space="preserve">OrderID</t>
  </si>
  <si>
    <t xml:space="preserve">Cuisine</t>
  </si>
  <si>
    <t xml:space="preserve">OrderAmount</t>
  </si>
  <si>
    <t xml:space="preserve">City</t>
  </si>
  <si>
    <t xml:space="preserve">Date</t>
  </si>
  <si>
    <t xml:space="preserve">O001</t>
  </si>
  <si>
    <t xml:space="preserve">Indian</t>
  </si>
  <si>
    <t xml:space="preserve">Rajkot</t>
  </si>
  <si>
    <t xml:space="preserve">01-08-2026</t>
  </si>
  <si>
    <t xml:space="preserve">O002</t>
  </si>
  <si>
    <t xml:space="preserve">Chinese</t>
  </si>
  <si>
    <t xml:space="preserve">Ahmedabad</t>
  </si>
  <si>
    <t xml:space="preserve">02-08-2026</t>
  </si>
  <si>
    <t xml:space="preserve">O003</t>
  </si>
  <si>
    <t xml:space="preserve">Italian</t>
  </si>
  <si>
    <t xml:space="preserve">Surat</t>
  </si>
  <si>
    <t xml:space="preserve">03-08-2026</t>
  </si>
  <si>
    <t xml:space="preserve">O004</t>
  </si>
  <si>
    <t xml:space="preserve">04-08-2026</t>
  </si>
  <si>
    <t xml:space="preserve">O005</t>
  </si>
  <si>
    <t xml:space="preserve">05-08-2026</t>
  </si>
  <si>
    <t xml:space="preserve">O006</t>
  </si>
  <si>
    <t xml:space="preserve">06-08-2026</t>
  </si>
  <si>
    <t xml:space="preserve">O007</t>
  </si>
  <si>
    <t xml:space="preserve">07-08-2026</t>
  </si>
  <si>
    <t xml:space="preserve">O008</t>
  </si>
  <si>
    <t xml:space="preserve">08-08-2026</t>
  </si>
  <si>
    <t xml:space="preserve">O009</t>
  </si>
  <si>
    <t xml:space="preserve">09-08-2026</t>
  </si>
  <si>
    <t xml:space="preserve">O010</t>
  </si>
  <si>
    <t xml:space="preserve">10-08-2026</t>
  </si>
  <si>
    <t xml:space="preserve">O011</t>
  </si>
  <si>
    <t xml:space="preserve">11-08-2026</t>
  </si>
  <si>
    <t xml:space="preserve">O012</t>
  </si>
  <si>
    <t xml:space="preserve">12-08-2026</t>
  </si>
  <si>
    <t xml:space="preserve">O013</t>
  </si>
  <si>
    <t xml:space="preserve">13-08-2026</t>
  </si>
  <si>
    <t xml:space="preserve">O014</t>
  </si>
  <si>
    <t xml:space="preserve">14-08-2026</t>
  </si>
  <si>
    <t xml:space="preserve">O015</t>
  </si>
  <si>
    <t xml:space="preserve">15-08-2026</t>
  </si>
  <si>
    <t xml:space="preserve">Order Count</t>
  </si>
  <si>
    <t xml:space="preserve">Month</t>
  </si>
  <si>
    <t xml:space="preserve">Total Orders</t>
  </si>
  <si>
    <t xml:space="preserve">Change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</si>
  <si>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</si>
  <si>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</si>
  <si>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</si>
  <si>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</si>
  <si>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</si>
  <si>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</si>
  <si>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Increase</t>
  </si>
  <si>
    <t xml:space="preserve">Decrease</t>
  </si>
  <si>
    <t xml:space="preserve">Base</t>
  </si>
  <si>
    <t xml:space="preserve">SESSION 19 – Dashboard Design Practice</t>
  </si>
  <si>
    <t xml:space="preserve">Principle</t>
  </si>
  <si>
    <t xml:space="preserve">Applied example</t>
  </si>
  <si>
    <t xml:space="preserve">Header</t>
  </si>
  <si>
    <t xml:space="preserve">Top section contains dashboard title and subtitle.</t>
  </si>
  <si>
    <t xml:space="preserve">KPI Cards</t>
  </si>
  <si>
    <t xml:space="preserve">Min, Max and Average order value are formula-driven.</t>
  </si>
  <si>
    <t xml:space="preserve">Trends</t>
  </si>
  <si>
    <t xml:space="preserve">Monthly order totals are shown in a chart.</t>
  </si>
  <si>
    <t xml:space="preserve">Donut</t>
  </si>
  <si>
    <t xml:space="preserve">Cuisine mix is summarized from the Orders sheet.</t>
  </si>
  <si>
    <t xml:space="preserve">Waterfall</t>
  </si>
  <si>
    <t xml:space="preserve">Month-on-month changes are prepared in Waterfall_Data and visualized on Dashboard.</t>
  </si>
  <si>
    <t xml:space="preserve">Alignment</t>
  </si>
  <si>
    <t xml:space="preserve">Cards and charts are placed in consistent grid positions.</t>
  </si>
  <si>
    <t xml:space="preserve">Spacing</t>
  </si>
  <si>
    <t xml:space="preserve">Sections have dedicated rows and columns with white space.</t>
  </si>
  <si>
    <t xml:space="preserve">Color Theory</t>
  </si>
  <si>
    <t xml:space="preserve">Dark neutral base + pink/purple/green accents for hierarchy.</t>
  </si>
  <si>
    <t xml:space="preserve">Practice</t>
  </si>
  <si>
    <t xml:space="preserve">Change the sample Orders data and refresh/recalculate formulas to explore the dashboard.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</si>
</sst>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1F1F"/>
      <name val="Cambria"/>
      <family val="0"/>
      <charset val="1"/>
    </font>
    <font>
      <sz val="10"/>
      <color rgb="FF1F1F1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1306C"/>
        <bgColor rgb="FFD9534F"/>
      </patternFill>
    </fill>
    <fill>
      <patternFill patternType="solid">
        <fgColor rgb="FF833AB4"/>
        <bgColor rgb="FF333399"/>
      </patternFill>
    </fill>
    <fill>
      <patternFill patternType="solid">
        <fgColor rgb="FF2EAD69"/>
        <bgColor rgb="FF33CCCC"/>
      </patternFill>
    </fill>
    <fill>
      <patternFill patternType="solid">
        <fgColor rgb="FFF5F5F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E0"/>
      </left>
      <right style="thin">
        <color rgb="FFD9D9E0"/>
      </right>
      <top style="thin">
        <color rgb="FFD9D9E0"/>
      </top>
      <bottom style="thin">
        <color rgb="FFD9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833AB4"/>
      <rgbColor rgb="FFF9F9F9"/>
      <rgbColor rgb="FFF5F5F7"/>
      <rgbColor rgb="FF660066"/>
      <rgbColor rgb="FFFF8080"/>
      <rgbColor rgb="FF0066CC"/>
      <rgbColor rgb="FFD9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D9534F"/>
      <rgbColor rgb="FF666666"/>
      <rgbColor rgb="FF969696"/>
      <rgbColor rgb="FF003366"/>
      <rgbColor rgb="FF2EAD69"/>
      <rgbColor rgb="FF003300"/>
      <rgbColor rgb="FF333300"/>
      <rgbColor rgb="FFE1306C"/>
      <rgbColor rgb="FFC0504D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Cuisine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Cuisine_Summary!B1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Cuisine_Summary!$A$2:$A$4</c:f>
              <c:strCache>
                <c:ptCount val="3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</c:strCache>
            </c:strRef>
          </c:cat>
          <c:val>
            <c:numRef>
              <c:f>Cuisine_Summary!$B$2:$B$4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Total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Monthly_Orders!B1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Monthly_Orders!$A$2:$A$7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Monthly_Orders!$B$2:$B$7</c:f>
              <c:numCache>
                <c:formatCode>General</c:formatCode>
                <c:ptCount val="6"/>
                <c:pt idx="0">
                  <c:v>820</c:v>
                </c:pt>
                <c:pt idx="1">
                  <c:v>910</c:v>
                </c:pt>
                <c:pt idx="2">
                  <c:v>870</c:v>
                </c:pt>
                <c:pt idx="3">
                  <c:v>1030</c:v>
                </c:pt>
                <c:pt idx="4">
                  <c:v>1120</c:v>
                </c:pt>
                <c:pt idx="5">
                  <c:v>1250</c:v>
                </c:pt>
              </c:numCache>
            </c:numRef>
          </c:val>
        </c:ser>
        <c:gapWidth val="150"/>
        <c:overlap val="0"/>
        <c:axId val="74189969"/>
        <c:axId val="68802228"/>
      </c:barChart>
      <c:catAx>
        <c:axId val="74189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02228"/>
        <c:crosses val="autoZero"/>
        <c:auto val="1"/>
        <c:lblAlgn val="ctr"/>
        <c:lblOffset val="100"/>
        <c:noMultiLvlLbl val="0"/>
      </c:catAx>
      <c:valAx>
        <c:axId val="68802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89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Month-on-Month Order Change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Waterfall_Chart_Data!B1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Waterfall_Chart_Data!$A$2:$A$7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Waterfall_Chart_Data!$B$2:$B$7</c:f>
              <c:numCache>
                <c:formatCode>General</c:formatCode>
                <c:ptCount val="6"/>
                <c:pt idx="0">
                  <c:v>0</c:v>
                </c:pt>
                <c:pt idx="1">
                  <c:v>820</c:v>
                </c:pt>
                <c:pt idx="2">
                  <c:v>870</c:v>
                </c:pt>
                <c:pt idx="3">
                  <c:v>870</c:v>
                </c:pt>
                <c:pt idx="4">
                  <c:v>1030</c:v>
                </c:pt>
                <c:pt idx="5">
                  <c:v>1120</c:v>
                </c:pt>
              </c:numCache>
            </c:numRef>
          </c:val>
        </c:ser>
        <c:ser>
          <c:idx val="1"/>
          <c:order val="1"/>
          <c:tx>
            <c:strRef>
              <c:f>Waterfall_Chart_Data!C1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ad69"/>
            </a:solidFill>
            <a:ln w="0">
              <a:solidFill>
                <a:srgbClr val="2ead69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Waterfall_Chart_Data!$A$2:$A$7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Waterfall_Chart_Data!$C$2:$C$7</c:f>
              <c:numCache>
                <c:formatCode>General</c:formatCode>
                <c:ptCount val="6"/>
                <c:pt idx="0">
                  <c:v>820</c:v>
                </c:pt>
                <c:pt idx="1">
                  <c:v>90</c:v>
                </c:pt>
                <c:pt idx="2">
                  <c:v>0</c:v>
                </c:pt>
                <c:pt idx="3">
                  <c:v>160</c:v>
                </c:pt>
                <c:pt idx="4">
                  <c:v>90</c:v>
                </c:pt>
                <c:pt idx="5">
                  <c:v>130</c:v>
                </c:pt>
              </c:numCache>
            </c:numRef>
          </c:val>
        </c:ser>
        <c:ser>
          <c:idx val="2"/>
          <c:order val="2"/>
          <c:tx>
            <c:strRef>
              <c:f>Waterfall_Chart_Data!D1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d9534f"/>
            </a:solidFill>
            <a:ln w="0">
              <a:solidFill>
                <a:srgbClr val="d9534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Waterfall_Chart_Data!$A$2:$A$7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Waterfall_Chart_Data!$D$2:$D$7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69143300"/>
        <c:axId val="87896392"/>
      </c:barChart>
      <c:catAx>
        <c:axId val="691433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96392"/>
        <c:crosses val="autoZero"/>
        <c:auto val="1"/>
        <c:lblAlgn val="ctr"/>
        <c:lblOffset val="100"/>
        <c:noMultiLvlLbl val="0"/>
      </c:catAx>
      <c:valAx>
        <c:axId val="87896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43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653760</xdr:colOff>
      <xdr:row>20</xdr:row>
      <xdr:rowOff>135720</xdr:rowOff>
    </xdr:to>
    <xdr:graphicFrame>
      <xdr:nvGraphicFramePr>
        <xdr:cNvPr id="0" name="Chart 1"/>
        <xdr:cNvGraphicFramePr/>
      </xdr:nvGraphicFramePr>
      <xdr:xfrm>
        <a:off x="916200" y="3390840"/>
        <a:ext cx="43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457200</xdr:colOff>
      <xdr:row>27</xdr:row>
      <xdr:rowOff>173880</xdr:rowOff>
    </xdr:to>
    <xdr:graphicFrame>
      <xdr:nvGraphicFramePr>
        <xdr:cNvPr id="1" name="Chart 2"/>
        <xdr:cNvGraphicFramePr/>
      </xdr:nvGraphicFramePr>
      <xdr:xfrm>
        <a:off x="916200" y="5219640"/>
        <a:ext cx="50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457560</xdr:colOff>
      <xdr:row>27</xdr:row>
      <xdr:rowOff>173880</xdr:rowOff>
    </xdr:to>
    <xdr:graphicFrame>
      <xdr:nvGraphicFramePr>
        <xdr:cNvPr id="2" name="Chart 3"/>
        <xdr:cNvGraphicFramePr/>
      </xdr:nvGraphicFramePr>
      <xdr:xfrm>
        <a:off x="8246880" y="5219640"/>
        <a:ext cx="50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E16" headerRowCount="1" totalsRowCount="0" totalsRowShown="0">
  <autoFilter ref="A1:E16"/>
  <tableColumns count="5">
    <tableColumn id="1" name="OrderID"/>
    <tableColumn id="2" name="Cuisine"/>
    <tableColumn id="3" name="OrderAmount"/>
    <tableColumn id="4" name="City"/>
    <tableColumn id="5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0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" hidden="false" customHeight="true" outlineLevel="0" collapsed="false">
      <c r="A4" s="2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24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24" hidden="false" customHeight="true" outlineLevel="0" collapsed="false">
      <c r="A6" s="2"/>
      <c r="B6" s="5" t="s">
        <v>2</v>
      </c>
      <c r="C6" s="5"/>
      <c r="D6" s="5"/>
      <c r="E6" s="5"/>
      <c r="F6" s="6" t="s">
        <v>3</v>
      </c>
      <c r="G6" s="6"/>
      <c r="H6" s="6"/>
      <c r="I6" s="6"/>
      <c r="J6" s="7" t="s">
        <v>4</v>
      </c>
      <c r="K6" s="7"/>
      <c r="L6" s="7"/>
      <c r="M6" s="7"/>
      <c r="N6" s="2"/>
    </row>
    <row r="7" customFormat="false" ht="24" hidden="false" customHeight="true" outlineLevel="0" collapsed="false">
      <c r="A7" s="2"/>
      <c r="B7" s="5"/>
      <c r="C7" s="5"/>
      <c r="D7" s="5"/>
      <c r="E7" s="5"/>
      <c r="F7" s="6"/>
      <c r="G7" s="6"/>
      <c r="H7" s="6"/>
      <c r="I7" s="6"/>
      <c r="J7" s="7"/>
      <c r="K7" s="7"/>
      <c r="L7" s="7"/>
      <c r="M7" s="7"/>
      <c r="N7" s="2"/>
    </row>
    <row r="8" customFormat="false" ht="24" hidden="false" customHeight="true" outlineLevel="0" collapsed="false">
      <c r="A8" s="2"/>
      <c r="B8" s="8" t="n">
        <f aca="false">MIN(Orders!C2:C16)</f>
        <v>250</v>
      </c>
      <c r="C8" s="8"/>
      <c r="D8" s="8"/>
      <c r="E8" s="8"/>
      <c r="F8" s="9" t="n">
        <f aca="false">MAX(Orders!C2:C16)</f>
        <v>900</v>
      </c>
      <c r="G8" s="9"/>
      <c r="H8" s="9"/>
      <c r="I8" s="9"/>
      <c r="J8" s="10" t="n">
        <f aca="false">AVERAGE(Orders!C2:C16)</f>
        <v>553.333333333333</v>
      </c>
      <c r="K8" s="10"/>
      <c r="L8" s="10"/>
      <c r="M8" s="10"/>
      <c r="N8" s="2"/>
    </row>
    <row r="9" customFormat="false" ht="24" hidden="false" customHeight="true" outlineLevel="0" collapsed="false">
      <c r="A9" s="2"/>
      <c r="B9" s="8"/>
      <c r="C9" s="8"/>
      <c r="D9" s="8"/>
      <c r="E9" s="8"/>
      <c r="F9" s="9"/>
      <c r="G9" s="9"/>
      <c r="H9" s="9"/>
      <c r="I9" s="9"/>
      <c r="J9" s="10"/>
      <c r="K9" s="10"/>
      <c r="L9" s="10"/>
      <c r="M9" s="10"/>
      <c r="N9" s="2"/>
    </row>
    <row r="10" customFormat="false" ht="24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24" hidden="false" customHeight="true" outlineLevel="0" collapsed="false">
      <c r="A11" s="2"/>
      <c r="B11" s="11" t="s">
        <v>5</v>
      </c>
      <c r="C11" s="11"/>
      <c r="D11" s="11"/>
      <c r="E11" s="11"/>
      <c r="F11" s="11"/>
      <c r="G11" s="11"/>
      <c r="H11" s="11"/>
      <c r="I11" s="11"/>
      <c r="J11" s="11" t="s">
        <v>6</v>
      </c>
      <c r="K11" s="11"/>
      <c r="L11" s="11"/>
      <c r="M11" s="11"/>
      <c r="N11" s="11"/>
    </row>
    <row r="12" customFormat="false" ht="24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12" t="s">
        <v>7</v>
      </c>
      <c r="K12" s="12"/>
      <c r="L12" s="12"/>
      <c r="M12" s="12"/>
      <c r="N12" s="12"/>
    </row>
    <row r="13" customFormat="false" ht="24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12" t="s">
        <v>8</v>
      </c>
      <c r="K13" s="12"/>
      <c r="L13" s="12"/>
      <c r="M13" s="12"/>
      <c r="N13" s="12"/>
    </row>
    <row r="14" customFormat="false" ht="24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12" t="s">
        <v>9</v>
      </c>
      <c r="K14" s="12"/>
      <c r="L14" s="12"/>
      <c r="M14" s="12"/>
      <c r="N14" s="12"/>
    </row>
    <row r="15" customFormat="false" ht="24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12" t="s">
        <v>10</v>
      </c>
      <c r="K15" s="12"/>
      <c r="L15" s="12"/>
      <c r="M15" s="12"/>
      <c r="N15" s="12"/>
    </row>
    <row r="16" customFormat="false" ht="24" hidden="false" customHeight="true" outlineLevel="0" collapsed="false"/>
    <row r="17" customFormat="false" ht="24" hidden="false" customHeight="true" outlineLevel="0" collapsed="false"/>
    <row r="18" customFormat="false" ht="24" hidden="false" customHeight="true" outlineLevel="0" collapsed="false"/>
    <row r="19" customFormat="false" ht="24" hidden="false" customHeight="true" outlineLevel="0" collapsed="false"/>
    <row r="20" customFormat="false" ht="24" hidden="false" customHeight="true" outlineLevel="0" collapsed="false"/>
    <row r="21" customFormat="false" ht="24" hidden="false" customHeight="true" outlineLevel="0" collapsed="false"/>
    <row r="22" customFormat="false" ht="24" hidden="false" customHeight="true" outlineLevel="0" collapsed="false"/>
    <row r="23" customFormat="false" ht="24" hidden="false" customHeight="true" outlineLevel="0" collapsed="false"/>
    <row r="24" customFormat="false" ht="24" hidden="false" customHeight="true" outlineLevel="0" collapsed="false"/>
  </sheetData>
  <mergeCells count="14">
    <mergeCell ref="B2:N3"/>
    <mergeCell ref="B4:N4"/>
    <mergeCell ref="B6:E7"/>
    <mergeCell ref="F6:I7"/>
    <mergeCell ref="J6:M7"/>
    <mergeCell ref="B8:E9"/>
    <mergeCell ref="F8:I9"/>
    <mergeCell ref="J8:M9"/>
    <mergeCell ref="B11:I11"/>
    <mergeCell ref="J11:N11"/>
    <mergeCell ref="J12:N12"/>
    <mergeCell ref="J13:N13"/>
    <mergeCell ref="J14:N14"/>
    <mergeCell ref="J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5" min="3" style="1" width="15"/>
  </cols>
  <sheetData>
    <row r="1" customFormat="false" ht="27.75" hidden="false" customHeight="true" outlineLevel="0" collapsed="false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</row>
    <row r="2" customFormat="false" ht="15" hidden="false" customHeight="true" outlineLevel="0" collapsed="false">
      <c r="A2" s="2" t="s">
        <v>16</v>
      </c>
      <c r="B2" s="2" t="s">
        <v>17</v>
      </c>
      <c r="C2" s="2" t="n">
        <v>450</v>
      </c>
      <c r="D2" s="2" t="s">
        <v>18</v>
      </c>
      <c r="E2" s="2" t="s">
        <v>19</v>
      </c>
    </row>
    <row r="3" customFormat="false" ht="15" hidden="false" customHeight="true" outlineLevel="0" collapsed="false">
      <c r="A3" s="2" t="s">
        <v>20</v>
      </c>
      <c r="B3" s="2" t="s">
        <v>21</v>
      </c>
      <c r="C3" s="2" t="n">
        <v>620</v>
      </c>
      <c r="D3" s="2" t="s">
        <v>22</v>
      </c>
      <c r="E3" s="2" t="s">
        <v>23</v>
      </c>
    </row>
    <row r="4" customFormat="false" ht="15" hidden="false" customHeight="true" outlineLevel="0" collapsed="false">
      <c r="A4" s="2" t="s">
        <v>24</v>
      </c>
      <c r="B4" s="2" t="s">
        <v>25</v>
      </c>
      <c r="C4" s="2" t="n">
        <v>800</v>
      </c>
      <c r="D4" s="2" t="s">
        <v>26</v>
      </c>
      <c r="E4" s="2" t="s">
        <v>27</v>
      </c>
    </row>
    <row r="5" customFormat="false" ht="15" hidden="false" customHeight="true" outlineLevel="0" collapsed="false">
      <c r="A5" s="2" t="s">
        <v>28</v>
      </c>
      <c r="B5" s="2" t="s">
        <v>17</v>
      </c>
      <c r="C5" s="2" t="n">
        <v>300</v>
      </c>
      <c r="D5" s="2" t="s">
        <v>18</v>
      </c>
      <c r="E5" s="2" t="s">
        <v>29</v>
      </c>
    </row>
    <row r="6" customFormat="false" ht="15" hidden="false" customHeight="true" outlineLevel="0" collapsed="false">
      <c r="A6" s="2" t="s">
        <v>30</v>
      </c>
      <c r="B6" s="2" t="s">
        <v>21</v>
      </c>
      <c r="C6" s="2" t="n">
        <v>550</v>
      </c>
      <c r="D6" s="2" t="s">
        <v>22</v>
      </c>
      <c r="E6" s="2" t="s">
        <v>31</v>
      </c>
    </row>
    <row r="7" customFormat="false" ht="15" hidden="false" customHeight="true" outlineLevel="0" collapsed="false">
      <c r="A7" s="2" t="s">
        <v>32</v>
      </c>
      <c r="B7" s="2" t="s">
        <v>25</v>
      </c>
      <c r="C7" s="2" t="n">
        <v>900</v>
      </c>
      <c r="D7" s="2" t="s">
        <v>26</v>
      </c>
      <c r="E7" s="2" t="s">
        <v>33</v>
      </c>
    </row>
    <row r="8" customFormat="false" ht="15" hidden="false" customHeight="true" outlineLevel="0" collapsed="false">
      <c r="A8" s="2" t="s">
        <v>34</v>
      </c>
      <c r="B8" s="2" t="s">
        <v>17</v>
      </c>
      <c r="C8" s="2" t="n">
        <v>250</v>
      </c>
      <c r="D8" s="2" t="s">
        <v>18</v>
      </c>
      <c r="E8" s="2" t="s">
        <v>35</v>
      </c>
    </row>
    <row r="9" customFormat="false" ht="15" hidden="false" customHeight="true" outlineLevel="0" collapsed="false">
      <c r="A9" s="2" t="s">
        <v>36</v>
      </c>
      <c r="B9" s="2" t="s">
        <v>21</v>
      </c>
      <c r="C9" s="2" t="n">
        <v>700</v>
      </c>
      <c r="D9" s="2" t="s">
        <v>22</v>
      </c>
      <c r="E9" s="2" t="s">
        <v>37</v>
      </c>
    </row>
    <row r="10" customFormat="false" ht="15" hidden="false" customHeight="true" outlineLevel="0" collapsed="false">
      <c r="A10" s="2" t="s">
        <v>38</v>
      </c>
      <c r="B10" s="2" t="s">
        <v>25</v>
      </c>
      <c r="C10" s="2" t="n">
        <v>650</v>
      </c>
      <c r="D10" s="2" t="s">
        <v>26</v>
      </c>
      <c r="E10" s="2" t="s">
        <v>39</v>
      </c>
    </row>
    <row r="11" customFormat="false" ht="15" hidden="false" customHeight="true" outlineLevel="0" collapsed="false">
      <c r="A11" s="2" t="s">
        <v>40</v>
      </c>
      <c r="B11" s="2" t="s">
        <v>17</v>
      </c>
      <c r="C11" s="2" t="n">
        <v>500</v>
      </c>
      <c r="D11" s="2" t="s">
        <v>18</v>
      </c>
      <c r="E11" s="2" t="s">
        <v>41</v>
      </c>
    </row>
    <row r="12" customFormat="false" ht="15" hidden="false" customHeight="true" outlineLevel="0" collapsed="false">
      <c r="A12" s="2" t="s">
        <v>42</v>
      </c>
      <c r="B12" s="2" t="s">
        <v>21</v>
      </c>
      <c r="C12" s="2" t="n">
        <v>400</v>
      </c>
      <c r="D12" s="2" t="s">
        <v>22</v>
      </c>
      <c r="E12" s="2" t="s">
        <v>43</v>
      </c>
    </row>
    <row r="13" customFormat="false" ht="15" hidden="false" customHeight="true" outlineLevel="0" collapsed="false">
      <c r="A13" s="2" t="s">
        <v>44</v>
      </c>
      <c r="B13" s="2" t="s">
        <v>17</v>
      </c>
      <c r="C13" s="2" t="n">
        <v>350</v>
      </c>
      <c r="D13" s="2" t="s">
        <v>18</v>
      </c>
      <c r="E13" s="2" t="s">
        <v>45</v>
      </c>
    </row>
    <row r="14" customFormat="false" ht="15" hidden="false" customHeight="true" outlineLevel="0" collapsed="false">
      <c r="A14" s="2" t="s">
        <v>46</v>
      </c>
      <c r="B14" s="2" t="s">
        <v>25</v>
      </c>
      <c r="C14" s="2" t="n">
        <v>750</v>
      </c>
      <c r="D14" s="2" t="s">
        <v>26</v>
      </c>
      <c r="E14" s="2" t="s">
        <v>47</v>
      </c>
    </row>
    <row r="15" customFormat="false" ht="15" hidden="false" customHeight="true" outlineLevel="0" collapsed="false">
      <c r="A15" s="2" t="s">
        <v>48</v>
      </c>
      <c r="B15" s="2" t="s">
        <v>21</v>
      </c>
      <c r="C15" s="2" t="n">
        <v>480</v>
      </c>
      <c r="D15" s="2" t="s">
        <v>22</v>
      </c>
      <c r="E15" s="2" t="s">
        <v>49</v>
      </c>
    </row>
    <row r="16" customFormat="false" ht="15" hidden="false" customHeight="true" outlineLevel="0" collapsed="false">
      <c r="A16" s="2" t="s">
        <v>50</v>
      </c>
      <c r="B16" s="2" t="s">
        <v>17</v>
      </c>
      <c r="C16" s="2" t="n">
        <v>600</v>
      </c>
      <c r="D16" s="2" t="s">
        <v>18</v>
      </c>
      <c r="E16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5"/>
  </cols>
  <sheetData>
    <row r="1" customFormat="false" ht="15" hidden="false" customHeight="true" outlineLevel="0" collapsed="false">
      <c r="A1" s="13" t="s">
        <v>12</v>
      </c>
      <c r="B1" s="13" t="s">
        <v>52</v>
      </c>
    </row>
    <row r="2" customFormat="false" ht="15" hidden="false" customHeight="true" outlineLevel="0" collapsed="false">
      <c r="A2" s="2" t="s">
        <v>17</v>
      </c>
      <c r="B2" s="2" t="n">
        <f aca="false">COUNTIF(Orders!B2:B16,A2)</f>
        <v>6</v>
      </c>
    </row>
    <row r="3" customFormat="false" ht="15" hidden="false" customHeight="true" outlineLevel="0" collapsed="false">
      <c r="A3" s="2" t="s">
        <v>21</v>
      </c>
      <c r="B3" s="2" t="n">
        <f aca="false">COUNTIF(Orders!B2:B16,A3)</f>
        <v>5</v>
      </c>
    </row>
    <row r="4" customFormat="false" ht="15" hidden="false" customHeight="true" outlineLevel="0" collapsed="false">
      <c r="A4" s="2" t="s">
        <v>25</v>
      </c>
      <c r="B4" s="2" t="n">
        <f aca="false">COUNTIF(Orders!B2:B16,A4)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"/>
    <col collapsed="false" customWidth="true" hidden="false" outlineLevel="0" max="3" min="3" style="1" width="15"/>
  </cols>
  <sheetData>
    <row r="1" customFormat="false" ht="15" hidden="false" customHeight="true" outlineLevel="0" collapsed="false">
      <c r="A1" s="13" t="s">
        <v>53</v>
      </c>
      <c r="B1" s="13" t="s">
        <v>54</v>
      </c>
      <c r="C1" s="13" t="s">
        <v>55</v>
      </c>
    </row>
    <row r="2" customFormat="false" ht="15" hidden="false" customHeight="true" outlineLevel="0" collapsed="false">
      <c r="A2" s="2" t="s">
        <v>56</v>
      </c>
      <c r="B2" s="2" t="n">
        <v>820</v>
      </c>
      <c r="C2" s="2"/>
    </row>
    <row r="3" customFormat="false" ht="15" hidden="false" customHeight="true" outlineLevel="0" collapsed="false">
      <c r="A3" s="2" t="s">
        <v>57</v>
      </c>
      <c r="B3" s="2" t="n">
        <v>910</v>
      </c>
      <c r="C3" s="2" t="n">
        <f aca="false">B3-B2</f>
        <v>90</v>
      </c>
    </row>
    <row r="4" customFormat="false" ht="15" hidden="false" customHeight="true" outlineLevel="0" collapsed="false">
      <c r="A4" s="2" t="s">
        <v>58</v>
      </c>
      <c r="B4" s="2" t="n">
        <v>870</v>
      </c>
      <c r="C4" s="2" t="n">
        <f aca="false">B4-B3</f>
        <v>-40</v>
      </c>
    </row>
    <row r="5" customFormat="false" ht="15" hidden="false" customHeight="true" outlineLevel="0" collapsed="false">
      <c r="A5" s="2" t="s">
        <v>59</v>
      </c>
      <c r="B5" s="2" t="n">
        <v>1030</v>
      </c>
      <c r="C5" s="2" t="n">
        <f aca="false">B5-B4</f>
        <v>160</v>
      </c>
    </row>
    <row r="6" customFormat="false" ht="15" hidden="false" customHeight="true" outlineLevel="0" collapsed="false">
      <c r="A6" s="2" t="s">
        <v>60</v>
      </c>
      <c r="B6" s="2" t="n">
        <v>1120</v>
      </c>
      <c r="C6" s="2" t="n">
        <f aca="false">B6-B5</f>
        <v>90</v>
      </c>
    </row>
    <row r="7" customFormat="false" ht="15" hidden="false" customHeight="true" outlineLevel="0" collapsed="false">
      <c r="A7" s="2" t="s">
        <v>61</v>
      </c>
      <c r="B7" s="2" t="n">
        <v>1250</v>
      </c>
      <c r="C7" s="2" t="n">
        <f aca="false">B7-B6</f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5"/>
    <col collapsed="false" customWidth="true" hidden="false" outlineLevel="0" max="4" min="4" style="1" width="18"/>
  </cols>
  <sheetData>
    <row r="1" customFormat="false" ht="15" hidden="false" customHeight="true" outlineLevel="0" collapsed="false">
      <c r="A1" s="13" t="s">
        <v>53</v>
      </c>
      <c r="B1" s="13" t="s">
        <v>62</v>
      </c>
      <c r="C1" s="13" t="s">
        <v>63</v>
      </c>
      <c r="D1" s="13" t="s">
        <v>54</v>
      </c>
    </row>
    <row r="2" customFormat="false" ht="15" hidden="false" customHeight="true" outlineLevel="0" collapsed="false">
      <c r="A2" s="2" t="s">
        <v>56</v>
      </c>
      <c r="B2" s="2" t="n">
        <v>820</v>
      </c>
      <c r="C2" s="2" t="n">
        <v>0</v>
      </c>
      <c r="D2" s="2" t="n">
        <v>820</v>
      </c>
    </row>
    <row r="3" customFormat="false" ht="15" hidden="false" customHeight="true" outlineLevel="0" collapsed="false">
      <c r="A3" s="2" t="s">
        <v>57</v>
      </c>
      <c r="B3" s="2" t="n">
        <v>90</v>
      </c>
      <c r="C3" s="2" t="n">
        <v>0</v>
      </c>
      <c r="D3" s="2" t="n">
        <v>910</v>
      </c>
    </row>
    <row r="4" customFormat="false" ht="15" hidden="false" customHeight="true" outlineLevel="0" collapsed="false">
      <c r="A4" s="2" t="s">
        <v>58</v>
      </c>
      <c r="B4" s="2" t="n">
        <v>0</v>
      </c>
      <c r="C4" s="2" t="n">
        <v>40</v>
      </c>
      <c r="D4" s="2" t="n">
        <v>870</v>
      </c>
    </row>
    <row r="5" customFormat="false" ht="15" hidden="false" customHeight="true" outlineLevel="0" collapsed="false">
      <c r="A5" s="2" t="s">
        <v>59</v>
      </c>
      <c r="B5" s="2" t="n">
        <v>160</v>
      </c>
      <c r="C5" s="2" t="n">
        <v>0</v>
      </c>
      <c r="D5" s="2" t="n">
        <v>1030</v>
      </c>
    </row>
    <row r="6" customFormat="false" ht="15" hidden="false" customHeight="true" outlineLevel="0" collapsed="false">
      <c r="A6" s="2" t="s">
        <v>60</v>
      </c>
      <c r="B6" s="2" t="n">
        <v>90</v>
      </c>
      <c r="C6" s="2" t="n">
        <v>0</v>
      </c>
      <c r="D6" s="2" t="n">
        <v>1120</v>
      </c>
    </row>
    <row r="7" customFormat="false" ht="15" hidden="false" customHeight="true" outlineLevel="0" collapsed="false">
      <c r="A7" s="2" t="s">
        <v>61</v>
      </c>
      <c r="B7" s="2" t="n">
        <v>130</v>
      </c>
      <c r="C7" s="2" t="n">
        <v>0</v>
      </c>
      <c r="D7" s="2" t="n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4" t="s">
        <v>53</v>
      </c>
      <c r="B1" s="14" t="s">
        <v>64</v>
      </c>
      <c r="C1" s="14" t="s">
        <v>62</v>
      </c>
      <c r="D1" s="14" t="s">
        <v>63</v>
      </c>
    </row>
    <row r="2" customFormat="false" ht="15" hidden="false" customHeight="true" outlineLevel="0" collapsed="false">
      <c r="A2" s="1" t="s">
        <v>56</v>
      </c>
      <c r="B2" s="1" t="n">
        <v>0</v>
      </c>
      <c r="C2" s="1" t="n">
        <v>820</v>
      </c>
      <c r="D2" s="1" t="n">
        <v>0</v>
      </c>
    </row>
    <row r="3" customFormat="false" ht="15" hidden="false" customHeight="true" outlineLevel="0" collapsed="false">
      <c r="A3" s="1" t="s">
        <v>57</v>
      </c>
      <c r="B3" s="1" t="n">
        <v>820</v>
      </c>
      <c r="C3" s="1" t="n">
        <v>90</v>
      </c>
      <c r="D3" s="1" t="n">
        <v>0</v>
      </c>
    </row>
    <row r="4" customFormat="false" ht="15" hidden="false" customHeight="true" outlineLevel="0" collapsed="false">
      <c r="A4" s="1" t="s">
        <v>58</v>
      </c>
      <c r="B4" s="1" t="n">
        <v>870</v>
      </c>
      <c r="C4" s="1" t="n">
        <v>0</v>
      </c>
      <c r="D4" s="1" t="n">
        <v>40</v>
      </c>
    </row>
    <row r="5" customFormat="false" ht="15" hidden="false" customHeight="true" outlineLevel="0" collapsed="false">
      <c r="A5" s="1" t="s">
        <v>59</v>
      </c>
      <c r="B5" s="1" t="n">
        <v>870</v>
      </c>
      <c r="C5" s="1" t="n">
        <v>160</v>
      </c>
      <c r="D5" s="1" t="n">
        <v>0</v>
      </c>
    </row>
    <row r="6" customFormat="false" ht="15" hidden="false" customHeight="true" outlineLevel="0" collapsed="false">
      <c r="A6" s="1" t="s">
        <v>60</v>
      </c>
      <c r="B6" s="1" t="n">
        <v>1030</v>
      </c>
      <c r="C6" s="1" t="n">
        <v>90</v>
      </c>
      <c r="D6" s="1" t="n">
        <v>0</v>
      </c>
    </row>
    <row r="7" customFormat="false" ht="15" hidden="false" customHeight="true" outlineLevel="0" collapsed="false">
      <c r="A7" s="1" t="s">
        <v>61</v>
      </c>
      <c r="B7" s="1" t="n">
        <v>1120</v>
      </c>
      <c r="C7" s="1" t="n">
        <v>130</v>
      </c>
      <c r="D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15" t="s">
        <v>65</v>
      </c>
    </row>
    <row r="2" customFormat="false" ht="15" hidden="false" customHeight="true" outlineLevel="0" collapsed="false">
      <c r="A2" s="14" t="s">
        <v>66</v>
      </c>
      <c r="B2" s="14" t="s">
        <v>67</v>
      </c>
    </row>
    <row r="3" customFormat="false" ht="15" hidden="false" customHeight="true" outlineLevel="0" collapsed="false">
      <c r="A3" s="1" t="s">
        <v>68</v>
      </c>
      <c r="B3" s="1" t="s">
        <v>69</v>
      </c>
    </row>
    <row r="4" customFormat="false" ht="15" hidden="false" customHeight="true" outlineLevel="0" collapsed="false">
      <c r="A4" s="1" t="s">
        <v>70</v>
      </c>
      <c r="B4" s="1" t="s">
        <v>71</v>
      </c>
    </row>
    <row r="5" customFormat="false" ht="15" hidden="false" customHeight="true" outlineLevel="0" collapsed="false">
      <c r="A5" s="1" t="s">
        <v>72</v>
      </c>
      <c r="B5" s="1" t="s">
        <v>73</v>
      </c>
    </row>
    <row r="6" customFormat="false" ht="15" hidden="false" customHeight="true" outlineLevel="0" collapsed="false">
      <c r="A6" s="1" t="s">
        <v>74</v>
      </c>
      <c r="B6" s="1" t="s">
        <v>75</v>
      </c>
    </row>
    <row r="7" customFormat="false" ht="15" hidden="false" customHeight="true" outlineLevel="0" collapsed="false">
      <c r="A7" s="1" t="s">
        <v>76</v>
      </c>
      <c r="B7" s="1" t="s">
        <v>77</v>
      </c>
    </row>
    <row r="8" customFormat="false" ht="15" hidden="false" customHeight="true" outlineLevel="0" collapsed="false">
      <c r="A8" s="1" t="s">
        <v>78</v>
      </c>
      <c r="B8" s="1" t="s">
        <v>79</v>
      </c>
    </row>
    <row r="9" customFormat="false" ht="15" hidden="false" customHeight="true" outlineLevel="0" collapsed="false">
      <c r="A9" s="1" t="s">
        <v>80</v>
      </c>
      <c r="B9" s="1" t="s">
        <v>81</v>
      </c>
    </row>
    <row r="10" customFormat="false" ht="15" hidden="false" customHeight="true" outlineLevel="0" collapsed="false">
      <c r="A10" s="1" t="s">
        <v>82</v>
      </c>
      <c r="B10" s="1" t="s">
        <v>83</v>
      </c>
    </row>
    <row r="11" customFormat="false" ht="15" hidden="false" customHeight="true" outlineLevel="0" collapsed="false">
      <c r="A11" s="1" t="s">
        <v>84</v>
      </c>
      <c r="B11" s="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2026-08-08T14:11:50Z</dcterms:created>
  <dc:creator>openpyxl</dc:creator>
  <dc:description/>
  <dc:language>en-US</dc:language>
  <cp:lastModifiedBy/>
  <dcterms:modified xsi:type="dcterms:W3CDTF">2026-08-08T16:37:27Z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