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aw_Orders" sheetId="2" state="visible" r:id="rId4"/>
    <sheet name="Cleaned_Orders" sheetId="3" state="visible" r:id="rId5"/>
    <sheet name="T2_Text_to_Columns" sheetId="4" state="visible" r:id="rId6"/>
    <sheet name="T3_Flash_Fill" sheetId="5" state="visible" r:id="rId7"/>
    <sheet name="T4_Find_Replace" sheetId="6" state="visible" r:id="rId8"/>
    <sheet name="T5_Error_Checking" sheetId="7" state="visible" r:id="rId9"/>
    <sheet name="Answer_Chec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<sst xmlns="http://schemas.openxmlformats.org/spreadsheetml/2006/main" count="305" uniqueCount="141">
  <si>
    <t xml:space="preserve">SESSION 16 – Data Cleaning Tools &amp; Error Handling</t>
  </si>
  <si>
    <t xml:space="preserve">Task</t>
  </si>
  <si>
    <t xml:space="preserve">Ready-to-use practice</t>
  </si>
  <si>
    <t xml:space="preserve">1</t>
  </si>
  <si>
    <t xml:space="preserve">Use Raw_Orders and Remove Duplicates based on Order ID/customer/order details. Cleaned_Orders contains the expected duplicate-free result.</t>
  </si>
  <si>
    <t xml:space="preserve">2</t>
  </si>
  <si>
    <t xml:space="preserve">Use Text to Columns on the Address column using comma as the delimiter. Expected split columns are Flat/House No., Building Name, Street, City.</t>
  </si>
  <si>
    <t xml:space="preserve">3</t>
  </si>
  <si>
    <t xml:space="preserve">Use Flash Fill to extract the username before @ from the email addresses. Expected usernames are provided for checking.</t>
  </si>
  <si>
    <t xml:space="preserve">4</t>
  </si>
  <si>
    <t xml:space="preserve">Use Find &amp; Replace with a wildcard/pattern to change phone numbers beginning with 98 to begin with 99. A before/after practice list is provided.</t>
  </si>
  <si>
    <t xml:space="preserve">5</t>
  </si>
  <si>
    <t xml:space="preserve">Use Error Checking on IPL player formulas. Fix #DIV/0! and #VALUE! using appropriate formulas/guards. The corrected result is included for checking.</t>
  </si>
  <si>
    <t xml:space="preserve">Note</t>
  </si>
  <si>
    <t xml:space="preserve">Native Excel commands such as Text to Columns, Flash Fill, Find &amp; Replace and Error Checking are interactive. The workbook contains source data, practice columns and expected outputs.</t>
  </si>
  <si>
    <t xml:space="preserve">Order ID</t>
  </si>
  <si>
    <t xml:space="preserve">Customer Name</t>
  </si>
  <si>
    <t xml:space="preserve">Delivery Address</t>
  </si>
  <si>
    <t xml:space="preserve">Order Amount</t>
  </si>
  <si>
    <t xml:space="preserve">ORD0001</t>
  </si>
  <si>
    <t xml:space="preserve">Riya Trivedi</t>
  </si>
  <si>
    <t xml:space="preserve">House 7, Lake View, Race Course Road, Vadodara</t>
  </si>
  <si>
    <t xml:space="preserve">ORD0002</t>
  </si>
  <si>
    <t xml:space="preserve">Karan Desai</t>
  </si>
  <si>
    <t xml:space="preserve">ORD0003</t>
  </si>
  <si>
    <t xml:space="preserve">Ishita Patel</t>
  </si>
  <si>
    <t xml:space="preserve">Flat 12B, Sunrise Apartments, SG Highway, Ahmedabad</t>
  </si>
  <si>
    <t xml:space="preserve">ORD0004</t>
  </si>
  <si>
    <t xml:space="preserve">House 21, Green Residency, Ring Road, Surat</t>
  </si>
  <si>
    <t xml:space="preserve">ORD0005</t>
  </si>
  <si>
    <t xml:space="preserve">Rahul Patel</t>
  </si>
  <si>
    <t xml:space="preserve">Flat 4A, Royal Heights, Kalawad Road, Rajkot</t>
  </si>
  <si>
    <t xml:space="preserve">ORD0006</t>
  </si>
  <si>
    <t xml:space="preserve">ORD0007</t>
  </si>
  <si>
    <t xml:space="preserve">ORD0008</t>
  </si>
  <si>
    <t xml:space="preserve">ORD0009</t>
  </si>
  <si>
    <t xml:space="preserve">ORD0010</t>
  </si>
  <si>
    <t xml:space="preserve">Neha Joshi</t>
  </si>
  <si>
    <t xml:space="preserve">ORD0011</t>
  </si>
  <si>
    <t xml:space="preserve">ORD0012</t>
  </si>
  <si>
    <t xml:space="preserve">ORD0013</t>
  </si>
  <si>
    <t xml:space="preserve">Dev Shah</t>
  </si>
  <si>
    <t xml:space="preserve">ORD0014</t>
  </si>
  <si>
    <t xml:space="preserve">Meera Iyer</t>
  </si>
  <si>
    <t xml:space="preserve">ORD0015</t>
  </si>
  <si>
    <t xml:space="preserve">Priya Shah</t>
  </si>
  <si>
    <t xml:space="preserve">ORD0016</t>
  </si>
  <si>
    <t xml:space="preserve">ORD0017</t>
  </si>
  <si>
    <t xml:space="preserve">ORD0018</t>
  </si>
  <si>
    <t xml:space="preserve">ORD0019</t>
  </si>
  <si>
    <t xml:space="preserve">Amit Mehta</t>
  </si>
  <si>
    <t xml:space="preserve">ORD0020</t>
  </si>
  <si>
    <t xml:space="preserve">ORD0021</t>
  </si>
  <si>
    <t xml:space="preserve">ORD0022</t>
  </si>
  <si>
    <t xml:space="preserve">ORD0023</t>
  </si>
  <si>
    <t xml:space="preserve">ORD0024</t>
  </si>
  <si>
    <t xml:space="preserve">Arjun Rao</t>
  </si>
  <si>
    <t xml:space="preserve">ORD0025</t>
  </si>
  <si>
    <t xml:space="preserve">ORD0026</t>
  </si>
  <si>
    <t xml:space="preserve">ORD0027</t>
  </si>
  <si>
    <t xml:space="preserve">ORD0028</t>
  </si>
  <si>
    <t xml:space="preserve">ORD0029</t>
  </si>
  <si>
    <t xml:space="preserve">ORD0030</t>
  </si>
  <si>
    <t xml:space="preserve">Original Address</t>
  </si>
  <si>
    <t xml:space="preserve">Flat/House No.</t>
  </si>
  <si>
    <t xml:space="preserve">Building Name</t>
  </si>
  <si>
    <t xml:space="preserve">Street</t>
  </si>
  <si>
    <t xml:space="preserve">City</t>
  </si>
  <si>
    <t xml:space="preserve">Text to Columns Practice</t>
  </si>
  <si>
    <t xml:space="preserve">Select column A → Data → Text to Columns → Delimited → Comma → Finish. The expected split is shown in columns B:E.</t>
  </si>
  <si>
    <t xml:space="preserve">Flat 10C, Silver Tower, C G Road, Ahmedabad</t>
  </si>
  <si>
    <t xml:space="preserve">Email Address</t>
  </si>
  <si>
    <t xml:space="preserve">Username (Flash Fill)</t>
  </si>
  <si>
    <t xml:space="preserve">Expected Username</t>
  </si>
  <si>
    <t xml:space="preserve">Flash Fill Practice</t>
  </si>
  <si>
    <t xml:space="preserve">rahul.patel99@gmail.com</t>
  </si>
  <si>
    <t xml:space="preserve">rahul.patel99</t>
  </si>
  <si>
    <t xml:space="preserve">Type the first username in B2, then use Data → Flash Fill (Ctrl+E) to populate the remaining usernames.</t>
  </si>
  <si>
    <t xml:space="preserve">priya.shah21@gmail.com</t>
  </si>
  <si>
    <t xml:space="preserve">priya.shah21</t>
  </si>
  <si>
    <t xml:space="preserve">amit.mehta07@gmail.com</t>
  </si>
  <si>
    <t xml:space="preserve">amit.mehta07</t>
  </si>
  <si>
    <t xml:space="preserve">neha.joshi88@gmail.com</t>
  </si>
  <si>
    <t xml:space="preserve">neha.joshi88</t>
  </si>
  <si>
    <t xml:space="preserve">karan.desai10@gmail.com</t>
  </si>
  <si>
    <t xml:space="preserve">karan.desai10</t>
  </si>
  <si>
    <t xml:space="preserve">riya.trivedi55@gmail.com</t>
  </si>
  <si>
    <t xml:space="preserve">riya.trivedi55</t>
  </si>
  <si>
    <t xml:space="preserve">arjun.rao11@gmail.com</t>
  </si>
  <si>
    <t xml:space="preserve">arjun.rao11</t>
  </si>
  <si>
    <t xml:space="preserve">ishita.patel42@gmail.com</t>
  </si>
  <si>
    <t xml:space="preserve">ishita.patel42</t>
  </si>
  <si>
    <t xml:space="preserve">dev.shah33@gmail.com</t>
  </si>
  <si>
    <t xml:space="preserve">dev.shah33</t>
  </si>
  <si>
    <t xml:space="preserve">meera.iyer19@gmail.com</t>
  </si>
  <si>
    <t xml:space="preserve">meera.iyer19</t>
  </si>
  <si>
    <t xml:space="preserve">Original Phone</t>
  </si>
  <si>
    <t xml:space="preserve">After Replace</t>
  </si>
  <si>
    <t xml:space="preserve">Expected Result</t>
  </si>
  <si>
    <t xml:space="preserve">Find &amp; Replace Practice</t>
  </si>
  <si>
    <t xml:space="preserve">9876543210</t>
  </si>
  <si>
    <t xml:space="preserve">9976543210</t>
  </si>
  <si>
    <t xml:space="preserve">Excel Find &amp; Replace can be used to change the beginning of matching phone numbers. Practice with a pattern matching the 98 prefix, then replace it with 99. Verify against column C.</t>
  </si>
  <si>
    <t xml:space="preserve">9812345678</t>
  </si>
  <si>
    <t xml:space="preserve">9912345678</t>
  </si>
  <si>
    <t xml:space="preserve">9123456780</t>
  </si>
  <si>
    <t xml:space="preserve">9898765432</t>
  </si>
  <si>
    <t xml:space="preserve">9998765432</t>
  </si>
  <si>
    <t xml:space="preserve">9765432109</t>
  </si>
  <si>
    <t xml:space="preserve">9871203456</t>
  </si>
  <si>
    <t xml:space="preserve">9971203456</t>
  </si>
  <si>
    <t xml:space="preserve">9012345678</t>
  </si>
  <si>
    <t xml:space="preserve">9822334455</t>
  </si>
  <si>
    <t xml:space="preserve">9922334455</t>
  </si>
  <si>
    <t xml:space="preserve">9955667788</t>
  </si>
  <si>
    <t xml:space="preserve">9845671230</t>
  </si>
  <si>
    <t xml:space="preserve">9945671230</t>
  </si>
  <si>
    <t xml:space="preserve">Player</t>
  </si>
  <si>
    <t xml:space="preserve">Runs</t>
  </si>
  <si>
    <t xml:space="preserve">Dismissals</t>
  </si>
  <si>
    <t xml:space="preserve">Batting Average (Practice Formula)</t>
  </si>
  <si>
    <t xml:space="preserve">Safe Result</t>
  </si>
  <si>
    <t xml:space="preserve">Error Checking Practice</t>
  </si>
  <si>
    <t xml:space="preserve">Virat Kohli</t>
  </si>
  <si>
    <t xml:space="preserve">Use Formulas → Error Checking to locate #DIV/0! and #VALUE!. Fix formulas using IFERROR or a suitable condition. Column E contains a safe-result example for comparison.</t>
  </si>
  <si>
    <t xml:space="preserve">Rohit Sharma</t>
  </si>
  <si>
    <t xml:space="preserve">Jasprit Bumrah</t>
  </si>
  <si>
    <t xml:space="preserve">Ravindra Jadeja</t>
  </si>
  <si>
    <t xml:space="preserve">Hardik Pandya</t>
  </si>
  <si>
    <t xml:space="preserve">Shubman Gill</t>
  </si>
  <si>
    <t xml:space="preserve">Rishabh Pant</t>
  </si>
  <si>
    <t xml:space="preserve">N/A</t>
  </si>
  <si>
    <t xml:space="preserve">KL Rahul</t>
  </si>
  <si>
    <t xml:space="preserve">Suryakumar Yadav</t>
  </si>
  <si>
    <t xml:space="preserve">Mohammed Siraj</t>
  </si>
  <si>
    <t xml:space="preserve">Check</t>
  </si>
  <si>
    <t xml:space="preserve">Raw_Orders contains 33 records; Cleaned_Orders contains 30 unique records.</t>
  </si>
  <si>
    <t xml:space="preserve">Each address is split into Flat/House No., Building Name, Street and City using comma delimiter.</t>
  </si>
  <si>
    <t xml:space="preserve">Username is the text before @; Expected Username column provides answers.</t>
  </si>
  <si>
    <t xml:space="preserve">Only numbers beginning with 98 should change to 99; other prefixes remain unchanged.</t>
  </si>
  <si>
    <t xml:space="preserve">Safe Result uses IFERROR to avoid #DIV/0! and #VALUE! display errors.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</si>
</sst>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63238"/>
        <bgColor rgb="FF333300"/>
      </patternFill>
    </fill>
    <fill>
      <patternFill patternType="solid">
        <fgColor rgb="FF1976D2"/>
        <bgColor rgb="FF3366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6323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1976D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leanedOrdersTable" displayName="CleanedOrdersTable" ref="A1:D31" headerRowCount="1" totalsRowCount="0" totalsRowShown="0">
  <autoFilter ref="A1:D31"/>
  <tableColumns count="4">
    <tableColumn id="1" name="Order ID"/>
    <tableColumn id="2" name="Customer Name"/>
    <tableColumn id="3" name="Delivery Address"/>
    <tableColumn id="4" name="Order Amount"/>
  </tableColumns>
</table>
</file>

<file path=xl/tables/table2.xml><?xml version="1.0" encoding="utf-8"?>
<table xmlns="http://schemas.openxmlformats.org/spreadsheetml/2006/main" id="2" name="RawOrdersTable" displayName="RawOrdersTable" ref="A1:D34" headerRowCount="1" totalsRowCount="0" totalsRowShown="0">
  <autoFilter ref="A1:D34"/>
  <tableColumns count="4">
    <tableColumn id="1" name="Order ID"/>
    <tableColumn id="2" name="Customer Name"/>
    <tableColumn id="3" name="Delivery Address"/>
    <tableColumn id="4" name="Order Am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10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 t="s">
        <v>2</v>
      </c>
    </row>
    <row r="3" customFormat="false" ht="15" hidden="false" customHeight="true" outlineLevel="0" collapsed="false">
      <c r="A3" s="1" t="s">
        <v>3</v>
      </c>
      <c r="B3" s="1" t="s">
        <v>4</v>
      </c>
    </row>
    <row r="4" customFormat="false" ht="15" hidden="false" customHeight="true" outlineLevel="0" collapsed="false">
      <c r="A4" s="1" t="s">
        <v>5</v>
      </c>
      <c r="B4" s="1" t="s">
        <v>6</v>
      </c>
    </row>
    <row r="5" customFormat="false" ht="15" hidden="false" customHeight="true" outlineLevel="0" collapsed="false">
      <c r="A5" s="1" t="s">
        <v>7</v>
      </c>
      <c r="B5" s="1" t="s">
        <v>8</v>
      </c>
    </row>
    <row r="6" customFormat="false" ht="15" hidden="false" customHeight="true" outlineLevel="0" collapsed="false">
      <c r="A6" s="1" t="s">
        <v>9</v>
      </c>
      <c r="B6" s="1" t="s">
        <v>10</v>
      </c>
    </row>
    <row r="7" customFormat="false" ht="15" hidden="false" customHeight="true" outlineLevel="0" collapsed="false">
      <c r="A7" s="1" t="s">
        <v>11</v>
      </c>
      <c r="B7" s="1" t="s">
        <v>12</v>
      </c>
    </row>
    <row r="8" customFormat="false" ht="15" hidden="false" customHeight="true" outlineLevel="0" collapsed="false">
      <c r="A8" s="1" t="s">
        <v>13</v>
      </c>
      <c r="B8" s="1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8"/>
  </cols>
  <sheetData>
    <row r="1" customFormat="false" ht="15" hidden="false" customHeight="true" outlineLevel="0" collapsed="false">
      <c r="A1" s="4" t="s">
        <v>15</v>
      </c>
      <c r="B1" s="4" t="s">
        <v>16</v>
      </c>
      <c r="C1" s="4" t="s">
        <v>17</v>
      </c>
      <c r="D1" s="4" t="s">
        <v>18</v>
      </c>
    </row>
    <row r="2" customFormat="false" ht="15" hidden="false" customHeight="true" outlineLevel="0" collapsed="false">
      <c r="A2" s="1" t="s">
        <v>19</v>
      </c>
      <c r="B2" s="1" t="s">
        <v>20</v>
      </c>
      <c r="C2" s="1" t="s">
        <v>21</v>
      </c>
      <c r="D2" s="5" t="n">
        <v>4236</v>
      </c>
    </row>
    <row r="3" customFormat="false" ht="15" hidden="false" customHeight="true" outlineLevel="0" collapsed="false">
      <c r="A3" s="1" t="s">
        <v>22</v>
      </c>
      <c r="B3" s="1" t="s">
        <v>23</v>
      </c>
      <c r="C3" s="1" t="s">
        <v>21</v>
      </c>
      <c r="D3" s="5" t="n">
        <v>2156</v>
      </c>
    </row>
    <row r="4" customFormat="false" ht="15" hidden="false" customHeight="true" outlineLevel="0" collapsed="false">
      <c r="A4" s="1" t="s">
        <v>24</v>
      </c>
      <c r="B4" s="1" t="s">
        <v>25</v>
      </c>
      <c r="C4" s="1" t="s">
        <v>26</v>
      </c>
      <c r="D4" s="5" t="n">
        <v>3654</v>
      </c>
    </row>
    <row r="5" customFormat="false" ht="15" hidden="false" customHeight="true" outlineLevel="0" collapsed="false">
      <c r="A5" s="1" t="s">
        <v>27</v>
      </c>
      <c r="B5" s="1" t="s">
        <v>23</v>
      </c>
      <c r="C5" s="1" t="s">
        <v>28</v>
      </c>
      <c r="D5" s="5" t="n">
        <v>2122</v>
      </c>
    </row>
    <row r="6" customFormat="false" ht="15" hidden="false" customHeight="true" outlineLevel="0" collapsed="false">
      <c r="A6" s="1" t="s">
        <v>29</v>
      </c>
      <c r="B6" s="1" t="s">
        <v>30</v>
      </c>
      <c r="C6" s="1" t="s">
        <v>31</v>
      </c>
      <c r="D6" s="5" t="n">
        <v>2774</v>
      </c>
    </row>
    <row r="7" customFormat="false" ht="15" hidden="false" customHeight="true" outlineLevel="0" collapsed="false">
      <c r="A7" s="1" t="s">
        <v>32</v>
      </c>
      <c r="B7" s="1" t="s">
        <v>20</v>
      </c>
      <c r="C7" s="1" t="s">
        <v>28</v>
      </c>
      <c r="D7" s="5" t="n">
        <v>2840</v>
      </c>
    </row>
    <row r="8" customFormat="false" ht="15" hidden="false" customHeight="true" outlineLevel="0" collapsed="false">
      <c r="A8" s="1" t="s">
        <v>33</v>
      </c>
      <c r="B8" s="1" t="s">
        <v>30</v>
      </c>
      <c r="C8" s="1" t="s">
        <v>28</v>
      </c>
      <c r="D8" s="5" t="n">
        <v>2376</v>
      </c>
    </row>
    <row r="9" customFormat="false" ht="15" hidden="false" customHeight="true" outlineLevel="0" collapsed="false">
      <c r="A9" s="1" t="s">
        <v>34</v>
      </c>
      <c r="B9" s="1" t="s">
        <v>30</v>
      </c>
      <c r="C9" s="1" t="s">
        <v>28</v>
      </c>
      <c r="D9" s="5" t="n">
        <v>524</v>
      </c>
    </row>
    <row r="10" customFormat="false" ht="15" hidden="false" customHeight="true" outlineLevel="0" collapsed="false">
      <c r="A10" s="1" t="s">
        <v>35</v>
      </c>
      <c r="B10" s="1" t="s">
        <v>25</v>
      </c>
      <c r="C10" s="1" t="s">
        <v>21</v>
      </c>
      <c r="D10" s="5" t="n">
        <v>2726</v>
      </c>
    </row>
    <row r="11" customFormat="false" ht="15" hidden="false" customHeight="true" outlineLevel="0" collapsed="false">
      <c r="A11" s="1" t="s">
        <v>36</v>
      </c>
      <c r="B11" s="1" t="s">
        <v>37</v>
      </c>
      <c r="C11" s="1" t="s">
        <v>31</v>
      </c>
      <c r="D11" s="5" t="n">
        <v>3263</v>
      </c>
    </row>
    <row r="12" customFormat="false" ht="15" hidden="false" customHeight="true" outlineLevel="0" collapsed="false">
      <c r="A12" s="1" t="s">
        <v>38</v>
      </c>
      <c r="B12" s="1" t="s">
        <v>23</v>
      </c>
      <c r="C12" s="1" t="s">
        <v>21</v>
      </c>
      <c r="D12" s="5" t="n">
        <v>1004</v>
      </c>
    </row>
    <row r="13" customFormat="false" ht="15" hidden="false" customHeight="true" outlineLevel="0" collapsed="false">
      <c r="A13" s="1" t="s">
        <v>39</v>
      </c>
      <c r="B13" s="1" t="s">
        <v>20</v>
      </c>
      <c r="C13" s="1" t="s">
        <v>21</v>
      </c>
      <c r="D13" s="5" t="n">
        <v>3766</v>
      </c>
    </row>
    <row r="14" customFormat="false" ht="15" hidden="false" customHeight="true" outlineLevel="0" collapsed="false">
      <c r="A14" s="1" t="s">
        <v>40</v>
      </c>
      <c r="B14" s="1" t="s">
        <v>41</v>
      </c>
      <c r="C14" s="1" t="s">
        <v>28</v>
      </c>
      <c r="D14" s="5" t="n">
        <v>2700</v>
      </c>
    </row>
    <row r="15" customFormat="false" ht="15" hidden="false" customHeight="true" outlineLevel="0" collapsed="false">
      <c r="A15" s="1" t="s">
        <v>42</v>
      </c>
      <c r="B15" s="1" t="s">
        <v>43</v>
      </c>
      <c r="C15" s="1" t="s">
        <v>26</v>
      </c>
      <c r="D15" s="5" t="n">
        <v>2616</v>
      </c>
    </row>
    <row r="16" customFormat="false" ht="15" hidden="false" customHeight="true" outlineLevel="0" collapsed="false">
      <c r="A16" s="1" t="s">
        <v>44</v>
      </c>
      <c r="B16" s="1" t="s">
        <v>45</v>
      </c>
      <c r="C16" s="1" t="s">
        <v>26</v>
      </c>
      <c r="D16" s="5" t="n">
        <v>3356</v>
      </c>
    </row>
    <row r="17" customFormat="false" ht="15" hidden="false" customHeight="true" outlineLevel="0" collapsed="false">
      <c r="A17" s="1" t="s">
        <v>46</v>
      </c>
      <c r="B17" s="1" t="s">
        <v>37</v>
      </c>
      <c r="C17" s="1" t="s">
        <v>21</v>
      </c>
      <c r="D17" s="5" t="n">
        <v>1565</v>
      </c>
    </row>
    <row r="18" customFormat="false" ht="15" hidden="false" customHeight="true" outlineLevel="0" collapsed="false">
      <c r="A18" s="1" t="s">
        <v>47</v>
      </c>
      <c r="B18" s="1" t="s">
        <v>23</v>
      </c>
      <c r="C18" s="1" t="s">
        <v>31</v>
      </c>
      <c r="D18" s="5" t="n">
        <v>2892</v>
      </c>
    </row>
    <row r="19" customFormat="false" ht="15" hidden="false" customHeight="true" outlineLevel="0" collapsed="false">
      <c r="A19" s="1" t="s">
        <v>48</v>
      </c>
      <c r="B19" s="1" t="s">
        <v>25</v>
      </c>
      <c r="C19" s="1" t="s">
        <v>21</v>
      </c>
      <c r="D19" s="5" t="n">
        <v>838</v>
      </c>
    </row>
    <row r="20" customFormat="false" ht="15" hidden="false" customHeight="true" outlineLevel="0" collapsed="false">
      <c r="A20" s="1" t="s">
        <v>49</v>
      </c>
      <c r="B20" s="1" t="s">
        <v>50</v>
      </c>
      <c r="C20" s="1" t="s">
        <v>21</v>
      </c>
      <c r="D20" s="5" t="n">
        <v>407</v>
      </c>
    </row>
    <row r="21" customFormat="false" ht="15" hidden="false" customHeight="true" outlineLevel="0" collapsed="false">
      <c r="A21" s="1" t="s">
        <v>51</v>
      </c>
      <c r="B21" s="1" t="s">
        <v>25</v>
      </c>
      <c r="C21" s="1" t="s">
        <v>21</v>
      </c>
      <c r="D21" s="5" t="n">
        <v>414</v>
      </c>
    </row>
    <row r="22" customFormat="false" ht="15" hidden="false" customHeight="true" outlineLevel="0" collapsed="false">
      <c r="A22" s="1" t="s">
        <v>52</v>
      </c>
      <c r="B22" s="1" t="s">
        <v>25</v>
      </c>
      <c r="C22" s="1" t="s">
        <v>26</v>
      </c>
      <c r="D22" s="5" t="n">
        <v>4021</v>
      </c>
    </row>
    <row r="23" customFormat="false" ht="15" hidden="false" customHeight="true" outlineLevel="0" collapsed="false">
      <c r="A23" s="1" t="s">
        <v>53</v>
      </c>
      <c r="B23" s="1" t="s">
        <v>43</v>
      </c>
      <c r="C23" s="1" t="s">
        <v>26</v>
      </c>
      <c r="D23" s="5" t="n">
        <v>4389</v>
      </c>
    </row>
    <row r="24" customFormat="false" ht="15" hidden="false" customHeight="true" outlineLevel="0" collapsed="false">
      <c r="A24" s="1" t="s">
        <v>54</v>
      </c>
      <c r="B24" s="1" t="s">
        <v>30</v>
      </c>
      <c r="C24" s="1" t="s">
        <v>28</v>
      </c>
      <c r="D24" s="5" t="n">
        <v>2202</v>
      </c>
    </row>
    <row r="25" customFormat="false" ht="15" hidden="false" customHeight="true" outlineLevel="0" collapsed="false">
      <c r="A25" s="1" t="s">
        <v>55</v>
      </c>
      <c r="B25" s="1" t="s">
        <v>56</v>
      </c>
      <c r="C25" s="1" t="s">
        <v>31</v>
      </c>
      <c r="D25" s="5" t="n">
        <v>570</v>
      </c>
    </row>
    <row r="26" customFormat="false" ht="15" hidden="false" customHeight="true" outlineLevel="0" collapsed="false">
      <c r="A26" s="1" t="s">
        <v>57</v>
      </c>
      <c r="B26" s="1" t="s">
        <v>41</v>
      </c>
      <c r="C26" s="1" t="s">
        <v>26</v>
      </c>
      <c r="D26" s="5" t="n">
        <v>3576</v>
      </c>
    </row>
    <row r="27" customFormat="false" ht="15" hidden="false" customHeight="true" outlineLevel="0" collapsed="false">
      <c r="A27" s="1" t="s">
        <v>58</v>
      </c>
      <c r="B27" s="1" t="s">
        <v>43</v>
      </c>
      <c r="C27" s="1" t="s">
        <v>31</v>
      </c>
      <c r="D27" s="5" t="n">
        <v>4211</v>
      </c>
    </row>
    <row r="28" customFormat="false" ht="15" hidden="false" customHeight="true" outlineLevel="0" collapsed="false">
      <c r="A28" s="1" t="s">
        <v>59</v>
      </c>
      <c r="B28" s="1" t="s">
        <v>41</v>
      </c>
      <c r="C28" s="1" t="s">
        <v>26</v>
      </c>
      <c r="D28" s="5" t="n">
        <v>2166</v>
      </c>
    </row>
    <row r="29" customFormat="false" ht="15" hidden="false" customHeight="true" outlineLevel="0" collapsed="false">
      <c r="A29" s="1" t="s">
        <v>60</v>
      </c>
      <c r="B29" s="1" t="s">
        <v>20</v>
      </c>
      <c r="C29" s="1" t="s">
        <v>26</v>
      </c>
      <c r="D29" s="5" t="n">
        <v>1062</v>
      </c>
    </row>
    <row r="30" customFormat="false" ht="15" hidden="false" customHeight="true" outlineLevel="0" collapsed="false">
      <c r="A30" s="1" t="s">
        <v>61</v>
      </c>
      <c r="B30" s="1" t="s">
        <v>41</v>
      </c>
      <c r="C30" s="1" t="s">
        <v>26</v>
      </c>
      <c r="D30" s="5" t="n">
        <v>2291</v>
      </c>
    </row>
    <row r="31" customFormat="false" ht="15" hidden="false" customHeight="true" outlineLevel="0" collapsed="false">
      <c r="A31" s="1" t="s">
        <v>62</v>
      </c>
      <c r="B31" s="1" t="s">
        <v>30</v>
      </c>
      <c r="C31" s="1" t="s">
        <v>21</v>
      </c>
      <c r="D31" s="5" t="n">
        <v>681</v>
      </c>
    </row>
    <row r="32" customFormat="false" ht="15" hidden="false" customHeight="true" outlineLevel="0" collapsed="false">
      <c r="A32" s="1" t="s">
        <v>29</v>
      </c>
      <c r="B32" s="1" t="s">
        <v>30</v>
      </c>
      <c r="C32" s="1" t="s">
        <v>31</v>
      </c>
      <c r="D32" s="5" t="n">
        <v>2774</v>
      </c>
    </row>
    <row r="33" customFormat="false" ht="15" hidden="false" customHeight="true" outlineLevel="0" collapsed="false">
      <c r="A33" s="1" t="s">
        <v>39</v>
      </c>
      <c r="B33" s="1" t="s">
        <v>20</v>
      </c>
      <c r="C33" s="1" t="s">
        <v>21</v>
      </c>
      <c r="D33" s="5" t="n">
        <v>3766</v>
      </c>
    </row>
    <row r="34" customFormat="false" ht="15" hidden="false" customHeight="true" outlineLevel="0" collapsed="false">
      <c r="A34" s="1" t="s">
        <v>52</v>
      </c>
      <c r="B34" s="1" t="s">
        <v>25</v>
      </c>
      <c r="C34" s="1" t="s">
        <v>26</v>
      </c>
      <c r="D34" s="5" t="n">
        <v>4021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8"/>
  </cols>
  <sheetData>
    <row r="1" customFormat="false" ht="15" hidden="false" customHeight="true" outlineLevel="0" collapsed="false">
      <c r="A1" s="4" t="s">
        <v>15</v>
      </c>
      <c r="B1" s="4" t="s">
        <v>16</v>
      </c>
      <c r="C1" s="4" t="s">
        <v>17</v>
      </c>
      <c r="D1" s="4" t="s">
        <v>18</v>
      </c>
    </row>
    <row r="2" customFormat="false" ht="15" hidden="false" customHeight="true" outlineLevel="0" collapsed="false">
      <c r="A2" s="1" t="s">
        <v>19</v>
      </c>
      <c r="B2" s="1" t="s">
        <v>20</v>
      </c>
      <c r="C2" s="1" t="s">
        <v>21</v>
      </c>
      <c r="D2" s="5" t="n">
        <v>4236</v>
      </c>
    </row>
    <row r="3" customFormat="false" ht="15" hidden="false" customHeight="true" outlineLevel="0" collapsed="false">
      <c r="A3" s="1" t="s">
        <v>22</v>
      </c>
      <c r="B3" s="1" t="s">
        <v>23</v>
      </c>
      <c r="C3" s="1" t="s">
        <v>21</v>
      </c>
      <c r="D3" s="5" t="n">
        <v>2156</v>
      </c>
    </row>
    <row r="4" customFormat="false" ht="15" hidden="false" customHeight="true" outlineLevel="0" collapsed="false">
      <c r="A4" s="1" t="s">
        <v>24</v>
      </c>
      <c r="B4" s="1" t="s">
        <v>25</v>
      </c>
      <c r="C4" s="1" t="s">
        <v>26</v>
      </c>
      <c r="D4" s="5" t="n">
        <v>3654</v>
      </c>
    </row>
    <row r="5" customFormat="false" ht="15" hidden="false" customHeight="true" outlineLevel="0" collapsed="false">
      <c r="A5" s="1" t="s">
        <v>27</v>
      </c>
      <c r="B5" s="1" t="s">
        <v>23</v>
      </c>
      <c r="C5" s="1" t="s">
        <v>28</v>
      </c>
      <c r="D5" s="5" t="n">
        <v>2122</v>
      </c>
    </row>
    <row r="6" customFormat="false" ht="15" hidden="false" customHeight="true" outlineLevel="0" collapsed="false">
      <c r="A6" s="1" t="s">
        <v>29</v>
      </c>
      <c r="B6" s="1" t="s">
        <v>30</v>
      </c>
      <c r="C6" s="1" t="s">
        <v>31</v>
      </c>
      <c r="D6" s="5" t="n">
        <v>2774</v>
      </c>
    </row>
    <row r="7" customFormat="false" ht="15" hidden="false" customHeight="true" outlineLevel="0" collapsed="false">
      <c r="A7" s="1" t="s">
        <v>32</v>
      </c>
      <c r="B7" s="1" t="s">
        <v>20</v>
      </c>
      <c r="C7" s="1" t="s">
        <v>28</v>
      </c>
      <c r="D7" s="5" t="n">
        <v>2840</v>
      </c>
    </row>
    <row r="8" customFormat="false" ht="15" hidden="false" customHeight="true" outlineLevel="0" collapsed="false">
      <c r="A8" s="1" t="s">
        <v>33</v>
      </c>
      <c r="B8" s="1" t="s">
        <v>30</v>
      </c>
      <c r="C8" s="1" t="s">
        <v>28</v>
      </c>
      <c r="D8" s="5" t="n">
        <v>2376</v>
      </c>
    </row>
    <row r="9" customFormat="false" ht="15" hidden="false" customHeight="true" outlineLevel="0" collapsed="false">
      <c r="A9" s="1" t="s">
        <v>34</v>
      </c>
      <c r="B9" s="1" t="s">
        <v>30</v>
      </c>
      <c r="C9" s="1" t="s">
        <v>28</v>
      </c>
      <c r="D9" s="5" t="n">
        <v>524</v>
      </c>
    </row>
    <row r="10" customFormat="false" ht="15" hidden="false" customHeight="true" outlineLevel="0" collapsed="false">
      <c r="A10" s="1" t="s">
        <v>35</v>
      </c>
      <c r="B10" s="1" t="s">
        <v>25</v>
      </c>
      <c r="C10" s="1" t="s">
        <v>21</v>
      </c>
      <c r="D10" s="5" t="n">
        <v>2726</v>
      </c>
    </row>
    <row r="11" customFormat="false" ht="15" hidden="false" customHeight="true" outlineLevel="0" collapsed="false">
      <c r="A11" s="1" t="s">
        <v>36</v>
      </c>
      <c r="B11" s="1" t="s">
        <v>37</v>
      </c>
      <c r="C11" s="1" t="s">
        <v>31</v>
      </c>
      <c r="D11" s="5" t="n">
        <v>3263</v>
      </c>
    </row>
    <row r="12" customFormat="false" ht="15" hidden="false" customHeight="true" outlineLevel="0" collapsed="false">
      <c r="A12" s="1" t="s">
        <v>38</v>
      </c>
      <c r="B12" s="1" t="s">
        <v>23</v>
      </c>
      <c r="C12" s="1" t="s">
        <v>21</v>
      </c>
      <c r="D12" s="5" t="n">
        <v>1004</v>
      </c>
    </row>
    <row r="13" customFormat="false" ht="15" hidden="false" customHeight="true" outlineLevel="0" collapsed="false">
      <c r="A13" s="1" t="s">
        <v>39</v>
      </c>
      <c r="B13" s="1" t="s">
        <v>20</v>
      </c>
      <c r="C13" s="1" t="s">
        <v>21</v>
      </c>
      <c r="D13" s="5" t="n">
        <v>3766</v>
      </c>
    </row>
    <row r="14" customFormat="false" ht="15" hidden="false" customHeight="true" outlineLevel="0" collapsed="false">
      <c r="A14" s="1" t="s">
        <v>40</v>
      </c>
      <c r="B14" s="1" t="s">
        <v>41</v>
      </c>
      <c r="C14" s="1" t="s">
        <v>28</v>
      </c>
      <c r="D14" s="5" t="n">
        <v>2700</v>
      </c>
    </row>
    <row r="15" customFormat="false" ht="15" hidden="false" customHeight="true" outlineLevel="0" collapsed="false">
      <c r="A15" s="1" t="s">
        <v>42</v>
      </c>
      <c r="B15" s="1" t="s">
        <v>43</v>
      </c>
      <c r="C15" s="1" t="s">
        <v>26</v>
      </c>
      <c r="D15" s="5" t="n">
        <v>2616</v>
      </c>
    </row>
    <row r="16" customFormat="false" ht="15" hidden="false" customHeight="true" outlineLevel="0" collapsed="false">
      <c r="A16" s="1" t="s">
        <v>44</v>
      </c>
      <c r="B16" s="1" t="s">
        <v>45</v>
      </c>
      <c r="C16" s="1" t="s">
        <v>26</v>
      </c>
      <c r="D16" s="5" t="n">
        <v>3356</v>
      </c>
    </row>
    <row r="17" customFormat="false" ht="15" hidden="false" customHeight="true" outlineLevel="0" collapsed="false">
      <c r="A17" s="1" t="s">
        <v>46</v>
      </c>
      <c r="B17" s="1" t="s">
        <v>37</v>
      </c>
      <c r="C17" s="1" t="s">
        <v>21</v>
      </c>
      <c r="D17" s="5" t="n">
        <v>1565</v>
      </c>
    </row>
    <row r="18" customFormat="false" ht="15" hidden="false" customHeight="true" outlineLevel="0" collapsed="false">
      <c r="A18" s="1" t="s">
        <v>47</v>
      </c>
      <c r="B18" s="1" t="s">
        <v>23</v>
      </c>
      <c r="C18" s="1" t="s">
        <v>31</v>
      </c>
      <c r="D18" s="5" t="n">
        <v>2892</v>
      </c>
    </row>
    <row r="19" customFormat="false" ht="15" hidden="false" customHeight="true" outlineLevel="0" collapsed="false">
      <c r="A19" s="1" t="s">
        <v>48</v>
      </c>
      <c r="B19" s="1" t="s">
        <v>25</v>
      </c>
      <c r="C19" s="1" t="s">
        <v>21</v>
      </c>
      <c r="D19" s="5" t="n">
        <v>838</v>
      </c>
    </row>
    <row r="20" customFormat="false" ht="15" hidden="false" customHeight="true" outlineLevel="0" collapsed="false">
      <c r="A20" s="1" t="s">
        <v>49</v>
      </c>
      <c r="B20" s="1" t="s">
        <v>50</v>
      </c>
      <c r="C20" s="1" t="s">
        <v>21</v>
      </c>
      <c r="D20" s="5" t="n">
        <v>407</v>
      </c>
    </row>
    <row r="21" customFormat="false" ht="15" hidden="false" customHeight="true" outlineLevel="0" collapsed="false">
      <c r="A21" s="1" t="s">
        <v>51</v>
      </c>
      <c r="B21" s="1" t="s">
        <v>25</v>
      </c>
      <c r="C21" s="1" t="s">
        <v>21</v>
      </c>
      <c r="D21" s="5" t="n">
        <v>414</v>
      </c>
    </row>
    <row r="22" customFormat="false" ht="15" hidden="false" customHeight="true" outlineLevel="0" collapsed="false">
      <c r="A22" s="1" t="s">
        <v>52</v>
      </c>
      <c r="B22" s="1" t="s">
        <v>25</v>
      </c>
      <c r="C22" s="1" t="s">
        <v>26</v>
      </c>
      <c r="D22" s="5" t="n">
        <v>4021</v>
      </c>
    </row>
    <row r="23" customFormat="false" ht="15" hidden="false" customHeight="true" outlineLevel="0" collapsed="false">
      <c r="A23" s="1" t="s">
        <v>53</v>
      </c>
      <c r="B23" s="1" t="s">
        <v>43</v>
      </c>
      <c r="C23" s="1" t="s">
        <v>26</v>
      </c>
      <c r="D23" s="5" t="n">
        <v>4389</v>
      </c>
    </row>
    <row r="24" customFormat="false" ht="15" hidden="false" customHeight="true" outlineLevel="0" collapsed="false">
      <c r="A24" s="1" t="s">
        <v>54</v>
      </c>
      <c r="B24" s="1" t="s">
        <v>30</v>
      </c>
      <c r="C24" s="1" t="s">
        <v>28</v>
      </c>
      <c r="D24" s="5" t="n">
        <v>2202</v>
      </c>
    </row>
    <row r="25" customFormat="false" ht="15" hidden="false" customHeight="true" outlineLevel="0" collapsed="false">
      <c r="A25" s="1" t="s">
        <v>55</v>
      </c>
      <c r="B25" s="1" t="s">
        <v>56</v>
      </c>
      <c r="C25" s="1" t="s">
        <v>31</v>
      </c>
      <c r="D25" s="5" t="n">
        <v>570</v>
      </c>
    </row>
    <row r="26" customFormat="false" ht="15" hidden="false" customHeight="true" outlineLevel="0" collapsed="false">
      <c r="A26" s="1" t="s">
        <v>57</v>
      </c>
      <c r="B26" s="1" t="s">
        <v>41</v>
      </c>
      <c r="C26" s="1" t="s">
        <v>26</v>
      </c>
      <c r="D26" s="5" t="n">
        <v>3576</v>
      </c>
    </row>
    <row r="27" customFormat="false" ht="15" hidden="false" customHeight="true" outlineLevel="0" collapsed="false">
      <c r="A27" s="1" t="s">
        <v>58</v>
      </c>
      <c r="B27" s="1" t="s">
        <v>43</v>
      </c>
      <c r="C27" s="1" t="s">
        <v>31</v>
      </c>
      <c r="D27" s="5" t="n">
        <v>4211</v>
      </c>
    </row>
    <row r="28" customFormat="false" ht="15" hidden="false" customHeight="true" outlineLevel="0" collapsed="false">
      <c r="A28" s="1" t="s">
        <v>59</v>
      </c>
      <c r="B28" s="1" t="s">
        <v>41</v>
      </c>
      <c r="C28" s="1" t="s">
        <v>26</v>
      </c>
      <c r="D28" s="5" t="n">
        <v>2166</v>
      </c>
    </row>
    <row r="29" customFormat="false" ht="15" hidden="false" customHeight="true" outlineLevel="0" collapsed="false">
      <c r="A29" s="1" t="s">
        <v>60</v>
      </c>
      <c r="B29" s="1" t="s">
        <v>20</v>
      </c>
      <c r="C29" s="1" t="s">
        <v>26</v>
      </c>
      <c r="D29" s="5" t="n">
        <v>1062</v>
      </c>
    </row>
    <row r="30" customFormat="false" ht="15" hidden="false" customHeight="true" outlineLevel="0" collapsed="false">
      <c r="A30" s="1" t="s">
        <v>61</v>
      </c>
      <c r="B30" s="1" t="s">
        <v>41</v>
      </c>
      <c r="C30" s="1" t="s">
        <v>26</v>
      </c>
      <c r="D30" s="5" t="n">
        <v>2291</v>
      </c>
    </row>
    <row r="31" customFormat="false" ht="15" hidden="false" customHeight="true" outlineLevel="0" collapsed="false">
      <c r="A31" s="1" t="s">
        <v>62</v>
      </c>
      <c r="B31" s="1" t="s">
        <v>30</v>
      </c>
      <c r="C31" s="1" t="s">
        <v>21</v>
      </c>
      <c r="D31" s="5" t="n">
        <v>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20"/>
    <col collapsed="false" customWidth="true" hidden="false" outlineLevel="0" max="3" min="3" style="1" width="28"/>
    <col collapsed="false" customWidth="true" hidden="false" outlineLevel="0" max="4" min="4" style="1" width="25"/>
    <col collapsed="false" customWidth="true" hidden="false" outlineLevel="0" max="5" min="5" style="1" width="20"/>
  </cols>
  <sheetData>
    <row r="1" customFormat="false" ht="15" hidden="false" customHeight="true" outlineLevel="0" collapsed="false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G1" s="6" t="s">
        <v>68</v>
      </c>
    </row>
    <row r="2" customFormat="false" ht="15" hidden="false" customHeight="true" outlineLevel="0" collapsed="false">
      <c r="A2" s="1" t="s">
        <v>26</v>
      </c>
      <c r="B2" s="1" t="str">
        <f aca="false">TRIM(LEFT(A2,FIND(",",A2)-1))</f>
        <v>Flat 12B</v>
      </c>
      <c r="C2" s="1" t="str">
        <f aca="false">TRIM(MID(A2,FIND(",",A2)+1,FIND(",",A2,FIND(",",A2)+1)-FIND(",",A2)-1))</f>
        <v>Sunrise Apartments</v>
      </c>
      <c r="D2" s="1" t="str">
        <f aca="false">TRIM(MID(A2,FIND(",",A2,FIND(",",A2)+1)+1,FIND(",",A2,FIND(",",A2,FIND(",",A2)+1)+1)-FIND(",",A2,FIND(",",A2)+1)-1))</f>
        <v>SG Highway</v>
      </c>
      <c r="E2" s="1" t="str">
        <f aca="false">TRIM(MID(A2,FIND(",",A2,FIND(",",A2,FIND(",",A2)+1)+1)+1,LEN(A2)))</f>
        <v>Ahmedabad</v>
      </c>
      <c r="G2" s="7" t="s">
        <v>69</v>
      </c>
      <c r="H2" s="7"/>
      <c r="I2" s="7"/>
      <c r="J2" s="7"/>
    </row>
    <row r="3" customFormat="false" ht="15" hidden="false" customHeight="true" outlineLevel="0" collapsed="false">
      <c r="A3" s="1" t="s">
        <v>28</v>
      </c>
      <c r="B3" s="1" t="str">
        <f aca="false">TRIM(LEFT(A3,FIND(",",A3)-1))</f>
        <v>House 21</v>
      </c>
      <c r="C3" s="1" t="str">
        <f aca="false">TRIM(MID(A3,FIND(",",A3)+1,FIND(",",A3,FIND(",",A3)+1)-FIND(",",A3)-1))</f>
        <v>Green Residency</v>
      </c>
      <c r="D3" s="1" t="str">
        <f aca="false">TRIM(MID(A3,FIND(",",A3,FIND(",",A3)+1)+1,FIND(",",A3,FIND(",",A3,FIND(",",A3)+1)+1)-FIND(",",A3,FIND(",",A3)+1)-1))</f>
        <v>Ring Road</v>
      </c>
      <c r="E3" s="1" t="str">
        <f aca="false">TRIM(MID(A3,FIND(",",A3,FIND(",",A3,FIND(",",A3)+1)+1)+1,LEN(A3)))</f>
        <v>Surat</v>
      </c>
      <c r="G3" s="7"/>
      <c r="H3" s="7"/>
      <c r="I3" s="7"/>
      <c r="J3" s="7"/>
    </row>
    <row r="4" customFormat="false" ht="15" hidden="false" customHeight="true" outlineLevel="0" collapsed="false">
      <c r="A4" s="1" t="s">
        <v>31</v>
      </c>
      <c r="B4" s="1" t="str">
        <f aca="false">TRIM(LEFT(A4,FIND(",",A4)-1))</f>
        <v>Flat 4A</v>
      </c>
      <c r="C4" s="1" t="str">
        <f aca="false">TRIM(MID(A4,FIND(",",A4)+1,FIND(",",A4,FIND(",",A4)+1)-FIND(",",A4)-1))</f>
        <v>Royal Heights</v>
      </c>
      <c r="D4" s="1" t="str">
        <f aca="false">TRIM(MID(A4,FIND(",",A4,FIND(",",A4)+1)+1,FIND(",",A4,FIND(",",A4,FIND(",",A4)+1)+1)-FIND(",",A4,FIND(",",A4)+1)-1))</f>
        <v>Kalawad Road</v>
      </c>
      <c r="E4" s="1" t="str">
        <f aca="false">TRIM(MID(A4,FIND(",",A4,FIND(",",A4,FIND(",",A4)+1)+1)+1,LEN(A4)))</f>
        <v>Rajkot</v>
      </c>
      <c r="G4" s="7"/>
      <c r="H4" s="7"/>
      <c r="I4" s="7"/>
      <c r="J4" s="7"/>
    </row>
    <row r="5" customFormat="false" ht="15" hidden="false" customHeight="true" outlineLevel="0" collapsed="false">
      <c r="A5" s="1" t="s">
        <v>21</v>
      </c>
      <c r="B5" s="1" t="str">
        <f aca="false">TRIM(LEFT(A5,FIND(",",A5)-1))</f>
        <v>House 7</v>
      </c>
      <c r="C5" s="1" t="str">
        <f aca="false">TRIM(MID(A5,FIND(",",A5)+1,FIND(",",A5,FIND(",",A5)+1)-FIND(",",A5)-1))</f>
        <v>Lake View</v>
      </c>
      <c r="D5" s="1" t="str">
        <f aca="false">TRIM(MID(A5,FIND(",",A5,FIND(",",A5)+1)+1,FIND(",",A5,FIND(",",A5,FIND(",",A5)+1)+1)-FIND(",",A5,FIND(",",A5)+1)-1))</f>
        <v>Race Course Road</v>
      </c>
      <c r="E5" s="1" t="str">
        <f aca="false">TRIM(MID(A5,FIND(",",A5,FIND(",",A5,FIND(",",A5)+1)+1)+1,LEN(A5)))</f>
        <v>Vadodara</v>
      </c>
      <c r="G5" s="7"/>
      <c r="H5" s="7"/>
      <c r="I5" s="7"/>
      <c r="J5" s="7"/>
    </row>
    <row r="6" customFormat="false" ht="15" hidden="false" customHeight="true" outlineLevel="0" collapsed="false">
      <c r="A6" s="1" t="s">
        <v>70</v>
      </c>
      <c r="B6" s="1" t="str">
        <f aca="false">TRIM(LEFT(A6,FIND(",",A6)-1))</f>
        <v>Flat 10C</v>
      </c>
      <c r="C6" s="1" t="str">
        <f aca="false">TRIM(MID(A6,FIND(",",A6)+1,FIND(",",A6,FIND(",",A6)+1)-FIND(",",A6)-1))</f>
        <v>Silver Tower</v>
      </c>
      <c r="D6" s="1" t="str">
        <f aca="false">TRIM(MID(A6,FIND(",",A6,FIND(",",A6)+1)+1,FIND(",",A6,FIND(",",A6,FIND(",",A6)+1)+1)-FIND(",",A6,FIND(",",A6)+1)-1))</f>
        <v>C G Road</v>
      </c>
      <c r="E6" s="1" t="str">
        <f aca="false">TRIM(MID(A6,FIND(",",A6,FIND(",",A6,FIND(",",A6)+1)+1)+1,LEN(A6)))</f>
        <v>Ahmedabad</v>
      </c>
    </row>
  </sheetData>
  <mergeCells count="1">
    <mergeCell ref="G2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3" min="2" style="1" width="28"/>
  </cols>
  <sheetData>
    <row r="1" customFormat="false" ht="15" hidden="false" customHeight="true" outlineLevel="0" collapsed="false">
      <c r="A1" s="3" t="s">
        <v>71</v>
      </c>
      <c r="B1" s="3" t="s">
        <v>72</v>
      </c>
      <c r="C1" s="3" t="s">
        <v>73</v>
      </c>
      <c r="E1" s="6" t="s">
        <v>74</v>
      </c>
    </row>
    <row r="2" customFormat="false" ht="15" hidden="false" customHeight="true" outlineLevel="0" collapsed="false">
      <c r="A2" s="1" t="s">
        <v>75</v>
      </c>
      <c r="B2" s="8" t="s">
        <v>76</v>
      </c>
      <c r="C2" s="1" t="s">
        <v>76</v>
      </c>
      <c r="E2" s="7" t="s">
        <v>77</v>
      </c>
      <c r="F2" s="7"/>
      <c r="G2" s="7"/>
      <c r="H2" s="7"/>
    </row>
    <row r="3" customFormat="false" ht="15" hidden="false" customHeight="true" outlineLevel="0" collapsed="false">
      <c r="A3" s="1" t="s">
        <v>78</v>
      </c>
      <c r="C3" s="1" t="s">
        <v>79</v>
      </c>
      <c r="E3" s="7"/>
      <c r="F3" s="7"/>
      <c r="G3" s="7"/>
      <c r="H3" s="7"/>
    </row>
    <row r="4" customFormat="false" ht="15" hidden="false" customHeight="true" outlineLevel="0" collapsed="false">
      <c r="A4" s="1" t="s">
        <v>80</v>
      </c>
      <c r="C4" s="1" t="s">
        <v>81</v>
      </c>
      <c r="E4" s="7"/>
      <c r="F4" s="7"/>
      <c r="G4" s="7"/>
      <c r="H4" s="7"/>
    </row>
    <row r="5" customFormat="false" ht="15" hidden="false" customHeight="true" outlineLevel="0" collapsed="false">
      <c r="A5" s="1" t="s">
        <v>82</v>
      </c>
      <c r="C5" s="1" t="s">
        <v>83</v>
      </c>
      <c r="E5" s="7"/>
      <c r="F5" s="7"/>
      <c r="G5" s="7"/>
      <c r="H5" s="7"/>
    </row>
    <row r="6" customFormat="false" ht="15" hidden="false" customHeight="true" outlineLevel="0" collapsed="false">
      <c r="A6" s="1" t="s">
        <v>84</v>
      </c>
      <c r="C6" s="1" t="s">
        <v>85</v>
      </c>
    </row>
    <row r="7" customFormat="false" ht="15" hidden="false" customHeight="true" outlineLevel="0" collapsed="false">
      <c r="A7" s="1" t="s">
        <v>86</v>
      </c>
      <c r="C7" s="1" t="s">
        <v>87</v>
      </c>
    </row>
    <row r="8" customFormat="false" ht="15" hidden="false" customHeight="true" outlineLevel="0" collapsed="false">
      <c r="A8" s="1" t="s">
        <v>88</v>
      </c>
      <c r="C8" s="1" t="s">
        <v>89</v>
      </c>
    </row>
    <row r="9" customFormat="false" ht="15" hidden="false" customHeight="true" outlineLevel="0" collapsed="false">
      <c r="A9" s="1" t="s">
        <v>90</v>
      </c>
      <c r="C9" s="1" t="s">
        <v>91</v>
      </c>
    </row>
    <row r="10" customFormat="false" ht="15" hidden="false" customHeight="true" outlineLevel="0" collapsed="false">
      <c r="A10" s="1" t="s">
        <v>92</v>
      </c>
      <c r="C10" s="1" t="s">
        <v>93</v>
      </c>
    </row>
    <row r="11" customFormat="false" ht="15" hidden="false" customHeight="true" outlineLevel="0" collapsed="false">
      <c r="A11" s="1" t="s">
        <v>94</v>
      </c>
      <c r="C11" s="1" t="s">
        <v>95</v>
      </c>
    </row>
  </sheetData>
  <mergeCells count="1">
    <mergeCell ref="E2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20"/>
  </cols>
  <sheetData>
    <row r="1" customFormat="false" ht="15" hidden="false" customHeight="true" outlineLevel="0" collapsed="false">
      <c r="A1" s="3" t="s">
        <v>96</v>
      </c>
      <c r="B1" s="3" t="s">
        <v>97</v>
      </c>
      <c r="C1" s="3" t="s">
        <v>98</v>
      </c>
      <c r="E1" s="6" t="s">
        <v>99</v>
      </c>
    </row>
    <row r="2" customFormat="false" ht="15" hidden="false" customHeight="true" outlineLevel="0" collapsed="false">
      <c r="A2" s="1" t="s">
        <v>100</v>
      </c>
      <c r="C2" s="1" t="s">
        <v>101</v>
      </c>
      <c r="E2" s="7" t="s">
        <v>102</v>
      </c>
      <c r="F2" s="7"/>
      <c r="G2" s="7"/>
      <c r="H2" s="7"/>
    </row>
    <row r="3" customFormat="false" ht="15" hidden="false" customHeight="true" outlineLevel="0" collapsed="false">
      <c r="A3" s="1" t="s">
        <v>103</v>
      </c>
      <c r="C3" s="1" t="s">
        <v>104</v>
      </c>
      <c r="E3" s="7"/>
      <c r="F3" s="7"/>
      <c r="G3" s="7"/>
      <c r="H3" s="7"/>
    </row>
    <row r="4" customFormat="false" ht="15" hidden="false" customHeight="true" outlineLevel="0" collapsed="false">
      <c r="A4" s="1" t="s">
        <v>105</v>
      </c>
      <c r="C4" s="1" t="s">
        <v>105</v>
      </c>
      <c r="E4" s="7"/>
      <c r="F4" s="7"/>
      <c r="G4" s="7"/>
      <c r="H4" s="7"/>
    </row>
    <row r="5" customFormat="false" ht="15" hidden="false" customHeight="true" outlineLevel="0" collapsed="false">
      <c r="A5" s="1" t="s">
        <v>106</v>
      </c>
      <c r="C5" s="1" t="s">
        <v>107</v>
      </c>
      <c r="E5" s="7"/>
      <c r="F5" s="7"/>
      <c r="G5" s="7"/>
      <c r="H5" s="7"/>
    </row>
    <row r="6" customFormat="false" ht="15" hidden="false" customHeight="true" outlineLevel="0" collapsed="false">
      <c r="A6" s="1" t="s">
        <v>108</v>
      </c>
      <c r="C6" s="1" t="s">
        <v>108</v>
      </c>
      <c r="E6" s="7"/>
      <c r="F6" s="7"/>
      <c r="G6" s="7"/>
      <c r="H6" s="7"/>
    </row>
    <row r="7" customFormat="false" ht="15" hidden="false" customHeight="true" outlineLevel="0" collapsed="false">
      <c r="A7" s="1" t="s">
        <v>109</v>
      </c>
      <c r="C7" s="1" t="s">
        <v>110</v>
      </c>
    </row>
    <row r="8" customFormat="false" ht="15" hidden="false" customHeight="true" outlineLevel="0" collapsed="false">
      <c r="A8" s="1" t="s">
        <v>111</v>
      </c>
      <c r="C8" s="1" t="s">
        <v>111</v>
      </c>
    </row>
    <row r="9" customFormat="false" ht="15" hidden="false" customHeight="true" outlineLevel="0" collapsed="false">
      <c r="A9" s="1" t="s">
        <v>112</v>
      </c>
      <c r="C9" s="1" t="s">
        <v>113</v>
      </c>
    </row>
    <row r="10" customFormat="false" ht="15" hidden="false" customHeight="true" outlineLevel="0" collapsed="false">
      <c r="A10" s="1" t="s">
        <v>114</v>
      </c>
      <c r="C10" s="1" t="s">
        <v>114</v>
      </c>
    </row>
    <row r="11" customFormat="false" ht="15" hidden="false" customHeight="true" outlineLevel="0" collapsed="false">
      <c r="A11" s="1" t="s">
        <v>115</v>
      </c>
      <c r="C11" s="1" t="s">
        <v>116</v>
      </c>
    </row>
  </sheetData>
  <mergeCells count="1">
    <mergeCell ref="E2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4"/>
    <col collapsed="false" customWidth="true" hidden="false" outlineLevel="0" max="4" min="4" style="1" width="28"/>
    <col collapsed="false" customWidth="true" hidden="false" outlineLevel="0" max="5" min="5" style="1" width="18"/>
  </cols>
  <sheetData>
    <row r="1" customFormat="false" ht="15" hidden="false" customHeight="true" outlineLevel="0" collapsed="false">
      <c r="A1" s="3" t="s">
        <v>117</v>
      </c>
      <c r="B1" s="3" t="s">
        <v>118</v>
      </c>
      <c r="C1" s="3" t="s">
        <v>119</v>
      </c>
      <c r="D1" s="3" t="s">
        <v>120</v>
      </c>
      <c r="E1" s="3" t="s">
        <v>121</v>
      </c>
      <c r="G1" s="6" t="s">
        <v>122</v>
      </c>
    </row>
    <row r="2" customFormat="false" ht="15" hidden="false" customHeight="true" outlineLevel="0" collapsed="false">
      <c r="A2" s="1" t="s">
        <v>123</v>
      </c>
      <c r="B2" s="1" t="n">
        <v>120</v>
      </c>
      <c r="C2" s="1" t="n">
        <v>0</v>
      </c>
      <c r="D2" s="9" t="e">
        <f aca="false">B2/C2</f>
        <v>#DIV/0!</v>
      </c>
      <c r="E2" s="9" t="n">
        <f aca="false">IFERROR(B2/C2,0)</f>
        <v>0</v>
      </c>
      <c r="G2" s="7" t="s">
        <v>124</v>
      </c>
      <c r="H2" s="7"/>
      <c r="I2" s="7"/>
      <c r="J2" s="7"/>
    </row>
    <row r="3" customFormat="false" ht="15" hidden="false" customHeight="true" outlineLevel="0" collapsed="false">
      <c r="A3" s="1" t="s">
        <v>125</v>
      </c>
      <c r="B3" s="1" t="n">
        <v>95</v>
      </c>
      <c r="C3" s="1" t="n">
        <v>0</v>
      </c>
      <c r="D3" s="9" t="e">
        <f aca="false">B3/C3</f>
        <v>#DIV/0!</v>
      </c>
      <c r="E3" s="9" t="n">
        <f aca="false">IFERROR(B3/C3,0)</f>
        <v>0</v>
      </c>
      <c r="G3" s="7"/>
      <c r="H3" s="7"/>
      <c r="I3" s="7"/>
      <c r="J3" s="7"/>
    </row>
    <row r="4" customFormat="false" ht="15" hidden="false" customHeight="true" outlineLevel="0" collapsed="false">
      <c r="A4" s="1" t="s">
        <v>126</v>
      </c>
      <c r="B4" s="1" t="n">
        <v>80</v>
      </c>
      <c r="C4" s="1" t="n">
        <v>20</v>
      </c>
      <c r="D4" s="9" t="n">
        <f aca="false">B4/C4</f>
        <v>4</v>
      </c>
      <c r="E4" s="9" t="n">
        <f aca="false">IFERROR(B4/C4,0)</f>
        <v>4</v>
      </c>
      <c r="G4" s="7"/>
      <c r="H4" s="7"/>
      <c r="I4" s="7"/>
      <c r="J4" s="7"/>
    </row>
    <row r="5" customFormat="false" ht="15" hidden="false" customHeight="true" outlineLevel="0" collapsed="false">
      <c r="A5" s="1" t="s">
        <v>127</v>
      </c>
      <c r="B5" s="1" t="n">
        <v>75</v>
      </c>
      <c r="C5" s="1" t="n">
        <v>15</v>
      </c>
      <c r="D5" s="9" t="n">
        <f aca="false">B5/C5</f>
        <v>5</v>
      </c>
      <c r="E5" s="9" t="n">
        <f aca="false">IFERROR(B5/C5,0)</f>
        <v>5</v>
      </c>
      <c r="G5" s="7"/>
      <c r="H5" s="7"/>
      <c r="I5" s="7"/>
      <c r="J5" s="7"/>
    </row>
    <row r="6" customFormat="false" ht="15" hidden="false" customHeight="true" outlineLevel="0" collapsed="false">
      <c r="A6" s="1" t="s">
        <v>128</v>
      </c>
      <c r="B6" s="1" t="n">
        <v>60</v>
      </c>
      <c r="C6" s="1" t="n">
        <v>10</v>
      </c>
      <c r="D6" s="9" t="n">
        <f aca="false">B6/C6</f>
        <v>6</v>
      </c>
      <c r="E6" s="9" t="n">
        <f aca="false">IFERROR(B6/C6,0)</f>
        <v>6</v>
      </c>
      <c r="G6" s="7"/>
      <c r="H6" s="7"/>
      <c r="I6" s="7"/>
      <c r="J6" s="7"/>
    </row>
    <row r="7" customFormat="false" ht="15" hidden="false" customHeight="true" outlineLevel="0" collapsed="false">
      <c r="A7" s="1" t="s">
        <v>129</v>
      </c>
      <c r="B7" s="1" t="n">
        <v>110</v>
      </c>
      <c r="C7" s="1" t="n">
        <v>0</v>
      </c>
      <c r="D7" s="9" t="e">
        <f aca="false">B7/C7</f>
        <v>#DIV/0!</v>
      </c>
      <c r="E7" s="9" t="n">
        <f aca="false">IFERROR(B7/C7,0)</f>
        <v>0</v>
      </c>
      <c r="G7" s="7"/>
      <c r="H7" s="7"/>
      <c r="I7" s="7"/>
      <c r="J7" s="7"/>
    </row>
    <row r="8" customFormat="false" ht="15" hidden="false" customHeight="true" outlineLevel="0" collapsed="false">
      <c r="A8" s="1" t="s">
        <v>130</v>
      </c>
      <c r="B8" s="1" t="s">
        <v>131</v>
      </c>
      <c r="C8" s="1" t="n">
        <v>5</v>
      </c>
      <c r="D8" s="9" t="e">
        <f aca="false">B8/C8</f>
        <v>#VALUE!</v>
      </c>
      <c r="E8" s="9" t="n">
        <f aca="false">IFERROR(B8/C8,0)</f>
        <v>0</v>
      </c>
    </row>
    <row r="9" customFormat="false" ht="15" hidden="false" customHeight="true" outlineLevel="0" collapsed="false">
      <c r="A9" s="1" t="s">
        <v>132</v>
      </c>
      <c r="B9" s="1" t="n">
        <v>0</v>
      </c>
      <c r="C9" s="1" t="n">
        <v>0</v>
      </c>
      <c r="D9" s="9" t="e">
        <f aca="false">B9/C9</f>
        <v>#DIV/0!</v>
      </c>
      <c r="E9" s="9" t="n">
        <f aca="false">IFERROR(B9/C9,0)</f>
        <v>0</v>
      </c>
    </row>
    <row r="10" customFormat="false" ht="15" hidden="false" customHeight="true" outlineLevel="0" collapsed="false">
      <c r="A10" s="1" t="s">
        <v>133</v>
      </c>
      <c r="B10" s="1" t="n">
        <v>85</v>
      </c>
      <c r="C10" s="1" t="n">
        <v>10</v>
      </c>
      <c r="D10" s="9" t="n">
        <f aca="false">B10/C10</f>
        <v>8.5</v>
      </c>
      <c r="E10" s="9" t="n">
        <f aca="false">IFERROR(B10/C10,0)</f>
        <v>8.5</v>
      </c>
    </row>
    <row r="11" customFormat="false" ht="15" hidden="false" customHeight="true" outlineLevel="0" collapsed="false">
      <c r="A11" s="1" t="s">
        <v>134</v>
      </c>
      <c r="B11" s="1" t="n">
        <v>50</v>
      </c>
      <c r="C11" s="1" t="n">
        <v>25</v>
      </c>
      <c r="D11" s="9" t="n">
        <f aca="false">B11/C11</f>
        <v>2</v>
      </c>
      <c r="E11" s="9" t="n">
        <f aca="false">IFERROR(B11/C11,0)</f>
        <v>2</v>
      </c>
    </row>
  </sheetData>
  <mergeCells count="1">
    <mergeCell ref="G2:J7"/>
  </mergeCells>
  <conditionalFormatting sqref="D2:D11">
    <cfRule type="cellIs" priority="2" operator="equal" aboveAverage="0" equalAverage="0" bottom="0" percent="0" rank="0" text="" dxfId="4">
      <formula>"#DIV/0!"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0"/>
  </cols>
  <sheetData>
    <row r="1" customFormat="false" ht="15" hidden="false" customHeight="true" outlineLevel="0" collapsed="false">
      <c r="A1" s="3" t="s">
        <v>1</v>
      </c>
      <c r="B1" s="3" t="s">
        <v>135</v>
      </c>
    </row>
    <row r="2" customFormat="false" ht="15" hidden="false" customHeight="true" outlineLevel="0" collapsed="false">
      <c r="A2" s="1" t="s">
        <v>3</v>
      </c>
      <c r="B2" s="1" t="s">
        <v>136</v>
      </c>
    </row>
    <row r="3" customFormat="false" ht="15" hidden="false" customHeight="true" outlineLevel="0" collapsed="false">
      <c r="A3" s="1" t="s">
        <v>5</v>
      </c>
      <c r="B3" s="1" t="s">
        <v>137</v>
      </c>
    </row>
    <row r="4" customFormat="false" ht="15" hidden="false" customHeight="true" outlineLevel="0" collapsed="false">
      <c r="A4" s="1" t="s">
        <v>7</v>
      </c>
      <c r="B4" s="1" t="s">
        <v>138</v>
      </c>
    </row>
    <row r="5" customFormat="false" ht="15" hidden="false" customHeight="true" outlineLevel="0" collapsed="false">
      <c r="A5" s="1" t="s">
        <v>9</v>
      </c>
      <c r="B5" s="1" t="s">
        <v>139</v>
      </c>
    </row>
    <row r="6" customFormat="false" ht="15" hidden="false" customHeight="true" outlineLevel="0" collapsed="false">
      <c r="A6" s="1" t="s">
        <v>11</v>
      </c>
      <c r="B6" s="1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2026-08-08T14:20:40Z</dcterms:created>
  <dc:creator>openpyxl</dc:creator>
  <dc:description/>
  <dc:language>en-US</dc:language>
  <cp:lastModifiedBy/>
  <dcterms:modified xsi:type="dcterms:W3CDTF">2026-08-08T16:34:42Z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