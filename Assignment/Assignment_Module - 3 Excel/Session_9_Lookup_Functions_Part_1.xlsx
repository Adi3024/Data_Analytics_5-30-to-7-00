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VLOOKUP" sheetId="1" state="visible" r:id="rId1"/>
    <sheet xmlns:r="http://schemas.openxmlformats.org/officeDocument/2006/relationships" name="Task2_HLOOKUP" sheetId="2" state="visible" r:id="rId2"/>
    <sheet xmlns:r="http://schemas.openxmlformats.org/officeDocument/2006/relationships" name="Task3_Approx_VLOOKUP" sheetId="3" state="visible" r:id="rId3"/>
    <sheet xmlns:r="http://schemas.openxmlformats.org/officeDocument/2006/relationships" name="Task4_VLOOKUP_Limitation" sheetId="4" state="visible" r:id="rId4"/>
    <sheet xmlns:r="http://schemas.openxmlformats.org/officeDocument/2006/relationships" name="Submission_Answers" sheetId="5" state="visible" r:id="rId5"/>
  </sheets>
  <definedNames>
    <definedName name="_xlnm._FilterDatabase" localSheetId="0" hidden="1">'Task1_VLOOKUP'!$A$3:$B$13</definedName>
    <definedName name="_xlnm._FilterDatabase" localSheetId="2" hidden="1">'Task3_Approx_VLOOKUP'!$A$3:$B$15</definedName>
    <definedName name="_xlnm._FilterDatabase" localSheetId="3" hidden="1">'Task4_VLOOKUP_Limitation'!$A$3:$C$13</definedName>
    <definedName name="_xlnm._FilterDatabase" localSheetId="4" hidden="1">'Submission_Answers'!$A$3:$F$7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pivotButton="0" quotePrefix="0" xfId="0"/>
    <xf numFmtId="164" fontId="0" fillId="4" borderId="1" pivotButton="0" quotePrefix="0" xfId="0"/>
    <xf numFmtId="165" fontId="0" fillId="0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5" customWidth="1" min="4" max="4"/>
    <col width="22" customWidth="1" min="5" max="5"/>
  </cols>
  <sheetData>
    <row r="1">
      <c r="A1" s="1" t="inlineStr">
        <is>
          <t>Task 1 – VLOOKUP: Flipkart Product Price</t>
        </is>
      </c>
    </row>
    <row r="3">
      <c r="A3" s="2" t="inlineStr">
        <is>
          <t>Product Name</t>
        </is>
      </c>
      <c r="B3" s="2" t="inlineStr">
        <is>
          <t>Price (₹)</t>
        </is>
      </c>
      <c r="D3" s="3" t="inlineStr">
        <is>
          <t>Lookup Product</t>
        </is>
      </c>
      <c r="E3" s="3" t="inlineStr">
        <is>
          <t>VLOOKUP Price</t>
        </is>
      </c>
    </row>
    <row r="4">
      <c r="A4" s="4" t="inlineStr">
        <is>
          <t>Wireless Headphones</t>
        </is>
      </c>
      <c r="B4" s="5" t="n">
        <v>1499</v>
      </c>
      <c r="D4" s="6" t="inlineStr">
        <is>
          <t>Smart Watch</t>
        </is>
      </c>
      <c r="E4" s="7">
        <f>VLOOKUP(D4,A4:B13,2,FALSE)</f>
        <v/>
      </c>
    </row>
    <row r="5">
      <c r="A5" s="4" t="inlineStr">
        <is>
          <t>Smart Watch</t>
        </is>
      </c>
      <c r="B5" s="5" t="n">
        <v>2299</v>
      </c>
    </row>
    <row r="6">
      <c r="A6" s="4" t="inlineStr">
        <is>
          <t>Laptop Stand</t>
        </is>
      </c>
      <c r="B6" s="5" t="n">
        <v>899</v>
      </c>
    </row>
    <row r="7">
      <c r="A7" s="4" t="inlineStr">
        <is>
          <t>Bluetooth Speaker</t>
        </is>
      </c>
      <c r="B7" s="5" t="n">
        <v>1799</v>
      </c>
    </row>
    <row r="8">
      <c r="A8" s="4" t="inlineStr">
        <is>
          <t>USB-C Charger</t>
        </is>
      </c>
      <c r="B8" s="5" t="n">
        <v>699</v>
      </c>
    </row>
    <row r="9">
      <c r="A9" s="4" t="inlineStr">
        <is>
          <t>Power Bank</t>
        </is>
      </c>
      <c r="B9" s="5" t="n">
        <v>1299</v>
      </c>
    </row>
    <row r="10">
      <c r="A10" s="4" t="inlineStr">
        <is>
          <t>Mechanical Keyboard</t>
        </is>
      </c>
      <c r="B10" s="5" t="n">
        <v>2499</v>
      </c>
    </row>
    <row r="11">
      <c r="A11" s="4" t="inlineStr">
        <is>
          <t>Gaming Mouse</t>
        </is>
      </c>
      <c r="B11" s="5" t="n">
        <v>1199</v>
      </c>
    </row>
    <row r="12">
      <c r="A12" s="4" t="inlineStr">
        <is>
          <t>Phone Cover</t>
        </is>
      </c>
      <c r="B12" s="5" t="n">
        <v>399</v>
      </c>
    </row>
    <row r="13">
      <c r="A13" s="4" t="inlineStr">
        <is>
          <t>Water Bottle</t>
        </is>
      </c>
      <c r="B13" s="5" t="n">
        <v>549</v>
      </c>
    </row>
  </sheetData>
  <autoFilter ref="A3:B13"/>
  <mergeCells count="1">
    <mergeCell ref="A1:B1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Task 2 – HLOOKUP: Zomato-Style Dish Ratings</t>
        </is>
      </c>
    </row>
    <row r="3">
      <c r="A3" s="3" t="inlineStr">
        <is>
          <t>Pizza Margherita</t>
        </is>
      </c>
      <c r="B3" s="3" t="inlineStr">
        <is>
          <t>Paneer Tikka</t>
        </is>
      </c>
      <c r="C3" s="3" t="inlineStr">
        <is>
          <t>Veg Biryani</t>
        </is>
      </c>
      <c r="D3" s="3" t="inlineStr">
        <is>
          <t>Masala Dosa</t>
        </is>
      </c>
      <c r="E3" s="3" t="inlineStr">
        <is>
          <t>Pasta Alfredo</t>
        </is>
      </c>
      <c r="F3" s="3" t="inlineStr">
        <is>
          <t>Burger</t>
        </is>
      </c>
      <c r="G3" s="3" t="inlineStr">
        <is>
          <t>Chole Bhature</t>
        </is>
      </c>
      <c r="H3" s="3" t="inlineStr">
        <is>
          <t>Hakka Noodles</t>
        </is>
      </c>
    </row>
    <row r="4">
      <c r="A4" s="8" t="n">
        <v>4.5</v>
      </c>
      <c r="B4" s="8" t="n">
        <v>4.7</v>
      </c>
      <c r="C4" s="8" t="n">
        <v>4.3</v>
      </c>
      <c r="D4" s="8" t="n">
        <v>4.6</v>
      </c>
      <c r="E4" s="8" t="n">
        <v>4.2</v>
      </c>
      <c r="F4" s="8" t="n">
        <v>4.4</v>
      </c>
      <c r="G4" s="8" t="n">
        <v>4.1</v>
      </c>
      <c r="H4" s="8" t="n">
        <v>4.5</v>
      </c>
    </row>
    <row r="6">
      <c r="A6" s="3" t="inlineStr">
        <is>
          <t>Lookup Dish</t>
        </is>
      </c>
      <c r="B6" s="3" t="inlineStr">
        <is>
          <t>HLOOKUP Rating</t>
        </is>
      </c>
    </row>
    <row r="7">
      <c r="A7" s="6" t="inlineStr">
        <is>
          <t>Paneer Tikka</t>
        </is>
      </c>
      <c r="B7" s="9">
        <f>HLOOKUP(A7,A3:H4,2,FALSE)</f>
        <v/>
      </c>
    </row>
  </sheetData>
  <mergeCells count="1">
    <mergeCell ref="A1:I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4" max="4"/>
    <col width="28" customWidth="1" min="5" max="5"/>
  </cols>
  <sheetData>
    <row r="1">
      <c r="A1" s="1" t="inlineStr">
        <is>
          <t>Task 3 – VLOOKUP Approximate Match (TRUE)</t>
        </is>
      </c>
    </row>
    <row r="3">
      <c r="A3" s="2" t="inlineStr">
        <is>
          <t>Instagram User</t>
        </is>
      </c>
      <c r="B3" s="2" t="inlineStr">
        <is>
          <t>Mobile Number</t>
        </is>
      </c>
      <c r="D3" s="3" t="inlineStr">
        <is>
          <t>Search Name</t>
        </is>
      </c>
      <c r="E3" s="3" t="inlineStr">
        <is>
          <t>Approximate VLOOKUP Result</t>
        </is>
      </c>
    </row>
    <row r="4">
      <c r="A4" s="4" t="inlineStr">
        <is>
          <t>Aarav</t>
        </is>
      </c>
      <c r="B4" s="5" t="n">
        <v>9876500001</v>
      </c>
      <c r="D4" s="6" t="inlineStr">
        <is>
          <t>Divy</t>
        </is>
      </c>
      <c r="E4" s="10">
        <f>VLOOKUP(D4,A4:B15,2,TRUE)</f>
        <v/>
      </c>
    </row>
    <row r="5">
      <c r="A5" s="4" t="inlineStr">
        <is>
          <t>Bhavya</t>
        </is>
      </c>
      <c r="B5" s="5" t="n">
        <v>9876500002</v>
      </c>
      <c r="D5" s="6" t="inlineStr">
        <is>
          <t>Divya</t>
        </is>
      </c>
      <c r="E5" s="10">
        <f>VLOOKUP(D5,A4:B15,2,TRUE)</f>
        <v/>
      </c>
    </row>
    <row r="6">
      <c r="A6" s="4" t="inlineStr">
        <is>
          <t>Chetan</t>
        </is>
      </c>
      <c r="B6" s="5" t="n">
        <v>9876500003</v>
      </c>
    </row>
    <row r="7">
      <c r="A7" s="4" t="inlineStr">
        <is>
          <t>Divya</t>
        </is>
      </c>
      <c r="B7" s="5" t="n">
        <v>9876500004</v>
      </c>
    </row>
    <row r="8">
      <c r="A8" s="4" t="inlineStr">
        <is>
          <t>Isha</t>
        </is>
      </c>
      <c r="B8" s="5" t="n">
        <v>9876500005</v>
      </c>
    </row>
    <row r="9">
      <c r="A9" s="4" t="inlineStr">
        <is>
          <t>Karan</t>
        </is>
      </c>
      <c r="B9" s="5" t="n">
        <v>9876500006</v>
      </c>
    </row>
    <row r="10">
      <c r="A10" s="4" t="inlineStr">
        <is>
          <t>Meera</t>
        </is>
      </c>
      <c r="B10" s="5" t="n">
        <v>9876500007</v>
      </c>
    </row>
    <row r="11">
      <c r="A11" s="4" t="inlineStr">
        <is>
          <t>Neha</t>
        </is>
      </c>
      <c r="B11" s="5" t="n">
        <v>9876500008</v>
      </c>
    </row>
    <row r="12">
      <c r="A12" s="4" t="inlineStr">
        <is>
          <t>Riya</t>
        </is>
      </c>
      <c r="B12" s="5" t="n">
        <v>9876500009</v>
      </c>
    </row>
    <row r="13">
      <c r="A13" s="4" t="inlineStr">
        <is>
          <t>Sahil</t>
        </is>
      </c>
      <c r="B13" s="5" t="n">
        <v>9876500010</v>
      </c>
    </row>
    <row r="14">
      <c r="A14" s="4" t="inlineStr">
        <is>
          <t>Tanvi</t>
        </is>
      </c>
      <c r="B14" s="5" t="n">
        <v>9876500011</v>
      </c>
    </row>
    <row r="15">
      <c r="A15" s="4" t="inlineStr">
        <is>
          <t>Varun</t>
        </is>
      </c>
      <c r="B15" s="5" t="n">
        <v>9876500012</v>
      </c>
    </row>
    <row r="18">
      <c r="A18" s="11" t="inlineStr">
        <is>
          <t>Observation</t>
        </is>
      </c>
      <c r="B18" s="12" t="inlineStr">
        <is>
          <t>With TRUE, VLOOKUP performs an approximate match. The lookup column must be sorted ascending. A non-exact text search may return the closest preceding match rather than #N/A, so the result can be misleading.</t>
        </is>
      </c>
    </row>
    <row r="19"/>
  </sheetData>
  <autoFilter ref="A3:B15"/>
  <mergeCells count="2">
    <mergeCell ref="A1:B1"/>
    <mergeCell ref="B18:E19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Task 4 – VLOOKUP Limitation: Lookup Column Must Be Leftmost</t>
        </is>
      </c>
    </row>
    <row r="3">
      <c r="A3" s="2" t="inlineStr">
        <is>
          <t>Discount</t>
        </is>
      </c>
      <c r="B3" s="2" t="inlineStr">
        <is>
          <t>Product Name</t>
        </is>
      </c>
      <c r="C3" s="2" t="inlineStr">
        <is>
          <t>Price (₹)</t>
        </is>
      </c>
      <c r="E3" s="3" t="inlineStr">
        <is>
          <t>Lookup Product</t>
        </is>
      </c>
      <c r="F3" s="3" t="inlineStr">
        <is>
          <t>VLOOKUP Attempt</t>
        </is>
      </c>
    </row>
    <row r="4">
      <c r="A4" s="4" t="inlineStr">
        <is>
          <t>10%</t>
        </is>
      </c>
      <c r="B4" s="5" t="inlineStr">
        <is>
          <t>Wireless Headphones</t>
        </is>
      </c>
      <c r="C4" s="5" t="n">
        <v>1499</v>
      </c>
      <c r="E4" s="6" t="inlineStr">
        <is>
          <t>Smart Watch</t>
        </is>
      </c>
      <c r="F4" s="13">
        <f>IFERROR(VLOOKUP(E4,A4:C13,3,FALSE),"#N/A – Product Name is not leftmost")</f>
        <v/>
      </c>
    </row>
    <row r="5">
      <c r="A5" s="4" t="inlineStr">
        <is>
          <t>15%</t>
        </is>
      </c>
      <c r="B5" s="5" t="inlineStr">
        <is>
          <t>Smart Watch</t>
        </is>
      </c>
      <c r="C5" s="5" t="n">
        <v>2299</v>
      </c>
    </row>
    <row r="6">
      <c r="A6" s="4" t="inlineStr">
        <is>
          <t>5%</t>
        </is>
      </c>
      <c r="B6" s="5" t="inlineStr">
        <is>
          <t>Laptop Stand</t>
        </is>
      </c>
      <c r="C6" s="5" t="n">
        <v>899</v>
      </c>
      <c r="E6" s="11" t="inlineStr">
        <is>
          <t>Correct workaround</t>
        </is>
      </c>
      <c r="F6" s="12" t="inlineStr">
        <is>
          <t>Use a range starting at Product Name, e.g. =VLOOKUP(E4,B4:C13,2,FALSE)</t>
        </is>
      </c>
    </row>
    <row r="7">
      <c r="A7" s="4" t="inlineStr">
        <is>
          <t>20%</t>
        </is>
      </c>
      <c r="B7" s="5" t="inlineStr">
        <is>
          <t>Bluetooth Speaker</t>
        </is>
      </c>
      <c r="C7" s="5" t="n">
        <v>1799</v>
      </c>
    </row>
    <row r="8">
      <c r="A8" s="4" t="inlineStr">
        <is>
          <t>8%</t>
        </is>
      </c>
      <c r="B8" s="5" t="inlineStr">
        <is>
          <t>USB-C Charger</t>
        </is>
      </c>
      <c r="C8" s="5" t="n">
        <v>699</v>
      </c>
    </row>
    <row r="9">
      <c r="A9" s="4" t="inlineStr">
        <is>
          <t>12%</t>
        </is>
      </c>
      <c r="B9" s="5" t="inlineStr">
        <is>
          <t>Power Bank</t>
        </is>
      </c>
      <c r="C9" s="5" t="n">
        <v>1299</v>
      </c>
    </row>
    <row r="10">
      <c r="A10" s="4" t="inlineStr">
        <is>
          <t>10%</t>
        </is>
      </c>
      <c r="B10" s="5" t="inlineStr">
        <is>
          <t>Mechanical Keyboard</t>
        </is>
      </c>
      <c r="C10" s="5" t="n">
        <v>2499</v>
      </c>
    </row>
    <row r="11">
      <c r="A11" s="4" t="inlineStr">
        <is>
          <t>18%</t>
        </is>
      </c>
      <c r="B11" s="5" t="inlineStr">
        <is>
          <t>Gaming Mouse</t>
        </is>
      </c>
      <c r="C11" s="5" t="n">
        <v>1199</v>
      </c>
    </row>
    <row r="12">
      <c r="A12" s="4" t="inlineStr">
        <is>
          <t>5%</t>
        </is>
      </c>
      <c r="B12" s="5" t="inlineStr">
        <is>
          <t>Phone Cover</t>
        </is>
      </c>
      <c r="C12" s="5" t="n">
        <v>399</v>
      </c>
    </row>
    <row r="13">
      <c r="A13" s="4" t="inlineStr">
        <is>
          <t>7%</t>
        </is>
      </c>
      <c r="B13" s="5" t="inlineStr">
        <is>
          <t>Water Bottle</t>
        </is>
      </c>
      <c r="C13" s="5" t="n">
        <v>549</v>
      </c>
    </row>
  </sheetData>
  <autoFilter ref="A3:C13"/>
  <mergeCells count="2">
    <mergeCell ref="A1:C1"/>
    <mergeCell ref="F6:H7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48" customWidth="1" min="3" max="3"/>
    <col width="30" customWidth="1" min="4" max="4"/>
    <col width="45" customWidth="1" min="5" max="5"/>
    <col width="40" customWidth="1" min="6" max="6"/>
  </cols>
  <sheetData>
    <row r="1">
      <c r="A1" s="1" t="inlineStr">
        <is>
          <t>Session 9 – Lookup Functions (Part 1) | Submission Answers</t>
        </is>
      </c>
    </row>
    <row r="3">
      <c r="A3" s="3" t="inlineStr">
        <is>
          <t>Task</t>
        </is>
      </c>
      <c r="B3" s="3" t="inlineStr">
        <is>
          <t>Function / Concept</t>
        </is>
      </c>
      <c r="C3" s="3" t="inlineStr">
        <is>
          <t>Formula</t>
        </is>
      </c>
      <c r="D3" s="3" t="inlineStr">
        <is>
          <t>Example Input</t>
        </is>
      </c>
      <c r="E3" s="3" t="inlineStr">
        <is>
          <t>Expected Result / Observation</t>
        </is>
      </c>
      <c r="F3" s="3" t="inlineStr">
        <is>
          <t>Purpose</t>
        </is>
      </c>
    </row>
    <row r="4">
      <c r="A4" s="4" t="n">
        <v>1</v>
      </c>
      <c r="B4" s="4" t="inlineStr">
        <is>
          <t>VLOOKUP</t>
        </is>
      </c>
      <c r="C4" s="5">
        <f>VLOOKUP(D4,A4:B13,2,FALSE)</f>
        <v/>
      </c>
      <c r="D4" s="4" t="inlineStr">
        <is>
          <t>Smart Watch</t>
        </is>
      </c>
      <c r="E4" s="5" t="inlineStr">
        <is>
          <t>₹2,299</t>
        </is>
      </c>
      <c r="F4" s="4" t="inlineStr">
        <is>
          <t>Exact product price lookup</t>
        </is>
      </c>
    </row>
    <row r="5">
      <c r="A5" s="4" t="n">
        <v>2</v>
      </c>
      <c r="B5" s="4" t="inlineStr">
        <is>
          <t>HLOOKUP</t>
        </is>
      </c>
      <c r="C5" s="5">
        <f>HLOOKUP(A7,A3:H4,2,FALSE)</f>
        <v/>
      </c>
      <c r="D5" s="4" t="inlineStr">
        <is>
          <t>Paneer Tikka</t>
        </is>
      </c>
      <c r="E5" s="5" t="inlineStr">
        <is>
          <t>4.7</t>
        </is>
      </c>
      <c r="F5" s="4" t="inlineStr">
        <is>
          <t>Horizontal dish rating lookup</t>
        </is>
      </c>
    </row>
    <row r="6">
      <c r="A6" s="4" t="n">
        <v>3</v>
      </c>
      <c r="B6" s="4" t="inlineStr">
        <is>
          <t>VLOOKUP TRUE</t>
        </is>
      </c>
      <c r="C6" s="5">
        <f>VLOOKUP(D4,A4:B15,2,TRUE)</f>
        <v/>
      </c>
      <c r="D6" s="4" t="inlineStr">
        <is>
          <t>Divy (misspelled)</t>
        </is>
      </c>
      <c r="E6" s="5" t="inlineStr">
        <is>
          <t>Approximate/closest preceding match; may be misleading</t>
        </is>
      </c>
      <c r="F6" s="4" t="inlineStr">
        <is>
          <t>Demonstrate approximate match behavior</t>
        </is>
      </c>
    </row>
    <row r="7">
      <c r="A7" s="4" t="n">
        <v>4</v>
      </c>
      <c r="B7" s="4" t="inlineStr">
        <is>
          <t>VLOOKUP limitation</t>
        </is>
      </c>
      <c r="C7" s="14">
        <f>VLOOKUP(E4,A4:C13,3,FALSE)</f>
        <v/>
      </c>
      <c r="D7" s="4" t="inlineStr">
        <is>
          <t>Smart Watch</t>
        </is>
      </c>
      <c r="E7" s="14" t="inlineStr">
        <is>
          <t>#N/A because Product Name is not leftmost in A:C</t>
        </is>
      </c>
      <c r="F7" s="4" t="inlineStr">
        <is>
          <t>Show VLOOKUP lookup-column limitation</t>
        </is>
      </c>
    </row>
    <row r="10">
      <c r="A10" s="11" t="inlineStr">
        <is>
          <t>Trainer Coverage</t>
        </is>
      </c>
      <c r="B10" t="inlineStr">
        <is>
          <t>VLOOKUP | HLOOKUP | Exact vs Approximate Match | VLOOKUP Limitations</t>
        </is>
      </c>
    </row>
  </sheetData>
  <autoFilter ref="A3:F7"/>
  <mergeCells count="2">
    <mergeCell ref="B10:F10"/>
    <mergeCell ref="A1:F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2026-08-08T13:24:18Z</dcterms:created>
  <dcterms:modified xmlns:dcterms="http://purl.org/dc/terms/" xmlns:xsi="http://www.w3.org/2001/XMLSchema-instance" xsi:type="dcterms:W3CDTF">2026-08-08T13:24:18Z</dcterms:modified>
</cp:coreProperties>
</file>