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STER\Desktop\"/>
    </mc:Choice>
  </mc:AlternateContent>
  <xr:revisionPtr revIDLastSave="0" documentId="8_{909F361A-836D-4314-B424-264C07B7D793}" xr6:coauthVersionLast="47" xr6:coauthVersionMax="47" xr10:uidLastSave="{00000000-0000-0000-0000-000000000000}"/>
  <bookViews>
    <workbookView xWindow="-120" yWindow="-120" windowWidth="20730" windowHeight="11160" tabRatio="500" firstSheet="10" activeTab="12" xr2:uid="{00000000-000D-0000-FFFF-FFFF00000000}"/>
  </bookViews>
  <sheets>
    <sheet name="Instructions" sheetId="1" r:id="rId1"/>
    <sheet name="T1_Restaurants" sheetId="2" r:id="rId2"/>
    <sheet name="T1_Orders" sheetId="3" r:id="rId3"/>
    <sheet name="T1_Merged_Result" sheetId="4" r:id="rId4"/>
    <sheet name="T2_LastMonth" sheetId="5" r:id="rId5"/>
    <sheet name="T2_ThisMonth" sheetId="6" r:id="rId6"/>
    <sheet name="T2_Appended_Result" sheetId="7" r:id="rId7"/>
    <sheet name="T3_Flipkart" sheetId="8" r:id="rId8"/>
    <sheet name="T3_Myntra" sheetId="9" r:id="rId9"/>
    <sheet name="T3_Appended_Result" sheetId="10" r:id="rId10"/>
    <sheet name="T4_Merged_Nulls" sheetId="11" r:id="rId11"/>
    <sheet name="T4_Cleaned_Result" sheetId="12" r:id="rId12"/>
    <sheet name="PowerQuery_M_Code" sheetId="13" r:id="rId13"/>
  </sheets>
  <definedNames>
    <definedName name="_xlnm._FilterDatabase" localSheetId="3" hidden="1">T1_Merged_Result!$A$1:$E$5</definedName>
    <definedName name="_xlnm._FilterDatabase" localSheetId="2" hidden="1">T1_Orders!$A$1:$C$5</definedName>
    <definedName name="_xlnm._FilterDatabase" localSheetId="1" hidden="1">T1_Restaurants!$A$1:$C$4</definedName>
    <definedName name="_xlnm._FilterDatabase" localSheetId="6" hidden="1">T2_Appended_Result!$A$1:$D$7</definedName>
    <definedName name="_xlnm._FilterDatabase" localSheetId="4" hidden="1">T2_LastMonth!$A$1:$D$4</definedName>
    <definedName name="_xlnm._FilterDatabase" localSheetId="5" hidden="1">T2_ThisMonth!$A$1:$D$4</definedName>
    <definedName name="_xlnm._FilterDatabase" localSheetId="9" hidden="1">T3_Appended_Result!$A$1:$E$7</definedName>
    <definedName name="_xlnm._FilterDatabase" localSheetId="7" hidden="1">T3_Flipkart!$A$1:$D$4</definedName>
    <definedName name="_xlnm._FilterDatabase" localSheetId="8" hidden="1">T3_Myntra!$A$1:$E$4</definedName>
    <definedName name="_xlnm._FilterDatabase" localSheetId="11" hidden="1">T4_Cleaned_Result!$A$1:$C$5</definedName>
    <definedName name="_xlnm._FilterDatabase" localSheetId="10" hidden="1">T4_Merged_Nulls!$A$1:$C$5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" i="10" l="1"/>
  <c r="C5" i="12"/>
  <c r="B5" i="12"/>
  <c r="A5" i="12"/>
  <c r="C4" i="12"/>
  <c r="B4" i="12"/>
  <c r="A4" i="12"/>
  <c r="C3" i="12"/>
  <c r="B3" i="12"/>
  <c r="A3" i="12"/>
  <c r="C2" i="12"/>
  <c r="B2" i="12"/>
  <c r="A2" i="12"/>
  <c r="E7" i="10"/>
  <c r="D7" i="10"/>
  <c r="C7" i="10"/>
  <c r="B7" i="10"/>
  <c r="A7" i="10"/>
  <c r="E6" i="10"/>
  <c r="D6" i="10"/>
  <c r="C6" i="10"/>
  <c r="B6" i="10"/>
  <c r="A6" i="10"/>
  <c r="E5" i="10"/>
  <c r="D5" i="10"/>
  <c r="C5" i="10"/>
  <c r="B5" i="10"/>
  <c r="A5" i="10"/>
  <c r="D4" i="10"/>
  <c r="C4" i="10"/>
  <c r="B4" i="10"/>
  <c r="A4" i="10"/>
  <c r="D3" i="10"/>
  <c r="C3" i="10"/>
  <c r="B3" i="10"/>
  <c r="A3" i="10"/>
  <c r="D2" i="10"/>
  <c r="C2" i="10"/>
  <c r="B2" i="10"/>
  <c r="A2" i="10"/>
  <c r="D7" i="7"/>
  <c r="C7" i="7"/>
  <c r="B7" i="7"/>
  <c r="A7" i="7"/>
  <c r="D6" i="7"/>
  <c r="C6" i="7"/>
  <c r="B6" i="7"/>
  <c r="A6" i="7"/>
  <c r="D5" i="7"/>
  <c r="C5" i="7"/>
  <c r="B5" i="7"/>
  <c r="A5" i="7"/>
  <c r="D4" i="7"/>
  <c r="C4" i="7"/>
  <c r="B4" i="7"/>
  <c r="A4" i="7"/>
  <c r="D3" i="7"/>
  <c r="C3" i="7"/>
  <c r="B3" i="7"/>
  <c r="A3" i="7"/>
  <c r="D2" i="7"/>
  <c r="C2" i="7"/>
  <c r="B2" i="7"/>
  <c r="A2" i="7"/>
  <c r="E5" i="4"/>
  <c r="D5" i="4"/>
  <c r="C5" i="4"/>
  <c r="B5" i="4"/>
  <c r="A5" i="4"/>
  <c r="C4" i="4"/>
  <c r="B4" i="4"/>
  <c r="E4" i="4" s="1"/>
  <c r="A4" i="4"/>
  <c r="E3" i="4"/>
  <c r="C3" i="4"/>
  <c r="B3" i="4"/>
  <c r="D3" i="4" s="1"/>
  <c r="A3" i="4"/>
  <c r="C2" i="4"/>
  <c r="B2" i="4"/>
  <c r="E2" i="4" s="1"/>
  <c r="A2" i="4"/>
  <c r="D2" i="4" l="1"/>
  <c r="D4" i="4"/>
</calcChain>
</file>

<file path=xl/sharedStrings.xml><?xml version="1.0" encoding="utf-8"?>
<sst xmlns="http://schemas.openxmlformats.org/spreadsheetml/2006/main" count="129" uniqueCount="84">
  <si>
    <t>SESSION 18 – Power Query (Merging &amp; Appending)</t>
  </si>
  <si>
    <t>Task</t>
  </si>
  <si>
    <t>What to do</t>
  </si>
  <si>
    <t>Task 1</t>
  </si>
  <si>
    <t>Merge T1_Orders with T1_Restaurants using RestaurantID. Expand Name and City.</t>
  </si>
  <si>
    <t>Task 2</t>
  </si>
  <si>
    <t>Append T2_LastMonth and T2_ThisMonth into one table.</t>
  </si>
  <si>
    <t>Task 3</t>
  </si>
  <si>
    <t>Append T3_Flipkart and T3_Myntra. Notice null Discount values for Flipkart rows.</t>
  </si>
  <si>
    <t>Task 4</t>
  </si>
  <si>
    <t>Replace null Restaurant Name with Unknown and null Order Amount with 0.</t>
  </si>
  <si>
    <t>Note</t>
  </si>
  <si>
    <t>Result sheets are included so you can compare your Power Query output.</t>
  </si>
  <si>
    <t>RestaurantID</t>
  </si>
  <si>
    <t>Name</t>
  </si>
  <si>
    <t>City</t>
  </si>
  <si>
    <t>R001</t>
  </si>
  <si>
    <t>Spice Hub</t>
  </si>
  <si>
    <t>Rajkot</t>
  </si>
  <si>
    <t>R002</t>
  </si>
  <si>
    <t>Food Palace</t>
  </si>
  <si>
    <t>Ahmedabad</t>
  </si>
  <si>
    <t>R003</t>
  </si>
  <si>
    <t>Pizza Corner</t>
  </si>
  <si>
    <t>Surat</t>
  </si>
  <si>
    <t>OrderID</t>
  </si>
  <si>
    <t>OrderAmount</t>
  </si>
  <si>
    <t>O101</t>
  </si>
  <si>
    <t>O102</t>
  </si>
  <si>
    <t>O103</t>
  </si>
  <si>
    <t>O104</t>
  </si>
  <si>
    <t>UserID</t>
  </si>
  <si>
    <t>Amount</t>
  </si>
  <si>
    <t>Date</t>
  </si>
  <si>
    <t>O001</t>
  </si>
  <si>
    <t>U101</t>
  </si>
  <si>
    <t>01-07-2026</t>
  </si>
  <si>
    <t>O002</t>
  </si>
  <si>
    <t>U102</t>
  </si>
  <si>
    <t>05-07-2026</t>
  </si>
  <si>
    <t>O003</t>
  </si>
  <si>
    <t>U103</t>
  </si>
  <si>
    <t>10-07-2026</t>
  </si>
  <si>
    <t>O004</t>
  </si>
  <si>
    <t>U104</t>
  </si>
  <si>
    <t>02-08-2026</t>
  </si>
  <si>
    <t>O005</t>
  </si>
  <si>
    <t>U105</t>
  </si>
  <si>
    <t>04-08-2026</t>
  </si>
  <si>
    <t>O006</t>
  </si>
  <si>
    <t>06-08-2026</t>
  </si>
  <si>
    <t>ProductID</t>
  </si>
  <si>
    <t>Category</t>
  </si>
  <si>
    <t>Price</t>
  </si>
  <si>
    <t>F001</t>
  </si>
  <si>
    <t>Shirt</t>
  </si>
  <si>
    <t>Clothing</t>
  </si>
  <si>
    <t>F002</t>
  </si>
  <si>
    <t>Shoes</t>
  </si>
  <si>
    <t>Footwear</t>
  </si>
  <si>
    <t>F003</t>
  </si>
  <si>
    <t>Jeans</t>
  </si>
  <si>
    <t>Discount</t>
  </si>
  <si>
    <t>M001</t>
  </si>
  <si>
    <t>T-Shirt</t>
  </si>
  <si>
    <t>10%</t>
  </si>
  <si>
    <t>M002</t>
  </si>
  <si>
    <t>Sneakers</t>
  </si>
  <si>
    <t>15%</t>
  </si>
  <si>
    <t>M003</t>
  </si>
  <si>
    <t>Jacket</t>
  </si>
  <si>
    <t>20%</t>
  </si>
  <si>
    <t>Restaurant Name</t>
  </si>
  <si>
    <t>Order Amount</t>
  </si>
  <si>
    <t>HOW TO BUILD THE LIVE POWER QUERY CONNECTIONS</t>
  </si>
  <si>
    <t>A file-editing tool cannot write a real, refreshable Power Query connection into an .xlsx (that only exists once Excel's own engine creates it). The formulas on the *_Result sheets now calculate live from the source tables, so they are correct today and will update if source data changes - but building the actual Power Query is a step you do inside Excel. Below is the exact M code for each task, using the real Excel Table names already defined in this workbook. Steps: Data tab -&gt; Get Data -&gt; Launch Power Query Editor -&gt; New Source -&gt; Blank Query -&gt; Home -&gt; Advanced Editor -&gt; paste the code -&gt; Done -&gt; Close &amp; Load.</t>
  </si>
  <si>
    <t>TASK 1 - Merge T1_Orders with T1_Restaurants (RestaurantID)</t>
  </si>
  <si>
    <t>let
    Orders = Excel.CurrentWorkbook(){[Name="OrdersTable"]}[Content],
    Restaurants = Excel.CurrentWorkbook(){[Name="RestaurantsTable"]}[Content],
    Merged = Table.NestedJoin(Orders, {"RestaurantID"}, Restaurants, {"RestaurantID"}, "RestaurantData", JoinKind.LeftOuter),
    Expanded = Table.ExpandTableColumn(Merged, "RestaurantData", {"Name", "City"}, {"Name", "City"})
in
    Expanded</t>
  </si>
  <si>
    <t>TASK 2 - Append T2_LastMonth and T2_ThisMonth</t>
  </si>
  <si>
    <t>let
    LastMonth = Excel.CurrentWorkbook(){[Name="LastMonthTable"]}[Content],
    ThisMonth = Excel.CurrentWorkbook(){[Name="ThisMonthTable"]}[Content],
    Appended = Table.Combine({LastMonth, ThisMonth})
in
    Appended</t>
  </si>
  <si>
    <t>TASK 3 - Append T3_Flipkart and T3_Myntra</t>
  </si>
  <si>
    <t>let
    Flipkart = Excel.CurrentWorkbook(){[Name="FlipkartTable"]}[Content],
    Myntra = Excel.CurrentWorkbook(){[Name="MyntraTable"]}[Content],
    Appended = Table.Combine({Flipkart, Myntra})
in
    Appended</t>
  </si>
  <si>
    <t>TASK 4 - Replace nulls (Restaurant Name -&gt; Unknown, Order Amount -&gt; 0)</t>
  </si>
  <si>
    <t>let
    Source = Excel.CurrentWorkbook(){[Name="T4NullTable"]}[Content],
    ReplaceName = Table.ReplaceValue(Source, null, "Unknown", Replacer.ReplaceValue, {"Restaurant Name"}),
    ReplaceAmount = Table.ReplaceValue(ReplaceName, null, 0, Replacer.ReplaceValue, {"Order Amount"})
in
    ReplaceAmount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</si>
</sst>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name val="Cambria"/>
      <charset val="1"/>
    </font>
    <font>
      <b/>
      <sz val="11"/>
      <name val="Cambria"/>
      <charset val="1"/>
    </font>
    <font>
      <b/>
      <sz val="13"/>
      <color rgb="FFFFFFFF"/>
      <name val="Cambria"/>
      <charset val="1"/>
    </font>
    <font>
      <i/>
      <sz val="10"/>
      <color rgb="FF555555"/>
      <name val="Calibri"/>
      <charset val="1"/>
    </font>
    <font>
      <b/>
      <sz val="11"/>
      <color rgb="FFFFFFFF"/>
      <name val="Cambria"/>
      <charset val="1"/>
    </font>
    <font>
      <sz val="10"/>
      <name val="Consolas"/>
      <charset val="1"/>
    </font>
  </fonts>
  <fills count="5">
    <fill>
      <patternFill patternType="none"/>
    </fill>
    <fill>
      <patternFill patternType="gray125"/>
    </fill>
    <fill>
      <patternFill patternType="solid">
        <fgColor rgb="FFD9EAF7"/>
        <bgColor rgb="FFCCFFFF"/>
      </patternFill>
    </fill>
    <fill>
      <patternFill patternType="solid">
        <fgColor rgb="FF263238"/>
        <bgColor rgb="FF333300"/>
      </patternFill>
    </fill>
    <fill>
      <patternFill patternType="solid">
        <fgColor rgb="FF37474F"/>
        <bgColor rgb="FF555555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4" fillId="0" borderId="0" xfId="0" applyFont="1" applyAlignment="1">
      <alignment vertical="top" wrapText="1"/>
    </xf>
    <xf numFmtId="0" fontId="5" fillId="4" borderId="0" xfId="0" applyFont="1" applyFill="1"/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5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7474F"/>
      <rgbColor rgb="FF2632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95" customWidth="1"/>
  </cols>
  <sheetData>
    <row r="1" spans="1:2" ht="17.25" customHeight="1" x14ac:dyDescent="0.25">
      <c r="A1" s="1" t="s">
        <v>0</v>
      </c>
    </row>
    <row r="2" spans="1:2" ht="15" customHeight="1" x14ac:dyDescent="0.25">
      <c r="A2" s="2" t="s">
        <v>1</v>
      </c>
      <c r="B2" s="2" t="s">
        <v>2</v>
      </c>
    </row>
    <row r="3" spans="1:2" ht="15" customHeight="1" x14ac:dyDescent="0.25">
      <c r="A3" t="s">
        <v>3</v>
      </c>
      <c r="B3" t="s">
        <v>4</v>
      </c>
    </row>
    <row r="4" spans="1:2" ht="15" customHeight="1" x14ac:dyDescent="0.25">
      <c r="A4" t="s">
        <v>5</v>
      </c>
      <c r="B4" t="s">
        <v>6</v>
      </c>
    </row>
    <row r="5" spans="1:2" ht="15" customHeight="1" x14ac:dyDescent="0.25">
      <c r="A5" t="s">
        <v>7</v>
      </c>
      <c r="B5" t="s">
        <v>8</v>
      </c>
    </row>
    <row r="6" spans="1:2" ht="15" customHeight="1" x14ac:dyDescent="0.25">
      <c r="A6" t="s">
        <v>9</v>
      </c>
      <c r="B6" t="s">
        <v>10</v>
      </c>
    </row>
    <row r="7" spans="1:2" ht="15" customHeight="1" x14ac:dyDescent="0.25">
      <c r="A7" t="s">
        <v>11</v>
      </c>
      <c r="B7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2" width="15" customWidth="1"/>
    <col min="3" max="3" width="12" customWidth="1"/>
  </cols>
  <sheetData>
    <row r="1" spans="1:3" ht="15" customHeight="1" x14ac:dyDescent="0.25">
      <c r="A1" s="3" t="s">
        <v>13</v>
      </c>
      <c r="B1" s="3" t="s">
        <v>14</v>
      </c>
      <c r="C1" s="3" t="s">
        <v>15</v>
      </c>
    </row>
    <row r="2" spans="1:3" ht="15" customHeight="1" x14ac:dyDescent="0.25">
      <c r="A2" t="s">
        <v>16</v>
      </c>
      <c r="B2" t="s">
        <v>17</v>
      </c>
      <c r="C2" t="s">
        <v>18</v>
      </c>
    </row>
    <row r="3" spans="1:3" ht="15" customHeight="1" x14ac:dyDescent="0.25">
      <c r="A3" t="s">
        <v>19</v>
      </c>
      <c r="B3" t="s">
        <v>20</v>
      </c>
      <c r="C3" t="s">
        <v>21</v>
      </c>
    </row>
    <row r="4" spans="1:3" ht="15" customHeight="1" x14ac:dyDescent="0.25">
      <c r="A4" t="s">
        <v>22</v>
      </c>
      <c r="B4" t="s">
        <v>23</v>
      </c>
      <c r="C4" t="s">
        <v>24</v>
      </c>
    </row>
  </sheetData>
  <autoFilter ref="A1:C4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15" customWidth="1"/>
    <col min="3" max="3" width="14" customWidth="1"/>
  </cols>
  <sheetData>
    <row r="1" spans="1:3" ht="15" customHeight="1" x14ac:dyDescent="0.25">
      <c r="A1" s="3" t="s">
        <v>25</v>
      </c>
      <c r="B1" s="3" t="s">
        <v>13</v>
      </c>
      <c r="C1" s="3" t="s">
        <v>26</v>
      </c>
    </row>
    <row r="2" spans="1:3" ht="15" customHeight="1" x14ac:dyDescent="0.25">
      <c r="A2" t="s">
        <v>27</v>
      </c>
      <c r="B2" t="s">
        <v>16</v>
      </c>
      <c r="C2">
        <v>450</v>
      </c>
    </row>
    <row r="3" spans="1:3" ht="15" customHeight="1" x14ac:dyDescent="0.25">
      <c r="A3" t="s">
        <v>28</v>
      </c>
      <c r="B3" t="s">
        <v>22</v>
      </c>
      <c r="C3">
        <v>620</v>
      </c>
    </row>
    <row r="4" spans="1:3" ht="15" customHeight="1" x14ac:dyDescent="0.25">
      <c r="A4" t="s">
        <v>29</v>
      </c>
      <c r="B4" t="s">
        <v>19</v>
      </c>
      <c r="C4">
        <v>300</v>
      </c>
    </row>
    <row r="5" spans="1:3" ht="15" customHeight="1" x14ac:dyDescent="0.25">
      <c r="A5" t="s">
        <v>30</v>
      </c>
      <c r="B5" t="s">
        <v>16</v>
      </c>
      <c r="C5">
        <v>550</v>
      </c>
    </row>
  </sheetData>
  <autoFilter ref="A1:C5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zoomScaleNormal="100" workbookViewId="0">
      <pane ySplit="1" topLeftCell="A2" activePane="bottomLeft" state="frozen"/>
      <selection pane="bottomLeft" activeCell="G9" sqref="G9"/>
    </sheetView>
  </sheetViews>
  <sheetFormatPr defaultColWidth="8.7109375" defaultRowHeight="15" x14ac:dyDescent="0.25"/>
  <cols>
    <col min="1" max="1" width="10" customWidth="1"/>
    <col min="2" max="2" width="15" customWidth="1"/>
    <col min="3" max="3" width="14" customWidth="1"/>
    <col min="4" max="4" width="15" customWidth="1"/>
    <col min="5" max="5" width="12" customWidth="1"/>
  </cols>
  <sheetData>
    <row r="1" spans="1:5" ht="15" customHeight="1" x14ac:dyDescent="0.25">
      <c r="A1" s="3" t="s">
        <v>25</v>
      </c>
      <c r="B1" s="3" t="s">
        <v>13</v>
      </c>
      <c r="C1" s="3" t="s">
        <v>26</v>
      </c>
      <c r="D1" s="3" t="s">
        <v>14</v>
      </c>
      <c r="E1" s="3" t="s">
        <v>15</v>
      </c>
    </row>
    <row r="2" spans="1:5" ht="15" customHeight="1" x14ac:dyDescent="0.25">
      <c r="A2" t="str">
        <f>T1_Orders!A2</f>
        <v>O101</v>
      </c>
      <c r="B2" t="str">
        <f>T1_Orders!B2</f>
        <v>R001</v>
      </c>
      <c r="C2">
        <f>T1_Orders!C2</f>
        <v>450</v>
      </c>
      <c r="D2" t="str">
        <f>IFERROR(INDEX(T1_Restaurants!$B$2:$B$4,MATCH(B2,T1_Restaurants!$A$2:$A$4,0)),"Not Found")</f>
        <v>Spice Hub</v>
      </c>
      <c r="E2" t="str">
        <f>IFERROR(INDEX(T1_Restaurants!$C$2:$C$4,MATCH(B2,T1_Restaurants!$A$2:$A$4,0)),"Not Found")</f>
        <v>Rajkot</v>
      </c>
    </row>
    <row r="3" spans="1:5" ht="15" customHeight="1" x14ac:dyDescent="0.25">
      <c r="A3" t="str">
        <f>T1_Orders!A3</f>
        <v>O102</v>
      </c>
      <c r="B3" t="str">
        <f>T1_Orders!B3</f>
        <v>R003</v>
      </c>
      <c r="C3">
        <f>T1_Orders!C3</f>
        <v>620</v>
      </c>
      <c r="D3" t="str">
        <f>IFERROR(INDEX(T1_Restaurants!$B$2:$B$4,MATCH(B3,T1_Restaurants!$A$2:$A$4,0)),"Not Found")</f>
        <v>Pizza Corner</v>
      </c>
      <c r="E3" t="str">
        <f>IFERROR(INDEX(T1_Restaurants!$C$2:$C$4,MATCH(B3,T1_Restaurants!$A$2:$A$4,0)),"Not Found")</f>
        <v>Surat</v>
      </c>
    </row>
    <row r="4" spans="1:5" ht="15" customHeight="1" x14ac:dyDescent="0.25">
      <c r="A4" t="str">
        <f>T1_Orders!A4</f>
        <v>O103</v>
      </c>
      <c r="B4" t="str">
        <f>T1_Orders!B4</f>
        <v>R002</v>
      </c>
      <c r="C4">
        <f>T1_Orders!C4</f>
        <v>300</v>
      </c>
      <c r="D4" t="str">
        <f>IFERROR(INDEX(T1_Restaurants!$B$2:$B$4,MATCH(B4,T1_Restaurants!$A$2:$A$4,0)),"Not Found")</f>
        <v>Food Palace</v>
      </c>
      <c r="E4" t="str">
        <f>IFERROR(INDEX(T1_Restaurants!$C$2:$C$4,MATCH(B4,T1_Restaurants!$A$2:$A$4,0)),"Not Found")</f>
        <v>Ahmedabad</v>
      </c>
    </row>
    <row r="5" spans="1:5" ht="15" customHeight="1" x14ac:dyDescent="0.25">
      <c r="A5" t="str">
        <f>T1_Orders!A5</f>
        <v>O104</v>
      </c>
      <c r="B5" t="str">
        <f>T1_Orders!B5</f>
        <v>R001</v>
      </c>
      <c r="C5">
        <f>T1_Orders!C5</f>
        <v>550</v>
      </c>
      <c r="D5" t="str">
        <f>IFERROR(INDEX(T1_Restaurants!$B$2:$B$4,MATCH(B5,T1_Restaurants!$A$2:$A$4,0)),"Not Found")</f>
        <v>Spice Hub</v>
      </c>
      <c r="E5" t="str">
        <f>IFERROR(INDEX(T1_Restaurants!$C$2:$C$4,MATCH(B5,T1_Restaurants!$A$2:$A$4,0)),"Not Found")</f>
        <v>Rajkot</v>
      </c>
    </row>
  </sheetData>
  <autoFilter ref="A1:E5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zoomScaleNormal="100" workbookViewId="0">
      <pane ySplit="1" topLeftCell="A2" activePane="bottomLeft" state="frozen"/>
      <selection pane="bottomLeft" activeCell="D2" sqref="D2"/>
    </sheetView>
  </sheetViews>
  <sheetFormatPr defaultColWidth="8.7109375" defaultRowHeight="15" x14ac:dyDescent="0.25"/>
  <cols>
    <col min="1" max="1" width="10" customWidth="1"/>
    <col min="2" max="3" width="9" customWidth="1"/>
    <col min="4" max="4" width="13" customWidth="1"/>
  </cols>
  <sheetData>
    <row r="1" spans="1:4" ht="15" customHeight="1" x14ac:dyDescent="0.25">
      <c r="A1" s="3" t="s">
        <v>25</v>
      </c>
      <c r="B1" s="3" t="s">
        <v>31</v>
      </c>
      <c r="C1" s="3" t="s">
        <v>32</v>
      </c>
      <c r="D1" s="3" t="s">
        <v>33</v>
      </c>
    </row>
    <row r="2" spans="1:4" ht="15" customHeight="1" x14ac:dyDescent="0.25">
      <c r="A2" t="s">
        <v>34</v>
      </c>
      <c r="B2" t="s">
        <v>35</v>
      </c>
      <c r="C2">
        <v>450</v>
      </c>
      <c r="D2" t="s">
        <v>36</v>
      </c>
    </row>
    <row r="3" spans="1:4" ht="15" customHeight="1" x14ac:dyDescent="0.25">
      <c r="A3" t="s">
        <v>37</v>
      </c>
      <c r="B3" t="s">
        <v>38</v>
      </c>
      <c r="C3">
        <v>600</v>
      </c>
      <c r="D3" t="s">
        <v>39</v>
      </c>
    </row>
    <row r="4" spans="1:4" ht="15" customHeight="1" x14ac:dyDescent="0.25">
      <c r="A4" t="s">
        <v>40</v>
      </c>
      <c r="B4" t="s">
        <v>41</v>
      </c>
      <c r="C4">
        <v>300</v>
      </c>
      <c r="D4" t="s">
        <v>42</v>
      </c>
    </row>
  </sheetData>
  <autoFilter ref="A1:D4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3" width="9" customWidth="1"/>
    <col min="4" max="4" width="13" customWidth="1"/>
  </cols>
  <sheetData>
    <row r="1" spans="1:4" ht="15" customHeight="1" x14ac:dyDescent="0.25">
      <c r="A1" s="3" t="s">
        <v>25</v>
      </c>
      <c r="B1" s="3" t="s">
        <v>31</v>
      </c>
      <c r="C1" s="3" t="s">
        <v>32</v>
      </c>
      <c r="D1" s="3" t="s">
        <v>33</v>
      </c>
    </row>
    <row r="2" spans="1:4" ht="15" customHeight="1" x14ac:dyDescent="0.25">
      <c r="A2" t="s">
        <v>43</v>
      </c>
      <c r="B2" t="s">
        <v>44</v>
      </c>
      <c r="C2">
        <v>700</v>
      </c>
      <c r="D2" t="s">
        <v>45</v>
      </c>
    </row>
    <row r="3" spans="1:4" ht="15" customHeight="1" x14ac:dyDescent="0.25">
      <c r="A3" t="s">
        <v>46</v>
      </c>
      <c r="B3" t="s">
        <v>47</v>
      </c>
      <c r="C3">
        <v>500</v>
      </c>
      <c r="D3" t="s">
        <v>48</v>
      </c>
    </row>
    <row r="4" spans="1:4" ht="15" customHeight="1" x14ac:dyDescent="0.25">
      <c r="A4" t="s">
        <v>49</v>
      </c>
      <c r="B4" t="s">
        <v>35</v>
      </c>
      <c r="C4">
        <v>350</v>
      </c>
      <c r="D4" t="s">
        <v>50</v>
      </c>
    </row>
  </sheetData>
  <autoFilter ref="A1:D4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zoomScaleNormal="100" workbookViewId="0">
      <pane ySplit="1" topLeftCell="A2" activePane="bottomLeft" state="frozen"/>
      <selection pane="bottomLeft" activeCell="D3" sqref="D3"/>
    </sheetView>
  </sheetViews>
  <sheetFormatPr defaultColWidth="8.7109375" defaultRowHeight="15" x14ac:dyDescent="0.25"/>
  <cols>
    <col min="1" max="1" width="10" customWidth="1"/>
    <col min="2" max="3" width="9" customWidth="1"/>
    <col min="4" max="4" width="13" customWidth="1"/>
  </cols>
  <sheetData>
    <row r="1" spans="1:4" ht="15" customHeight="1" x14ac:dyDescent="0.25">
      <c r="A1" s="3" t="s">
        <v>25</v>
      </c>
      <c r="B1" s="3" t="s">
        <v>31</v>
      </c>
      <c r="C1" s="3" t="s">
        <v>32</v>
      </c>
      <c r="D1" s="3" t="s">
        <v>33</v>
      </c>
    </row>
    <row r="2" spans="1:4" ht="15" customHeight="1" x14ac:dyDescent="0.25">
      <c r="A2" t="str">
        <f>T2_LastMonth!A2</f>
        <v>O001</v>
      </c>
      <c r="B2" t="str">
        <f>T2_LastMonth!B2</f>
        <v>U101</v>
      </c>
      <c r="C2">
        <f>T2_LastMonth!C2</f>
        <v>450</v>
      </c>
      <c r="D2" t="str">
        <f>T2_LastMonth!D2</f>
        <v>01-07-2026</v>
      </c>
    </row>
    <row r="3" spans="1:4" ht="15" customHeight="1" x14ac:dyDescent="0.25">
      <c r="A3" t="str">
        <f>T2_LastMonth!A3</f>
        <v>O002</v>
      </c>
      <c r="B3" t="str">
        <f>T2_LastMonth!B3</f>
        <v>U102</v>
      </c>
      <c r="C3">
        <f>T2_LastMonth!C3</f>
        <v>600</v>
      </c>
      <c r="D3" t="str">
        <f>T2_LastMonth!D3</f>
        <v>05-07-2026</v>
      </c>
    </row>
    <row r="4" spans="1:4" ht="15" customHeight="1" x14ac:dyDescent="0.25">
      <c r="A4" t="str">
        <f>T2_LastMonth!A4</f>
        <v>O003</v>
      </c>
      <c r="B4" t="str">
        <f>T2_LastMonth!B4</f>
        <v>U103</v>
      </c>
      <c r="C4">
        <f>T2_LastMonth!C4</f>
        <v>300</v>
      </c>
      <c r="D4" t="str">
        <f>T2_LastMonth!D4</f>
        <v>10-07-2026</v>
      </c>
    </row>
    <row r="5" spans="1:4" ht="15" customHeight="1" x14ac:dyDescent="0.25">
      <c r="A5" t="str">
        <f>T2_ThisMonth!A2</f>
        <v>O004</v>
      </c>
      <c r="B5" t="str">
        <f>T2_ThisMonth!B2</f>
        <v>U104</v>
      </c>
      <c r="C5">
        <f>T2_ThisMonth!C2</f>
        <v>700</v>
      </c>
      <c r="D5" t="str">
        <f>T2_ThisMonth!D2</f>
        <v>02-08-2026</v>
      </c>
    </row>
    <row r="6" spans="1:4" ht="15" customHeight="1" x14ac:dyDescent="0.25">
      <c r="A6" t="str">
        <f>T2_ThisMonth!A3</f>
        <v>O005</v>
      </c>
      <c r="B6" t="str">
        <f>T2_ThisMonth!B3</f>
        <v>U105</v>
      </c>
      <c r="C6">
        <f>T2_ThisMonth!C3</f>
        <v>500</v>
      </c>
      <c r="D6" t="str">
        <f>T2_ThisMonth!D3</f>
        <v>04-08-2026</v>
      </c>
    </row>
    <row r="7" spans="1:4" ht="15" customHeight="1" x14ac:dyDescent="0.25">
      <c r="A7" t="str">
        <f>T2_ThisMonth!A4</f>
        <v>O006</v>
      </c>
      <c r="B7" t="str">
        <f>T2_ThisMonth!B4</f>
        <v>U101</v>
      </c>
      <c r="C7">
        <f>T2_ThisMonth!C4</f>
        <v>350</v>
      </c>
      <c r="D7" t="str">
        <f>T2_ThisMonth!D4</f>
        <v>06-08-2026</v>
      </c>
    </row>
  </sheetData>
  <autoFilter ref="A1:D7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8.7109375" defaultRowHeight="15" x14ac:dyDescent="0.25"/>
  <cols>
    <col min="1" max="1" width="12" customWidth="1"/>
    <col min="2" max="2" width="8" customWidth="1"/>
    <col min="3" max="3" width="11" customWidth="1"/>
    <col min="4" max="4" width="8" customWidth="1"/>
  </cols>
  <sheetData>
    <row r="1" spans="1:4" ht="15" customHeight="1" x14ac:dyDescent="0.25">
      <c r="A1" s="3" t="s">
        <v>51</v>
      </c>
      <c r="B1" s="3" t="s">
        <v>14</v>
      </c>
      <c r="C1" s="3" t="s">
        <v>52</v>
      </c>
      <c r="D1" s="3" t="s">
        <v>53</v>
      </c>
    </row>
    <row r="2" spans="1:4" ht="15" customHeight="1" x14ac:dyDescent="0.25">
      <c r="A2" t="s">
        <v>54</v>
      </c>
      <c r="B2" t="s">
        <v>55</v>
      </c>
      <c r="C2" t="s">
        <v>56</v>
      </c>
      <c r="D2">
        <v>999</v>
      </c>
    </row>
    <row r="3" spans="1:4" ht="15" customHeight="1" x14ac:dyDescent="0.25">
      <c r="A3" t="s">
        <v>57</v>
      </c>
      <c r="B3" t="s">
        <v>58</v>
      </c>
      <c r="C3" t="s">
        <v>59</v>
      </c>
      <c r="D3">
        <v>1999</v>
      </c>
    </row>
    <row r="4" spans="1:4" ht="15" customHeight="1" x14ac:dyDescent="0.25">
      <c r="A4" t="s">
        <v>60</v>
      </c>
      <c r="B4" t="s">
        <v>61</v>
      </c>
      <c r="C4" t="s">
        <v>56</v>
      </c>
      <c r="D4">
        <v>1499</v>
      </c>
    </row>
  </sheetData>
  <autoFilter ref="A1:D4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8.7109375" defaultRowHeight="15" x14ac:dyDescent="0.25"/>
  <cols>
    <col min="1" max="1" width="12" customWidth="1"/>
    <col min="2" max="3" width="11" customWidth="1"/>
    <col min="4" max="4" width="8" customWidth="1"/>
    <col min="5" max="5" width="11" customWidth="1"/>
  </cols>
  <sheetData>
    <row r="1" spans="1:5" ht="15" customHeight="1" x14ac:dyDescent="0.25">
      <c r="A1" s="3" t="s">
        <v>51</v>
      </c>
      <c r="B1" s="3" t="s">
        <v>14</v>
      </c>
      <c r="C1" s="3" t="s">
        <v>52</v>
      </c>
      <c r="D1" s="3" t="s">
        <v>53</v>
      </c>
      <c r="E1" s="3" t="s">
        <v>62</v>
      </c>
    </row>
    <row r="2" spans="1:5" ht="15" customHeight="1" x14ac:dyDescent="0.25">
      <c r="A2" t="s">
        <v>63</v>
      </c>
      <c r="B2" t="s">
        <v>64</v>
      </c>
      <c r="C2" t="s">
        <v>56</v>
      </c>
      <c r="D2">
        <v>799</v>
      </c>
      <c r="E2" t="s">
        <v>65</v>
      </c>
    </row>
    <row r="3" spans="1:5" ht="15" customHeight="1" x14ac:dyDescent="0.25">
      <c r="A3" t="s">
        <v>66</v>
      </c>
      <c r="B3" t="s">
        <v>67</v>
      </c>
      <c r="C3" t="s">
        <v>59</v>
      </c>
      <c r="D3">
        <v>2499</v>
      </c>
      <c r="E3" t="s">
        <v>68</v>
      </c>
    </row>
    <row r="4" spans="1:5" ht="15" customHeight="1" x14ac:dyDescent="0.25">
      <c r="A4" t="s">
        <v>69</v>
      </c>
      <c r="B4" t="s">
        <v>70</v>
      </c>
      <c r="C4" t="s">
        <v>56</v>
      </c>
      <c r="D4">
        <v>2999</v>
      </c>
      <c r="E4" t="s">
        <v>71</v>
      </c>
    </row>
  </sheetData>
  <autoFilter ref="A1:E4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"/>
  <sheetViews>
    <sheetView zoomScaleNormal="100" workbookViewId="0">
      <pane ySplit="1" topLeftCell="A2" activePane="bottomLeft" state="frozen"/>
      <selection pane="bottomLeft" activeCell="E3" sqref="E3"/>
    </sheetView>
  </sheetViews>
  <sheetFormatPr defaultColWidth="8.7109375" defaultRowHeight="15" x14ac:dyDescent="0.25"/>
  <cols>
    <col min="1" max="1" width="12" customWidth="1"/>
    <col min="2" max="3" width="11" customWidth="1"/>
    <col min="4" max="4" width="8" customWidth="1"/>
    <col min="5" max="5" width="11" customWidth="1"/>
  </cols>
  <sheetData>
    <row r="1" spans="1:5" ht="15" customHeight="1" x14ac:dyDescent="0.25">
      <c r="A1" s="3" t="s">
        <v>51</v>
      </c>
      <c r="B1" s="3" t="s">
        <v>14</v>
      </c>
      <c r="C1" s="3" t="s">
        <v>52</v>
      </c>
      <c r="D1" s="3" t="s">
        <v>53</v>
      </c>
      <c r="E1" s="3" t="s">
        <v>62</v>
      </c>
    </row>
    <row r="2" spans="1:5" ht="15" customHeight="1" x14ac:dyDescent="0.25">
      <c r="A2" t="str">
        <f>T3_Flipkart!A2</f>
        <v>F001</v>
      </c>
      <c r="B2" t="str">
        <f>T3_Flipkart!B2</f>
        <v>Shirt</v>
      </c>
      <c r="C2" t="str">
        <f>T3_Flipkart!C2</f>
        <v>Clothing</v>
      </c>
      <c r="D2">
        <f>T3_Flipkart!D2</f>
        <v>999</v>
      </c>
    </row>
    <row r="3" spans="1:5" ht="15" customHeight="1" x14ac:dyDescent="0.25">
      <c r="A3" t="str">
        <f>T3_Flipkart!A3</f>
        <v>F002</v>
      </c>
      <c r="B3" t="str">
        <f>T3_Flipkart!B3</f>
        <v>Shoes</v>
      </c>
      <c r="C3" t="str">
        <f>T3_Flipkart!C3</f>
        <v>Footwear</v>
      </c>
      <c r="D3">
        <f>T3_Flipkart!D3</f>
        <v>1999</v>
      </c>
    </row>
    <row r="4" spans="1:5" ht="15" customHeight="1" x14ac:dyDescent="0.25">
      <c r="A4" t="str">
        <f>T3_Flipkart!A4</f>
        <v>F003</v>
      </c>
      <c r="B4" t="str">
        <f>T3_Flipkart!B4</f>
        <v>Jeans</v>
      </c>
      <c r="C4" t="str">
        <f>T3_Flipkart!C4</f>
        <v>Clothing</v>
      </c>
      <c r="D4">
        <f>T3_Flipkart!D4</f>
        <v>1499</v>
      </c>
      <c r="E4" t="str">
        <f>T3_Myntra!E1</f>
        <v>Discount</v>
      </c>
    </row>
    <row r="5" spans="1:5" ht="15" customHeight="1" x14ac:dyDescent="0.25">
      <c r="A5" t="str">
        <f>T3_Myntra!A2</f>
        <v>M001</v>
      </c>
      <c r="B5" t="str">
        <f>T3_Myntra!B2</f>
        <v>T-Shirt</v>
      </c>
      <c r="C5" t="str">
        <f>T3_Myntra!C2</f>
        <v>Clothing</v>
      </c>
      <c r="D5">
        <f>T3_Myntra!D2</f>
        <v>799</v>
      </c>
      <c r="E5" t="str">
        <f>T3_Myntra!E2</f>
        <v>10%</v>
      </c>
    </row>
    <row r="6" spans="1:5" ht="15" customHeight="1" x14ac:dyDescent="0.25">
      <c r="A6" t="str">
        <f>T3_Myntra!A3</f>
        <v>M002</v>
      </c>
      <c r="B6" t="str">
        <f>T3_Myntra!B3</f>
        <v>Sneakers</v>
      </c>
      <c r="C6" t="str">
        <f>T3_Myntra!C3</f>
        <v>Footwear</v>
      </c>
      <c r="D6">
        <f>T3_Myntra!D3</f>
        <v>2499</v>
      </c>
      <c r="E6" t="str">
        <f>T3_Myntra!E3</f>
        <v>15%</v>
      </c>
    </row>
    <row r="7" spans="1:5" ht="15" customHeight="1" x14ac:dyDescent="0.25">
      <c r="A7" t="str">
        <f>T3_Myntra!A4</f>
        <v>M003</v>
      </c>
      <c r="B7" t="str">
        <f>T3_Myntra!B4</f>
        <v>Jacket</v>
      </c>
      <c r="C7" t="str">
        <f>T3_Myntra!C4</f>
        <v>Clothing</v>
      </c>
      <c r="D7">
        <f>T3_Myntra!D4</f>
        <v>2999</v>
      </c>
      <c r="E7" t="str">
        <f>T3_Myntra!E4</f>
        <v>20%</v>
      </c>
    </row>
  </sheetData>
  <autoFilter ref="A1:E7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"/>
  <sheetViews>
    <sheetView zoomScaleNormal="100" workbookViewId="0">
      <pane ySplit="1" topLeftCell="A2" activePane="bottomLeft" state="frozen"/>
      <selection pane="bottomLeft" activeCell="A4" sqref="A4"/>
    </sheetView>
  </sheetViews>
  <sheetFormatPr defaultColWidth="8.7109375" defaultRowHeight="15" x14ac:dyDescent="0.25"/>
  <cols>
    <col min="1" max="1" width="10" customWidth="1"/>
    <col min="2" max="2" width="18" customWidth="1"/>
    <col min="3" max="3" width="15" customWidth="1"/>
  </cols>
  <sheetData>
    <row r="1" spans="1:3" ht="15" customHeight="1" x14ac:dyDescent="0.25">
      <c r="A1" s="3" t="s">
        <v>25</v>
      </c>
      <c r="B1" s="3" t="s">
        <v>72</v>
      </c>
      <c r="C1" s="3" t="s">
        <v>73</v>
      </c>
    </row>
    <row r="2" spans="1:3" ht="15" customHeight="1" x14ac:dyDescent="0.25">
      <c r="A2" t="s">
        <v>27</v>
      </c>
      <c r="B2" t="s">
        <v>17</v>
      </c>
      <c r="C2">
        <v>450</v>
      </c>
    </row>
    <row r="3" spans="1:3" ht="15" customHeight="1" x14ac:dyDescent="0.25">
      <c r="A3" t="s">
        <v>28</v>
      </c>
      <c r="B3" t="s">
        <v>23</v>
      </c>
      <c r="C3">
        <v>620</v>
      </c>
    </row>
    <row r="4" spans="1:3" ht="15" customHeight="1" x14ac:dyDescent="0.25">
      <c r="A4" t="s">
        <v>29</v>
      </c>
      <c r="C4">
        <v>300</v>
      </c>
    </row>
    <row r="5" spans="1:3" ht="15" customHeight="1" x14ac:dyDescent="0.25">
      <c r="A5" t="s">
        <v>30</v>
      </c>
      <c r="B5" t="s">
        <v>20</v>
      </c>
    </row>
  </sheetData>
  <autoFilter ref="A1:C5" xr:uid="{00000000-0009-0000-0000-00000A000000}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7109375" defaultRowHeight="15" x14ac:dyDescent="0.25"/>
  <cols>
    <col min="1" max="1" width="10" customWidth="1"/>
    <col min="2" max="2" width="18" customWidth="1"/>
    <col min="3" max="3" width="15" customWidth="1"/>
  </cols>
  <sheetData>
    <row r="1" spans="1:3" ht="15" customHeight="1" x14ac:dyDescent="0.25">
      <c r="A1" s="3" t="s">
        <v>25</v>
      </c>
      <c r="B1" s="3" t="s">
        <v>72</v>
      </c>
      <c r="C1" s="3" t="s">
        <v>73</v>
      </c>
    </row>
    <row r="2" spans="1:3" ht="15" customHeight="1" x14ac:dyDescent="0.25">
      <c r="A2" t="str">
        <f>T4_Merged_Nulls!A2</f>
        <v>O101</v>
      </c>
      <c r="B2" t="str">
        <f>IF(T4_Merged_Nulls!B2="","Unknown",T4_Merged_Nulls!B2)</f>
        <v>Spice Hub</v>
      </c>
      <c r="C2">
        <f>IF(T4_Merged_Nulls!C2="",0,T4_Merged_Nulls!C2)</f>
        <v>450</v>
      </c>
    </row>
    <row r="3" spans="1:3" ht="15" customHeight="1" x14ac:dyDescent="0.25">
      <c r="A3" t="str">
        <f>T4_Merged_Nulls!A3</f>
        <v>O102</v>
      </c>
      <c r="B3" t="str">
        <f>IF(T4_Merged_Nulls!B3="","Unknown",T4_Merged_Nulls!B3)</f>
        <v>Pizza Corner</v>
      </c>
      <c r="C3">
        <f>IF(T4_Merged_Nulls!C3="",0,T4_Merged_Nulls!C3)</f>
        <v>620</v>
      </c>
    </row>
    <row r="4" spans="1:3" ht="15" customHeight="1" x14ac:dyDescent="0.25">
      <c r="A4" t="str">
        <f>T4_Merged_Nulls!A4</f>
        <v>O103</v>
      </c>
      <c r="B4" t="str">
        <f>IF(T4_Merged_Nulls!B4="","Unknown",T4_Merged_Nulls!B4)</f>
        <v>Unknown</v>
      </c>
      <c r="C4">
        <f>IF(T4_Merged_Nulls!C4="",0,T4_Merged_Nulls!C4)</f>
        <v>300</v>
      </c>
    </row>
    <row r="5" spans="1:3" ht="15" customHeight="1" x14ac:dyDescent="0.25">
      <c r="A5" t="str">
        <f>T4_Merged_Nulls!A5</f>
        <v>O104</v>
      </c>
      <c r="B5" t="str">
        <f>IF(T4_Merged_Nulls!B5="","Unknown",T4_Merged_Nulls!B5)</f>
        <v>Food Palace</v>
      </c>
      <c r="C5">
        <f>IF(T4_Merged_Nulls!C5="",0,T4_Merged_Nulls!C5)</f>
        <v>0</v>
      </c>
    </row>
  </sheetData>
  <autoFilter ref="A1:C5" xr:uid="{00000000-0009-0000-0000-00000B000000}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14"/>
  <sheetViews>
    <sheetView showGridLines="0" tabSelected="1" zoomScaleNormal="100" workbookViewId="0"/>
  </sheetViews>
  <sheetFormatPr defaultColWidth="8.7109375" defaultRowHeight="15" x14ac:dyDescent="0.25"/>
  <cols>
    <col min="1" max="1" width="100" customWidth="1"/>
  </cols>
  <sheetData>
    <row r="1" spans="1:1" ht="16.5" x14ac:dyDescent="0.25">
      <c r="A1" s="4" t="s">
        <v>74</v>
      </c>
    </row>
    <row r="2" spans="1:1" ht="90" customHeight="1" x14ac:dyDescent="0.25">
      <c r="A2" s="5" t="s">
        <v>75</v>
      </c>
    </row>
    <row r="4" spans="1:1" x14ac:dyDescent="0.25">
      <c r="A4" s="6" t="s">
        <v>76</v>
      </c>
    </row>
    <row r="5" spans="1:1" ht="97.5" customHeight="1" x14ac:dyDescent="0.25">
      <c r="A5" s="7" t="s">
        <v>77</v>
      </c>
    </row>
    <row r="7" spans="1:1" x14ac:dyDescent="0.25">
      <c r="A7" s="6" t="s">
        <v>78</v>
      </c>
    </row>
    <row r="8" spans="1:1" ht="84" customHeight="1" x14ac:dyDescent="0.25">
      <c r="A8" s="7" t="s">
        <v>79</v>
      </c>
    </row>
    <row r="10" spans="1:1" x14ac:dyDescent="0.25">
      <c r="A10" s="6" t="s">
        <v>80</v>
      </c>
    </row>
    <row r="11" spans="1:1" ht="84" customHeight="1" x14ac:dyDescent="0.25">
      <c r="A11" s="7" t="s">
        <v>81</v>
      </c>
    </row>
    <row r="13" spans="1:1" x14ac:dyDescent="0.25">
      <c r="A13" s="6" t="s">
        <v>82</v>
      </c>
    </row>
    <row r="14" spans="1:1" ht="84" customHeight="1" x14ac:dyDescent="0.25">
      <c r="A14" s="7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Instructions</vt:lpstr>
      <vt:lpstr>T1_Restaurants</vt:lpstr>
      <vt:lpstr>T1_Orders</vt:lpstr>
      <vt:lpstr>T1_Merged_Result</vt:lpstr>
      <vt:lpstr>T2_LastMonth</vt:lpstr>
      <vt:lpstr>T2_ThisMonth</vt:lpstr>
      <vt:lpstr>T2_Appended_Result</vt:lpstr>
      <vt:lpstr>T3_Flipkart</vt:lpstr>
      <vt:lpstr>T3_Myntra</vt:lpstr>
      <vt:lpstr>T3_Appended_Result</vt:lpstr>
      <vt:lpstr>T4_Merged_Nulls</vt:lpstr>
      <vt:lpstr>T4_Cleaned_Result</vt:lpstr>
      <vt:lpstr>PowerQuery_M_Code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MASTER</cp:lastModifiedBy>
  <cp:revision>0</cp:revision>
  <dcterms:created xsi:type="dcterms:W3CDTF">2026-08-08T14:09:57Z</dcterms:created>
  <dcterms:modified xsi:type="dcterms:W3CDTF">2026-08-08T16:30:34Z</dcterms:modified>
  <dc:language>en-US</dc:language>
</cp:coreProperties>
</file>