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cutive_Dashboard" sheetId="2" state="visible" r:id="rId4"/>
    <sheet name="IPL_Matches" sheetId="3" state="visible" r:id="rId5"/>
    <sheet name="Pivot_Team_Matches" sheetId="4" state="visible" r:id="rId6"/>
    <sheet name="Pivot_Team_Wins" sheetId="5" state="visible" r:id="rId7"/>
    <sheet name="Pivot_Matches_Over_Time" sheetId="6" state="visible" r:id="rId8"/>
    <sheet name="Year_Team_Wins" sheetId="7" state="visible" r:id="rId9"/>
    <sheet name="Venue_Summary" sheetId="8" state="visible" r:id="rId10"/>
    <sheet name="Slicer_Timeline_Setup" sheetId="9" state="visible" r:id="rId11"/>
    <sheet name="PivotChart_Slicer_HowT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<sst xmlns="http://schemas.openxmlformats.org/spreadsheetml/2006/main" count="686" uniqueCount="162">
  <si>
    <t xml:space="preserve">SESSION 15 – PivotCharts + Slicers + Timelines</t>
  </si>
  <si>
    <t xml:space="preserve">Task</t>
  </si>
  <si>
    <t xml:space="preserve">Ready-to-use practice</t>
  </si>
  <si>
    <t xml:space="preserve">1</t>
  </si>
  <si>
    <t xml:space="preserve">Use IPL_Matches to create a PivotTable/PivotChart showing total matches played by each team.</t>
  </si>
  <si>
    <t xml:space="preserve">2</t>
  </si>
  <si>
    <t xml:space="preserve">Use Venue as a slicer connected to the PivotTable/PivotChart.</t>
  </si>
  <si>
    <t xml:space="preserve">3</t>
  </si>
  <si>
    <t xml:space="preserve">Use Match Date as a Timeline to filter by IPL season/month in desktop Excel.</t>
  </si>
  <si>
    <t xml:space="preserve">4</t>
  </si>
  <si>
    <t xml:space="preserve">Build the Executive Dashboard with Total Wins by Team and Matches Played Over Time. Use the same Venue and Date filters for both PivotTables.</t>
  </si>
  <si>
    <t xml:space="preserve">5</t>
  </si>
  <si>
    <t xml:space="preserve">Use Year_Team_Wins to create a PivotChart of wins by team/year. The top team for each year is highlighted in the summary.</t>
  </si>
  <si>
    <t xml:space="preserve">Important</t>
  </si>
  <si>
    <t xml:space="preserve">Native Excel PivotTables, Slicers and Timelines are interactive Excel objects. This workbook includes prepared source data, pivot-ready summaries, charts, filter-helper tables, and exact setup instructions.</t>
  </si>
  <si>
    <t xml:space="preserve">IPL EXECUTIVE DASHBOARD</t>
  </si>
  <si>
    <t xml:space="preserve">PivotChart • Venue Slicer • Match-Date Timeline</t>
  </si>
  <si>
    <t xml:space="preserve">TOTAL MATCHES</t>
  </si>
  <si>
    <t xml:space="preserve">TOTAL WINS</t>
  </si>
  <si>
    <t xml:space="preserve">TEAMS</t>
  </si>
  <si>
    <t xml:space="preserve">SEASONS</t>
  </si>
  <si>
    <t xml:space="preserve">BAR PIVOTCHART – TOTAL WINS BY TEAM</t>
  </si>
  <si>
    <t xml:space="preserve">LINE PIVOTCHART – MATCHES OVER TIME</t>
  </si>
  <si>
    <t xml:space="preserve">FILTER SETUP FOR DESKTOP EXCEL</t>
  </si>
  <si>
    <t xml:space="preserve">1. Select IPLMatchesTable → Insert → PivotTable.
2. Add Team 1 and Team 2 to a match-count analysis, or use a prepared summary table for the dashboard.
3. Add Venue as a Slicer. Add Match Date as a Timeline.
4. Create both PivotCharts from PivotTables using the same source/cache, then use Report Connections to connect the Venue slicer and Timeline to both PivotTables.
5. For Year_Team_Wins, put Year in Axis, Team in Legend, and Winner as Values (Count). Use Value Filters/formatting to emphasize the top team.</t>
  </si>
  <si>
    <t xml:space="preserve">Match ID</t>
  </si>
  <si>
    <t xml:space="preserve">Match Date</t>
  </si>
  <si>
    <t xml:space="preserve">Year</t>
  </si>
  <si>
    <t xml:space="preserve">Month</t>
  </si>
  <si>
    <t xml:space="preserve">Month Name</t>
  </si>
  <si>
    <t xml:space="preserve">Team 1</t>
  </si>
  <si>
    <t xml:space="preserve">Team 2</t>
  </si>
  <si>
    <t xml:space="preserve">Venue</t>
  </si>
  <si>
    <t xml:space="preserve">City</t>
  </si>
  <si>
    <t xml:space="preserve">Winner</t>
  </si>
  <si>
    <t xml:space="preserve">Result</t>
  </si>
  <si>
    <t xml:space="preserve">Stage</t>
  </si>
  <si>
    <t xml:space="preserve">M001</t>
  </si>
  <si>
    <t xml:space="preserve">Mar</t>
  </si>
  <si>
    <t xml:space="preserve">Mumbai Indians</t>
  </si>
  <si>
    <t xml:space="preserve">Royal Challengers Bengaluru</t>
  </si>
  <si>
    <t xml:space="preserve">Wankhede Stadium</t>
  </si>
  <si>
    <t xml:space="preserve">Mumbai</t>
  </si>
  <si>
    <t xml:space="preserve">Win</t>
  </si>
  <si>
    <t xml:space="preserve">League</t>
  </si>
  <si>
    <t xml:space="preserve">M002</t>
  </si>
  <si>
    <t xml:space="preserve">Punjab Kings</t>
  </si>
  <si>
    <t xml:space="preserve">Eden Gardens</t>
  </si>
  <si>
    <t xml:space="preserve">Kolkata</t>
  </si>
  <si>
    <t xml:space="preserve">M003</t>
  </si>
  <si>
    <t xml:space="preserve">Chennai Super Kings</t>
  </si>
  <si>
    <t xml:space="preserve">Kolkata Knight Riders</t>
  </si>
  <si>
    <t xml:space="preserve">Narendra Modi Stadium</t>
  </si>
  <si>
    <t xml:space="preserve">Ahmedabad</t>
  </si>
  <si>
    <t xml:space="preserve">M004</t>
  </si>
  <si>
    <t xml:space="preserve">Apr</t>
  </si>
  <si>
    <t xml:space="preserve">Delhi Capitals</t>
  </si>
  <si>
    <t xml:space="preserve">Rajiv Gandhi Stadium</t>
  </si>
  <si>
    <t xml:space="preserve">Hyderabad</t>
  </si>
  <si>
    <t xml:space="preserve">M005</t>
  </si>
  <si>
    <t xml:space="preserve">Sunrisers Hyderabad</t>
  </si>
  <si>
    <t xml:space="preserve">M006</t>
  </si>
  <si>
    <t xml:space="preserve">M007</t>
  </si>
  <si>
    <t xml:space="preserve">Rajasthan Royals</t>
  </si>
  <si>
    <t xml:space="preserve">M008</t>
  </si>
  <si>
    <t xml:space="preserve">M009</t>
  </si>
  <si>
    <t xml:space="preserve">M010</t>
  </si>
  <si>
    <t xml:space="preserve">M011</t>
  </si>
  <si>
    <t xml:space="preserve">May</t>
  </si>
  <si>
    <t xml:space="preserve">M. Chinnaswamy Stadium</t>
  </si>
  <si>
    <t xml:space="preserve">Bengaluru</t>
  </si>
  <si>
    <t xml:space="preserve">M012</t>
  </si>
  <si>
    <t xml:space="preserve">M013</t>
  </si>
  <si>
    <t xml:space="preserve">M014</t>
  </si>
  <si>
    <t xml:space="preserve">M015</t>
  </si>
  <si>
    <t xml:space="preserve">M016</t>
  </si>
  <si>
    <t xml:space="preserve">M017</t>
  </si>
  <si>
    <t xml:space="preserve">Sawai Mansingh Stadium</t>
  </si>
  <si>
    <t xml:space="preserve">Jaipur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</si>
  <si>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</si>
  <si>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</si>
  <si>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</si>
  <si>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</si>
  <si>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</si>
  <si>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M023</t>
  </si>
  <si>
    <t xml:space="preserve">M024</t>
  </si>
  <si>
    <t xml:space="preserve">M025</t>
  </si>
  <si>
    <t xml:space="preserve">Arun Jaitley Stadium</t>
  </si>
  <si>
    <t xml:space="preserve">Delhi</t>
  </si>
  <si>
    <t xml:space="preserve">M026</t>
  </si>
  <si>
    <t xml:space="preserve">M027</t>
  </si>
  <si>
    <t xml:space="preserve">M028</t>
  </si>
  <si>
    <t xml:space="preserve">M029</t>
  </si>
  <si>
    <t xml:space="preserve">M030</t>
  </si>
  <si>
    <t xml:space="preserve">M031</t>
  </si>
  <si>
    <t xml:space="preserve">M032</t>
  </si>
  <si>
    <t xml:space="preserve">M033</t>
  </si>
  <si>
    <t xml:space="preserve">M034</t>
  </si>
  <si>
    <t xml:space="preserve">M035</t>
  </si>
  <si>
    <t xml:space="preserve">M036</t>
  </si>
  <si>
    <t xml:space="preserve">M037</t>
  </si>
  <si>
    <t xml:space="preserve">M038</t>
  </si>
  <si>
    <t xml:space="preserve">M039</t>
  </si>
  <si>
    <t xml:space="preserve">MA Chidambaram Stadium</t>
  </si>
  <si>
    <t xml:space="preserve">Chennai</t>
  </si>
  <si>
    <t xml:space="preserve">M040</t>
  </si>
  <si>
    <t xml:space="preserve">M041</t>
  </si>
  <si>
    <t xml:space="preserve">M042</t>
  </si>
  <si>
    <t xml:space="preserve">M043</t>
  </si>
  <si>
    <t xml:space="preserve">M044</t>
  </si>
  <si>
    <t xml:space="preserve">M045</t>
  </si>
  <si>
    <t xml:space="preserve">M046</t>
  </si>
  <si>
    <t xml:space="preserve">M047</t>
  </si>
  <si>
    <t xml:space="preserve">M048</t>
  </si>
  <si>
    <t xml:space="preserve">M049</t>
  </si>
  <si>
    <t xml:space="preserve">M050</t>
  </si>
  <si>
    <t xml:space="preserve">M051</t>
  </si>
  <si>
    <t xml:space="preserve">M052</t>
  </si>
  <si>
    <t xml:space="preserve">M053</t>
  </si>
  <si>
    <t xml:space="preserve">M054</t>
  </si>
  <si>
    <t xml:space="preserve">M055</t>
  </si>
  <si>
    <t xml:space="preserve">M056</t>
  </si>
  <si>
    <t xml:space="preserve">M057</t>
  </si>
  <si>
    <t xml:space="preserve">M058</t>
  </si>
  <si>
    <t xml:space="preserve">M059</t>
  </si>
  <si>
    <t xml:space="preserve">M060</t>
  </si>
  <si>
    <t xml:space="preserve">M061</t>
  </si>
  <si>
    <t xml:space="preserve">M062</t>
  </si>
  <si>
    <t xml:space="preserve">M063</t>
  </si>
  <si>
    <t xml:space="preserve">M064</t>
  </si>
  <si>
    <t xml:space="preserve">Team</t>
  </si>
  <si>
    <t xml:space="preserve">Matches Played</t>
  </si>
  <si>
    <t xml:space="preserve">Wins</t>
  </si>
  <si>
    <t xml:space="preserve">Total Wins</t>
  </si>
  <si>
    <t xml:space="preserve">Top Team</t>
  </si>
  <si>
    <t xml:space="preserve">Top Wins</t>
  </si>
  <si>
    <t xml:space="preserve">Chennai Super Kings, Delhi Capitals</t>
  </si>
  <si>
    <t xml:space="preserve">Sunrisers Hyderabad, Delhi Capitals</t>
  </si>
  <si>
    <t xml:space="preserve">Matches</t>
  </si>
  <si>
    <t xml:space="preserve">Interactive Control</t>
  </si>
  <si>
    <t xml:space="preserve">Field</t>
  </si>
  <si>
    <t xml:space="preserve">Use</t>
  </si>
  <si>
    <t xml:space="preserve">Venue Slicer</t>
  </si>
  <si>
    <t xml:space="preserve">Filter both dashboard PivotTables/Charts by stadium.</t>
  </si>
  <si>
    <t xml:space="preserve">Timeline</t>
  </si>
  <si>
    <t xml:space="preserve">Filter both dashboard PivotTables/Charts by season/month.</t>
  </si>
  <si>
    <t xml:space="preserve">Report Connections</t>
  </si>
  <si>
    <t xml:space="preserve">Venue + Match Date</t>
  </si>
  <si>
    <t xml:space="preserve">Connect the same slicer/timeline to both PivotTables.</t>
  </si>
  <si>
    <t xml:space="preserve">Desktop Excel</t>
  </si>
  <si>
    <t xml:space="preserve">Insert → Slicer / Timeline</t>
  </si>
  <si>
    <t xml:space="preserve">Native interactive controls must be inserted in desktop Excel.</t>
  </si>
  <si>
    <t xml:space="preserve">HOW TO BUILD THE LIVE PIVOTTABLES, SLICER &amp; TIMELINE</t>
  </si>
  <si>
    <t xml:space="preserve">PivotTables, PivotCharts, Slicers and Timelines are interactive objects created by Excel's own engine and cannot be pre-embedded into a file. The Pivot_* sheets are now formula-driven off IPL_Matches, so you can build the live versions and check your numbers against them.</t>
  </si>
  <si>
    <t xml:space="preserve">Select any cell in IPL_Matches (A1:L65) -&gt; Insert -&gt; PivotTable -&gt; New Worksheet.</t>
  </si>
  <si>
    <t xml:space="preserve">Drag "Team 1"/"Team 2" or "Winner" to Rows and "Match ID" to Values (Count) to reproduce Pivot_Team_Matches.</t>
  </si>
  <si>
    <t xml:space="preserve">For Total Wins by team, drag "Winner" to Rows and "Match ID" to Values (Count) - matches Pivot_Team_Wins.</t>
  </si>
  <si>
    <t xml:space="preserve">Select the PivotTable -&gt; Insert -&gt; PivotChart -&gt; Bar Chart for the Total Wins by Team chart.</t>
  </si>
  <si>
    <t xml:space="preserve">With the PivotTable selected: Insert -&gt; Slicer -&gt; tick "Venue". Insert -&gt; Timeline -&gt; tick "Match Date".</t>
  </si>
  <si>
    <t xml:space="preserve">Build a second PivotTable (Match ID count by Month) for Matches Played Over Time, then Insert -&gt; PivotChart -&gt; Line.</t>
  </si>
  <si>
    <t xml:space="preserve">Right-click each Slicer/Timeline -&gt; Report Connections -&gt; tick both PivotTables so one filter drives both charts.</t>
  </si>
  <si>
    <t xml:space="preserve">Compare your PivotTable totals to Pivot_Team_Matches, Pivot_Team_Wins, Pivot_Matches_Over_Time and Venue_Summary.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</si>
</sst>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mbria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63238"/>
        <bgColor rgb="FF003366"/>
      </patternFill>
    </fill>
    <fill>
      <patternFill patternType="solid">
        <fgColor rgb="FF1976D2"/>
        <bgColor rgb="FF4672A8"/>
      </patternFill>
    </fill>
    <fill>
      <patternFill patternType="solid">
        <fgColor rgb="FF2E7D32"/>
        <bgColor rgb="FF008080"/>
      </patternFill>
    </fill>
    <fill>
      <patternFill patternType="solid">
        <fgColor rgb="FFEF6C00"/>
        <bgColor rgb="FFDC853E"/>
      </patternFill>
    </fill>
    <fill>
      <patternFill patternType="solid">
        <fgColor rgb="FF6A1B9A"/>
        <bgColor rgb="FF800080"/>
      </patternFill>
    </fill>
    <fill>
      <patternFill patternType="solid">
        <fgColor rgb="FFF3F6F8"/>
        <bgColor rgb="FFF9F9F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DE2"/>
      </left>
      <right style="thin">
        <color rgb="FFD7DDE2"/>
      </right>
      <top style="thin">
        <color rgb="FFD7DDE2"/>
      </top>
      <bottom style="thin">
        <color rgb="FFD7DD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63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66666"/>
      <rgbColor rgb="FF6A1B9A"/>
      <rgbColor rgb="FF4F81BD"/>
      <rgbColor rgb="FFD9D9D9"/>
      <rgbColor rgb="FF878787"/>
      <rgbColor rgb="FF93A9CE"/>
      <rgbColor rgb="FFAB4744"/>
      <rgbColor rgb="FFFFF2CC"/>
      <rgbColor rgb="FFF3F6F8"/>
      <rgbColor rgb="FF660066"/>
      <rgbColor rgb="FFDC853E"/>
      <rgbColor rgb="FF1976D2"/>
      <rgbColor rgb="FFD7D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8B855"/>
      <rgbColor rgb="FFFFCC00"/>
      <rgbColor rgb="FFFF9900"/>
      <rgbColor rgb="FFEF6C00"/>
      <rgbColor rgb="FF725990"/>
      <rgbColor rgb="FF8AA64F"/>
      <rgbColor rgb="FF003366"/>
      <rgbColor rgb="FF4299B0"/>
      <rgbColor rgb="FF003300"/>
      <rgbColor rgb="FF555555"/>
      <rgbColor rgb="FF993300"/>
      <rgbColor rgb="FF993366"/>
      <rgbColor rgb="FF1F4E78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Wins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Pivot_Team_Wins!B1</c:f>
              <c:strCache>
                <c:ptCount val="1"/>
                <c:pt idx="0">
                  <c:v>Total Wins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Pivot_Team_Wins!$A$2:$A$9</c:f>
              <c:strCache>
                <c:ptCount val="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Rajasthan Royals</c:v>
                </c:pt>
                <c:pt idx="4">
                  <c:v>Royal Challengers Bengaluru</c:v>
                </c:pt>
                <c:pt idx="5">
                  <c:v>Sunrisers Hyderabad</c:v>
                </c:pt>
                <c:pt idx="6">
                  <c:v>Delhi Capitals</c:v>
                </c:pt>
                <c:pt idx="7">
                  <c:v>Punjab Kings</c:v>
                </c:pt>
              </c:strCache>
            </c:strRef>
          </c:cat>
          <c:val>
            <c:numRef>
              <c:f>Pivot_Team_Wins!$B$2:$B$9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</c:ser>
        <c:gapWidth val="150"/>
        <c:overlap val="0"/>
        <c:axId val="18198546"/>
        <c:axId val="43338"/>
      </c:barChart>
      <c:catAx>
        <c:axId val="181985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38"/>
        <c:crosses val="autoZero"/>
        <c:auto val="1"/>
        <c:lblAlgn val="ctr"/>
        <c:lblOffset val="100"/>
        <c:noMultiLvlLbl val="0"/>
      </c:catAx>
      <c:valAx>
        <c:axId val="43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98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Pivot_Matches_Over_Time!B1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Pivot_Matches_Over_Time!$A$2:$A$13</c:f>
              <c:strCache>
                <c:ptCount val="12"/>
                <c:pt idx="0">
                  <c:v>Mar-2022</c:v>
                </c:pt>
                <c:pt idx="1">
                  <c:v>Apr-2022</c:v>
                </c:pt>
                <c:pt idx="2">
                  <c:v>May-2022</c:v>
                </c:pt>
                <c:pt idx="3">
                  <c:v>Mar-2023</c:v>
                </c:pt>
                <c:pt idx="4">
                  <c:v>Apr-2023</c:v>
                </c:pt>
                <c:pt idx="5">
                  <c:v>May-2023</c:v>
                </c:pt>
                <c:pt idx="6">
                  <c:v>Mar-2024</c:v>
                </c:pt>
                <c:pt idx="7">
                  <c:v>Apr-2024</c:v>
                </c:pt>
                <c:pt idx="8">
                  <c:v>May-2024</c:v>
                </c:pt>
                <c:pt idx="9">
                  <c:v>Mar-2025</c:v>
                </c:pt>
                <c:pt idx="10">
                  <c:v>Apr-2025</c:v>
                </c:pt>
                <c:pt idx="11">
                  <c:v>May-2025</c:v>
                </c:pt>
              </c:strCache>
            </c:strRef>
          </c:cat>
          <c:val>
            <c:numRef>
              <c:f>Pivot_Matches_Over_Time!$B$2:$B$13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209083"/>
        <c:axId val="3395910"/>
      </c:lineChart>
      <c:catAx>
        <c:axId val="22209083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5910"/>
        <c:crosses val="autoZero"/>
        <c:auto val="1"/>
        <c:lblAlgn val="ctr"/>
        <c:lblOffset val="100"/>
        <c:noMultiLvlLbl val="0"/>
      </c:catAx>
      <c:valAx>
        <c:axId val="3395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09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Matches Played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Pivot_Team_Matches!B1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Pivot_Team_Matches!$A$2:$A$9</c:f>
              <c:strCache>
                <c:ptCount val="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Rajasthan Royals</c:v>
                </c:pt>
                <c:pt idx="4">
                  <c:v>Royal Challengers Bengaluru</c:v>
                </c:pt>
                <c:pt idx="5">
                  <c:v>Sunrisers Hyderabad</c:v>
                </c:pt>
                <c:pt idx="6">
                  <c:v>Delhi Capitals</c:v>
                </c:pt>
                <c:pt idx="7">
                  <c:v>Punjab Kings</c:v>
                </c:pt>
              </c:strCache>
            </c:strRef>
          </c:cat>
          <c:val>
            <c:numRef>
              <c:f>Pivot_Team_Matches!$B$2:$B$9</c:f>
              <c:numCache>
                <c:formatCode>General</c:formatCode>
                <c:ptCount val="8"/>
                <c:pt idx="0">
                  <c:v>12</c:v>
                </c:pt>
                <c:pt idx="1">
                  <c:v>21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17</c:v>
                </c:pt>
                <c:pt idx="7">
                  <c:v>17</c:v>
                </c:pt>
              </c:numCache>
            </c:numRef>
          </c:val>
        </c:ser>
        <c:gapWidth val="150"/>
        <c:overlap val="0"/>
        <c:axId val="25329837"/>
        <c:axId val="33927401"/>
      </c:barChart>
      <c:catAx>
        <c:axId val="253298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7401"/>
        <c:crosses val="autoZero"/>
        <c:auto val="1"/>
        <c:lblAlgn val="ctr"/>
        <c:lblOffset val="100"/>
        <c:noMultiLvlLbl val="0"/>
      </c:catAx>
      <c:valAx>
        <c:axId val="33927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29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Pivot_Matches_Over_Time!B1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Pivot_Matches_Over_Time!$A$2:$A$13</c:f>
              <c:strCache>
                <c:ptCount val="12"/>
                <c:pt idx="0">
                  <c:v>Mar-2022</c:v>
                </c:pt>
                <c:pt idx="1">
                  <c:v>Apr-2022</c:v>
                </c:pt>
                <c:pt idx="2">
                  <c:v>May-2022</c:v>
                </c:pt>
                <c:pt idx="3">
                  <c:v>Mar-2023</c:v>
                </c:pt>
                <c:pt idx="4">
                  <c:v>Apr-2023</c:v>
                </c:pt>
                <c:pt idx="5">
                  <c:v>May-2023</c:v>
                </c:pt>
                <c:pt idx="6">
                  <c:v>Mar-2024</c:v>
                </c:pt>
                <c:pt idx="7">
                  <c:v>Apr-2024</c:v>
                </c:pt>
                <c:pt idx="8">
                  <c:v>May-2024</c:v>
                </c:pt>
                <c:pt idx="9">
                  <c:v>Mar-2025</c:v>
                </c:pt>
                <c:pt idx="10">
                  <c:v>Apr-2025</c:v>
                </c:pt>
                <c:pt idx="11">
                  <c:v>May-2025</c:v>
                </c:pt>
              </c:strCache>
            </c:strRef>
          </c:cat>
          <c:val>
            <c:numRef>
              <c:f>Pivot_Matches_Over_Time!$B$2:$B$13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58942"/>
        <c:axId val="26699440"/>
      </c:lineChart>
      <c:catAx>
        <c:axId val="84858942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9440"/>
        <c:crosses val="autoZero"/>
        <c:auto val="1"/>
        <c:lblAlgn val="ctr"/>
        <c:lblOffset val="100"/>
        <c:noMultiLvlLbl val="0"/>
      </c:catAx>
      <c:valAx>
        <c:axId val="26699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589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Wins by Team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Year_Team_Wins!B1</c:f>
              <c:strCache>
                <c:ptCount val="1"/>
                <c:pt idx="0">
                  <c:v>Mumbai Indians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Year_Team_Wins!C1</c:f>
              <c:strCache>
                <c:ptCount val="1"/>
                <c:pt idx="0">
                  <c:v>Chennai Super Kings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Year_Team_Wins!$C$2:$C$5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Year_Team_Wins!D1</c:f>
              <c:strCache>
                <c:ptCount val="1"/>
                <c:pt idx="0">
                  <c:v>Kolkata Knight Riders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ser>
          <c:idx val="3"/>
          <c:order val="3"/>
          <c:tx>
            <c:strRef>
              <c:f>Year_Team_Wins!E1</c:f>
              <c:strCache>
                <c:ptCount val="1"/>
                <c:pt idx="0">
                  <c:v>Rajasthan Royals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Year_Team_Wins!$E$2:$E$5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</c:ser>
        <c:ser>
          <c:idx val="4"/>
          <c:order val="4"/>
          <c:tx>
            <c:strRef>
              <c:f>Year_Team_Wins!F1</c:f>
              <c:strCache>
                <c:ptCount val="1"/>
                <c:pt idx="0">
                  <c:v>Royal Challengers Bengaluru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Year_Team_Wins!$F$2:$F$5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Year_Team_Wins!G1</c:f>
              <c:strCache>
                <c:ptCount val="1"/>
                <c:pt idx="0">
                  <c:v>Sunrisers Hyderabad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Year_Team_Wins!$G$2:$G$5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Year_Team_Wins!H1</c:f>
              <c:strCache>
                <c:ptCount val="1"/>
                <c:pt idx="0">
                  <c:v>Delhi Capitals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Year_Team_Wins!$H$2:$H$5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7"/>
          <c:order val="7"/>
          <c:tx>
            <c:strRef>
              <c:f>Year_Team_Wins!I1</c:f>
              <c:strCache>
                <c:ptCount val="1"/>
                <c:pt idx="0">
                  <c:v>Punjab Kings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Year_Team_Wins!$A$2:$A$5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Year_Team_Wins!$I$2:$I$5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56064058"/>
        <c:axId val="94988014"/>
      </c:barChart>
      <c:catAx>
        <c:axId val="56064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88014"/>
        <c:crosses val="autoZero"/>
        <c:auto val="1"/>
        <c:lblAlgn val="ctr"/>
        <c:lblOffset val="100"/>
        <c:noMultiLvlLbl val="0"/>
      </c:catAx>
      <c:valAx>
        <c:axId val="94988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64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5</xdr:col>
      <xdr:colOff>731520</xdr:colOff>
      <xdr:row>27</xdr:row>
      <xdr:rowOff>20880</xdr:rowOff>
    </xdr:to>
    <xdr:graphicFrame>
      <xdr:nvGraphicFramePr>
        <xdr:cNvPr id="0" name="Chart 1"/>
        <xdr:cNvGraphicFramePr/>
      </xdr:nvGraphicFramePr>
      <xdr:xfrm>
        <a:off x="986760" y="2286000"/>
        <a:ext cx="467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731520</xdr:colOff>
      <xdr:row>27</xdr:row>
      <xdr:rowOff>20880</xdr:rowOff>
    </xdr:to>
    <xdr:graphicFrame>
      <xdr:nvGraphicFramePr>
        <xdr:cNvPr id="1" name="Chart 2"/>
        <xdr:cNvGraphicFramePr/>
      </xdr:nvGraphicFramePr>
      <xdr:xfrm>
        <a:off x="6907680" y="2286000"/>
        <a:ext cx="467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506520</xdr:colOff>
      <xdr:row>17</xdr:row>
      <xdr:rowOff>190440</xdr:rowOff>
    </xdr:to>
    <xdr:graphicFrame>
      <xdr:nvGraphicFramePr>
        <xdr:cNvPr id="2" name="Chart 1"/>
        <xdr:cNvGraphicFramePr/>
      </xdr:nvGraphicFramePr>
      <xdr:xfrm>
        <a:off x="5263560" y="190440"/>
        <a:ext cx="539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506520</xdr:colOff>
      <xdr:row>17</xdr:row>
      <xdr:rowOff>190440</xdr:rowOff>
    </xdr:to>
    <xdr:graphicFrame>
      <xdr:nvGraphicFramePr>
        <xdr:cNvPr id="3" name="Chart 1"/>
        <xdr:cNvGraphicFramePr/>
      </xdr:nvGraphicFramePr>
      <xdr:xfrm>
        <a:off x="3148920" y="190440"/>
        <a:ext cx="539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557640</xdr:colOff>
      <xdr:row>25</xdr:row>
      <xdr:rowOff>169560</xdr:rowOff>
    </xdr:to>
    <xdr:graphicFrame>
      <xdr:nvGraphicFramePr>
        <xdr:cNvPr id="4" name="Chart 1"/>
        <xdr:cNvGraphicFramePr/>
      </xdr:nvGraphicFramePr>
      <xdr:xfrm>
        <a:off x="0" y="133344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PLMatchesTable" displayName="IPLMatchesTable" ref="A1:L65" headerRowCount="1" totalsRowCount="0" totalsRowShown="0">
  <autoFilter ref="A1:L65"/>
  <tableColumns count="12">
    <tableColumn id="1" name="Match ID"/>
    <tableColumn id="2" name="Match Date"/>
    <tableColumn id="3" name="Year"/>
    <tableColumn id="4" name="Month"/>
    <tableColumn id="5" name="Month Name"/>
    <tableColumn id="6" name="Team 1"/>
    <tableColumn id="7" name="Team 2"/>
    <tableColumn id="8" name="Venue"/>
    <tableColumn id="9" name="City"/>
    <tableColumn id="10" name="Winner"/>
    <tableColumn id="11" name="Result"/>
    <tableColumn id="12" name="St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</row>
    <row r="3" customFormat="false" ht="15" hidden="false" customHeight="true" outlineLevel="0" collapsed="false">
      <c r="A3" s="1" t="s">
        <v>3</v>
      </c>
      <c r="B3" s="1" t="s">
        <v>4</v>
      </c>
    </row>
    <row r="4" customFormat="false" ht="15" hidden="false" customHeight="true" outlineLevel="0" collapsed="false">
      <c r="A4" s="1" t="s">
        <v>5</v>
      </c>
      <c r="B4" s="1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</row>
    <row r="6" customFormat="false" ht="15" hidden="false" customHeight="true" outlineLevel="0" collapsed="false">
      <c r="A6" s="1" t="s">
        <v>9</v>
      </c>
      <c r="B6" s="1" t="s">
        <v>10</v>
      </c>
    </row>
    <row r="7" customFormat="false" ht="15" hidden="false" customHeight="true" outlineLevel="0" collapsed="false">
      <c r="A7" s="1" t="s">
        <v>11</v>
      </c>
      <c r="B7" s="1" t="s">
        <v>12</v>
      </c>
    </row>
    <row r="8" customFormat="false" ht="15" hidden="false" customHeight="true" outlineLevel="0" collapsed="false">
      <c r="A8" s="1" t="s">
        <v>13</v>
      </c>
      <c r="B8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4"/>
  </cols>
  <sheetData>
    <row r="2" customFormat="false" ht="15" hidden="false" customHeight="true" outlineLevel="0" collapsed="false">
      <c r="B2" s="4" t="s">
        <v>15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true" outlineLevel="0" collapsed="false">
      <c r="B4" s="5" t="s">
        <v>16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6" customFormat="false" ht="15" hidden="false" customHeight="true" outlineLevel="0" collapsed="false">
      <c r="B6" s="6" t="s">
        <v>17</v>
      </c>
      <c r="C6" s="6"/>
      <c r="D6" s="6"/>
      <c r="E6" s="7" t="s">
        <v>18</v>
      </c>
      <c r="F6" s="7"/>
      <c r="G6" s="7"/>
      <c r="H6" s="8" t="s">
        <v>19</v>
      </c>
      <c r="I6" s="8"/>
      <c r="J6" s="8"/>
      <c r="K6" s="9" t="s">
        <v>20</v>
      </c>
      <c r="L6" s="9"/>
    </row>
    <row r="7" customFormat="false" ht="15" hidden="false" customHeight="true" outlineLevel="0" collapsed="false">
      <c r="B7" s="6"/>
      <c r="C7" s="6"/>
      <c r="D7" s="6"/>
      <c r="E7" s="7"/>
      <c r="F7" s="7"/>
      <c r="G7" s="7"/>
      <c r="H7" s="8"/>
      <c r="I7" s="8"/>
      <c r="J7" s="8"/>
      <c r="K7" s="9"/>
      <c r="L7" s="9"/>
    </row>
    <row r="8" customFormat="false" ht="15" hidden="false" customHeight="true" outlineLevel="0" collapsed="false">
      <c r="B8" s="10" t="n">
        <f aca="false">COUNTA(IPL_Matches!$A$2:$A$65)</f>
        <v>64</v>
      </c>
      <c r="C8" s="10"/>
      <c r="D8" s="10"/>
      <c r="E8" s="11" t="n">
        <f aca="false">COUNTA(IPL_Matches!$J$2:$J$65)</f>
        <v>64</v>
      </c>
      <c r="F8" s="11"/>
      <c r="G8" s="11"/>
      <c r="H8" s="12" t="n">
        <f aca="false">SUMPRODUCT(1/COUNTIF(IPL_Matches!$F$2:$F$65,IPL_Matches!$F$2:$F$65))</f>
        <v>8</v>
      </c>
      <c r="I8" s="12"/>
      <c r="J8" s="12"/>
      <c r="K8" s="13" t="n">
        <f aca="false">SUMPRODUCT(1/COUNTIF(IPL_Matches!$C$2:$C$65,IPL_Matches!$C$2:$C$65))</f>
        <v>4</v>
      </c>
      <c r="L8" s="13"/>
    </row>
    <row r="9" customFormat="false" ht="15" hidden="false" customHeight="true" outlineLevel="0" collapsed="false">
      <c r="B9" s="10"/>
      <c r="C9" s="10"/>
      <c r="D9" s="10"/>
      <c r="E9" s="11"/>
      <c r="F9" s="11"/>
      <c r="G9" s="11"/>
      <c r="H9" s="12"/>
      <c r="I9" s="12"/>
      <c r="J9" s="12"/>
      <c r="K9" s="13"/>
      <c r="L9" s="13"/>
    </row>
    <row r="11" customFormat="false" ht="15" hidden="false" customHeight="true" outlineLevel="0" collapsed="false">
      <c r="B11" s="14" t="s">
        <v>21</v>
      </c>
      <c r="C11" s="14"/>
      <c r="D11" s="14"/>
      <c r="E11" s="14"/>
      <c r="F11" s="14"/>
      <c r="H11" s="14" t="s">
        <v>22</v>
      </c>
      <c r="I11" s="14"/>
      <c r="J11" s="14"/>
      <c r="K11" s="14"/>
      <c r="L11" s="14"/>
    </row>
    <row r="30" customFormat="false" ht="15" hidden="false" customHeight="true" outlineLevel="0" collapsed="false">
      <c r="B30" s="15" t="s">
        <v>23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true" outlineLevel="0" collapsed="false">
      <c r="B31" s="16" t="s">
        <v>24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customFormat="false" ht="15" hidden="false" customHeight="true" outlineLevel="0" collapsed="false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customFormat="false" ht="15" hidden="false" customHeight="true" outlineLevel="0" collapsed="false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customFormat="false" ht="15" hidden="false" customHeight="tru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customFormat="false" ht="15" hidden="false" customHeight="true" outlineLevel="0" collapsed="false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</sheetData>
  <mergeCells count="14">
    <mergeCell ref="B2:L3"/>
    <mergeCell ref="B4:L4"/>
    <mergeCell ref="B6:D7"/>
    <mergeCell ref="E6:G7"/>
    <mergeCell ref="H6:J7"/>
    <mergeCell ref="K6:L7"/>
    <mergeCell ref="B8:D9"/>
    <mergeCell ref="E8:G9"/>
    <mergeCell ref="H8:J9"/>
    <mergeCell ref="K8:L9"/>
    <mergeCell ref="B11:F11"/>
    <mergeCell ref="H11:L11"/>
    <mergeCell ref="B30:L30"/>
    <mergeCell ref="B31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12" min="6" style="1" width="13"/>
  </cols>
  <sheetData>
    <row r="1" customFormat="false" ht="15" hidden="false" customHeight="true" outlineLevel="0" collapsed="false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</row>
    <row r="2" customFormat="false" ht="15" hidden="false" customHeight="true" outlineLevel="0" collapsed="false">
      <c r="A2" s="1" t="s">
        <v>37</v>
      </c>
      <c r="B2" s="18" t="n">
        <v>44640</v>
      </c>
      <c r="C2" s="1" t="n">
        <v>2022</v>
      </c>
      <c r="D2" s="1" t="n">
        <v>3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39</v>
      </c>
      <c r="K2" s="1" t="s">
        <v>43</v>
      </c>
      <c r="L2" s="1" t="s">
        <v>44</v>
      </c>
    </row>
    <row r="3" customFormat="false" ht="15" hidden="false" customHeight="true" outlineLevel="0" collapsed="false">
      <c r="A3" s="1" t="s">
        <v>45</v>
      </c>
      <c r="B3" s="18" t="n">
        <v>44644</v>
      </c>
      <c r="C3" s="1" t="n">
        <v>2022</v>
      </c>
      <c r="D3" s="1" t="n">
        <v>3</v>
      </c>
      <c r="E3" s="1" t="s">
        <v>38</v>
      </c>
      <c r="F3" s="1" t="s">
        <v>39</v>
      </c>
      <c r="G3" s="1" t="s">
        <v>46</v>
      </c>
      <c r="H3" s="1" t="s">
        <v>47</v>
      </c>
      <c r="I3" s="1" t="s">
        <v>48</v>
      </c>
      <c r="J3" s="1" t="s">
        <v>46</v>
      </c>
      <c r="K3" s="1" t="s">
        <v>43</v>
      </c>
      <c r="L3" s="1" t="s">
        <v>44</v>
      </c>
    </row>
    <row r="4" customFormat="false" ht="15" hidden="false" customHeight="true" outlineLevel="0" collapsed="false">
      <c r="A4" s="1" t="s">
        <v>49</v>
      </c>
      <c r="B4" s="18" t="n">
        <v>44648</v>
      </c>
      <c r="C4" s="1" t="n">
        <v>2022</v>
      </c>
      <c r="D4" s="1" t="n">
        <v>3</v>
      </c>
      <c r="E4" s="1" t="s">
        <v>38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51</v>
      </c>
      <c r="K4" s="1" t="s">
        <v>43</v>
      </c>
      <c r="L4" s="1" t="s">
        <v>44</v>
      </c>
    </row>
    <row r="5" customFormat="false" ht="15" hidden="false" customHeight="true" outlineLevel="0" collapsed="false">
      <c r="A5" s="1" t="s">
        <v>54</v>
      </c>
      <c r="B5" s="18" t="n">
        <v>44653</v>
      </c>
      <c r="C5" s="1" t="n">
        <v>2022</v>
      </c>
      <c r="D5" s="1" t="n">
        <v>4</v>
      </c>
      <c r="E5" s="1" t="s">
        <v>55</v>
      </c>
      <c r="F5" s="1" t="s">
        <v>56</v>
      </c>
      <c r="G5" s="1" t="s">
        <v>51</v>
      </c>
      <c r="H5" s="1" t="s">
        <v>57</v>
      </c>
      <c r="I5" s="1" t="s">
        <v>58</v>
      </c>
      <c r="J5" s="1" t="s">
        <v>56</v>
      </c>
      <c r="K5" s="1" t="s">
        <v>43</v>
      </c>
      <c r="L5" s="1" t="s">
        <v>44</v>
      </c>
    </row>
    <row r="6" customFormat="false" ht="15" hidden="false" customHeight="true" outlineLevel="0" collapsed="false">
      <c r="A6" s="1" t="s">
        <v>59</v>
      </c>
      <c r="B6" s="18" t="n">
        <v>44656</v>
      </c>
      <c r="C6" s="1" t="n">
        <v>2022</v>
      </c>
      <c r="D6" s="1" t="n">
        <v>4</v>
      </c>
      <c r="E6" s="1" t="s">
        <v>55</v>
      </c>
      <c r="F6" s="1" t="s">
        <v>60</v>
      </c>
      <c r="G6" s="1" t="s">
        <v>56</v>
      </c>
      <c r="H6" s="1" t="s">
        <v>57</v>
      </c>
      <c r="I6" s="1" t="s">
        <v>58</v>
      </c>
      <c r="J6" s="1" t="s">
        <v>60</v>
      </c>
      <c r="K6" s="1" t="s">
        <v>43</v>
      </c>
      <c r="L6" s="1" t="s">
        <v>44</v>
      </c>
    </row>
    <row r="7" customFormat="false" ht="15" hidden="false" customHeight="true" outlineLevel="0" collapsed="false">
      <c r="A7" s="1" t="s">
        <v>61</v>
      </c>
      <c r="B7" s="18" t="n">
        <v>44661</v>
      </c>
      <c r="C7" s="1" t="n">
        <v>2022</v>
      </c>
      <c r="D7" s="1" t="n">
        <v>4</v>
      </c>
      <c r="E7" s="1" t="s">
        <v>55</v>
      </c>
      <c r="F7" s="1" t="s">
        <v>56</v>
      </c>
      <c r="G7" s="1" t="s">
        <v>50</v>
      </c>
      <c r="H7" s="1" t="s">
        <v>52</v>
      </c>
      <c r="I7" s="1" t="s">
        <v>53</v>
      </c>
      <c r="J7" s="1" t="s">
        <v>50</v>
      </c>
      <c r="K7" s="1" t="s">
        <v>43</v>
      </c>
      <c r="L7" s="1" t="s">
        <v>44</v>
      </c>
    </row>
    <row r="8" customFormat="false" ht="15" hidden="false" customHeight="true" outlineLevel="0" collapsed="false">
      <c r="A8" s="1" t="s">
        <v>62</v>
      </c>
      <c r="B8" s="18" t="n">
        <v>44665</v>
      </c>
      <c r="C8" s="1" t="n">
        <v>2022</v>
      </c>
      <c r="D8" s="1" t="n">
        <v>4</v>
      </c>
      <c r="E8" s="1" t="s">
        <v>55</v>
      </c>
      <c r="F8" s="1" t="s">
        <v>50</v>
      </c>
      <c r="G8" s="1" t="s">
        <v>63</v>
      </c>
      <c r="H8" s="1" t="s">
        <v>57</v>
      </c>
      <c r="I8" s="1" t="s">
        <v>58</v>
      </c>
      <c r="J8" s="1" t="s">
        <v>63</v>
      </c>
      <c r="K8" s="1" t="s">
        <v>43</v>
      </c>
      <c r="L8" s="1" t="s">
        <v>44</v>
      </c>
    </row>
    <row r="9" customFormat="false" ht="15" hidden="false" customHeight="true" outlineLevel="0" collapsed="false">
      <c r="A9" s="1" t="s">
        <v>64</v>
      </c>
      <c r="B9" s="18" t="n">
        <v>44670</v>
      </c>
      <c r="C9" s="1" t="n">
        <v>2022</v>
      </c>
      <c r="D9" s="1" t="n">
        <v>4</v>
      </c>
      <c r="E9" s="1" t="s">
        <v>55</v>
      </c>
      <c r="F9" s="1" t="s">
        <v>60</v>
      </c>
      <c r="G9" s="1" t="s">
        <v>46</v>
      </c>
      <c r="H9" s="1" t="s">
        <v>52</v>
      </c>
      <c r="I9" s="1" t="s">
        <v>53</v>
      </c>
      <c r="J9" s="1" t="s">
        <v>46</v>
      </c>
      <c r="K9" s="1" t="s">
        <v>43</v>
      </c>
      <c r="L9" s="1" t="s">
        <v>44</v>
      </c>
    </row>
    <row r="10" customFormat="false" ht="15" hidden="false" customHeight="true" outlineLevel="0" collapsed="false">
      <c r="A10" s="1" t="s">
        <v>65</v>
      </c>
      <c r="B10" s="18" t="n">
        <v>44672</v>
      </c>
      <c r="C10" s="1" t="n">
        <v>2022</v>
      </c>
      <c r="D10" s="1" t="n">
        <v>4</v>
      </c>
      <c r="E10" s="1" t="s">
        <v>55</v>
      </c>
      <c r="F10" s="1" t="s">
        <v>46</v>
      </c>
      <c r="G10" s="1" t="s">
        <v>56</v>
      </c>
      <c r="H10" s="1" t="s">
        <v>41</v>
      </c>
      <c r="I10" s="1" t="s">
        <v>42</v>
      </c>
      <c r="J10" s="1" t="s">
        <v>46</v>
      </c>
      <c r="K10" s="1" t="s">
        <v>43</v>
      </c>
      <c r="L10" s="1" t="s">
        <v>44</v>
      </c>
    </row>
    <row r="11" customFormat="false" ht="15" hidden="false" customHeight="true" outlineLevel="0" collapsed="false">
      <c r="A11" s="1" t="s">
        <v>66</v>
      </c>
      <c r="B11" s="18" t="n">
        <v>44676</v>
      </c>
      <c r="C11" s="1" t="n">
        <v>2022</v>
      </c>
      <c r="D11" s="1" t="n">
        <v>4</v>
      </c>
      <c r="E11" s="1" t="s">
        <v>55</v>
      </c>
      <c r="F11" s="1" t="s">
        <v>51</v>
      </c>
      <c r="G11" s="1" t="s">
        <v>40</v>
      </c>
      <c r="H11" s="1" t="s">
        <v>41</v>
      </c>
      <c r="I11" s="1" t="s">
        <v>42</v>
      </c>
      <c r="J11" s="1" t="s">
        <v>40</v>
      </c>
      <c r="K11" s="1" t="s">
        <v>43</v>
      </c>
      <c r="L11" s="1" t="s">
        <v>44</v>
      </c>
    </row>
    <row r="12" customFormat="false" ht="15" hidden="false" customHeight="true" outlineLevel="0" collapsed="false">
      <c r="A12" s="1" t="s">
        <v>67</v>
      </c>
      <c r="B12" s="18" t="n">
        <v>44682</v>
      </c>
      <c r="C12" s="1" t="n">
        <v>2022</v>
      </c>
      <c r="D12" s="1" t="n">
        <v>5</v>
      </c>
      <c r="E12" s="1" t="s">
        <v>68</v>
      </c>
      <c r="F12" s="1" t="s">
        <v>46</v>
      </c>
      <c r="G12" s="1" t="s">
        <v>50</v>
      </c>
      <c r="H12" s="1" t="s">
        <v>69</v>
      </c>
      <c r="I12" s="1" t="s">
        <v>70</v>
      </c>
      <c r="J12" s="1" t="s">
        <v>46</v>
      </c>
      <c r="K12" s="1" t="s">
        <v>43</v>
      </c>
      <c r="L12" s="1" t="s">
        <v>44</v>
      </c>
    </row>
    <row r="13" customFormat="false" ht="15" hidden="false" customHeight="true" outlineLevel="0" collapsed="false">
      <c r="A13" s="1" t="s">
        <v>71</v>
      </c>
      <c r="B13" s="18" t="n">
        <v>44685</v>
      </c>
      <c r="C13" s="1" t="n">
        <v>2022</v>
      </c>
      <c r="D13" s="1" t="n">
        <v>5</v>
      </c>
      <c r="E13" s="1" t="s">
        <v>68</v>
      </c>
      <c r="F13" s="1" t="s">
        <v>39</v>
      </c>
      <c r="G13" s="1" t="s">
        <v>46</v>
      </c>
      <c r="H13" s="1" t="s">
        <v>52</v>
      </c>
      <c r="I13" s="1" t="s">
        <v>53</v>
      </c>
      <c r="J13" s="1" t="s">
        <v>46</v>
      </c>
      <c r="K13" s="1" t="s">
        <v>43</v>
      </c>
      <c r="L13" s="1" t="s">
        <v>44</v>
      </c>
    </row>
    <row r="14" customFormat="false" ht="15" hidden="false" customHeight="true" outlineLevel="0" collapsed="false">
      <c r="A14" s="1" t="s">
        <v>72</v>
      </c>
      <c r="B14" s="18" t="n">
        <v>44689</v>
      </c>
      <c r="C14" s="1" t="n">
        <v>2022</v>
      </c>
      <c r="D14" s="1" t="n">
        <v>5</v>
      </c>
      <c r="E14" s="1" t="s">
        <v>68</v>
      </c>
      <c r="F14" s="1" t="s">
        <v>63</v>
      </c>
      <c r="G14" s="1" t="s">
        <v>50</v>
      </c>
      <c r="H14" s="1" t="s">
        <v>57</v>
      </c>
      <c r="I14" s="1" t="s">
        <v>58</v>
      </c>
      <c r="J14" s="1" t="s">
        <v>63</v>
      </c>
      <c r="K14" s="1" t="s">
        <v>43</v>
      </c>
      <c r="L14" s="1" t="s">
        <v>44</v>
      </c>
    </row>
    <row r="15" customFormat="false" ht="15" hidden="false" customHeight="true" outlineLevel="0" collapsed="false">
      <c r="A15" s="1" t="s">
        <v>73</v>
      </c>
      <c r="B15" s="18" t="n">
        <v>44692</v>
      </c>
      <c r="C15" s="1" t="n">
        <v>2022</v>
      </c>
      <c r="D15" s="1" t="n">
        <v>5</v>
      </c>
      <c r="E15" s="1" t="s">
        <v>68</v>
      </c>
      <c r="F15" s="1" t="s">
        <v>40</v>
      </c>
      <c r="G15" s="1" t="s">
        <v>51</v>
      </c>
      <c r="H15" s="1" t="s">
        <v>47</v>
      </c>
      <c r="I15" s="1" t="s">
        <v>48</v>
      </c>
      <c r="J15" s="1" t="s">
        <v>51</v>
      </c>
      <c r="K15" s="1" t="s">
        <v>43</v>
      </c>
      <c r="L15" s="1" t="s">
        <v>44</v>
      </c>
    </row>
    <row r="16" customFormat="false" ht="15" hidden="false" customHeight="true" outlineLevel="0" collapsed="false">
      <c r="A16" s="1" t="s">
        <v>74</v>
      </c>
      <c r="B16" s="18" t="n">
        <v>44697</v>
      </c>
      <c r="C16" s="1" t="n">
        <v>2022</v>
      </c>
      <c r="D16" s="1" t="n">
        <v>5</v>
      </c>
      <c r="E16" s="1" t="s">
        <v>68</v>
      </c>
      <c r="F16" s="1" t="s">
        <v>46</v>
      </c>
      <c r="G16" s="1" t="s">
        <v>51</v>
      </c>
      <c r="H16" s="1" t="s">
        <v>52</v>
      </c>
      <c r="I16" s="1" t="s">
        <v>53</v>
      </c>
      <c r="J16" s="1" t="s">
        <v>46</v>
      </c>
      <c r="K16" s="1" t="s">
        <v>43</v>
      </c>
      <c r="L16" s="1" t="s">
        <v>44</v>
      </c>
    </row>
    <row r="17" customFormat="false" ht="15" hidden="false" customHeight="true" outlineLevel="0" collapsed="false">
      <c r="A17" s="1" t="s">
        <v>75</v>
      </c>
      <c r="B17" s="18" t="n">
        <v>44701</v>
      </c>
      <c r="C17" s="1" t="n">
        <v>2022</v>
      </c>
      <c r="D17" s="1" t="n">
        <v>5</v>
      </c>
      <c r="E17" s="1" t="s">
        <v>68</v>
      </c>
      <c r="F17" s="1" t="s">
        <v>46</v>
      </c>
      <c r="G17" s="1" t="s">
        <v>50</v>
      </c>
      <c r="H17" s="1" t="s">
        <v>69</v>
      </c>
      <c r="I17" s="1" t="s">
        <v>70</v>
      </c>
      <c r="J17" s="1" t="s">
        <v>50</v>
      </c>
      <c r="K17" s="1" t="s">
        <v>43</v>
      </c>
      <c r="L17" s="1" t="s">
        <v>44</v>
      </c>
    </row>
    <row r="18" customFormat="false" ht="15" hidden="false" customHeight="true" outlineLevel="0" collapsed="false">
      <c r="A18" s="1" t="s">
        <v>76</v>
      </c>
      <c r="B18" s="18" t="n">
        <v>45006</v>
      </c>
      <c r="C18" s="1" t="n">
        <v>2023</v>
      </c>
      <c r="D18" s="1" t="n">
        <v>3</v>
      </c>
      <c r="E18" s="1" t="s">
        <v>38</v>
      </c>
      <c r="F18" s="1" t="s">
        <v>56</v>
      </c>
      <c r="G18" s="1" t="s">
        <v>39</v>
      </c>
      <c r="H18" s="1" t="s">
        <v>77</v>
      </c>
      <c r="I18" s="1" t="s">
        <v>78</v>
      </c>
      <c r="J18" s="1" t="s">
        <v>56</v>
      </c>
      <c r="K18" s="1" t="s">
        <v>43</v>
      </c>
      <c r="L18" s="1" t="s">
        <v>44</v>
      </c>
    </row>
    <row r="19" customFormat="false" ht="15" hidden="false" customHeight="true" outlineLevel="0" collapsed="false">
      <c r="A19" s="1" t="s">
        <v>79</v>
      </c>
      <c r="B19" s="18" t="n">
        <v>45010</v>
      </c>
      <c r="C19" s="1" t="n">
        <v>2023</v>
      </c>
      <c r="D19" s="1" t="n">
        <v>3</v>
      </c>
      <c r="E19" s="1" t="s">
        <v>38</v>
      </c>
      <c r="F19" s="1" t="s">
        <v>50</v>
      </c>
      <c r="G19" s="1" t="s">
        <v>39</v>
      </c>
      <c r="H19" s="1" t="s">
        <v>52</v>
      </c>
      <c r="I19" s="1" t="s">
        <v>53</v>
      </c>
      <c r="J19" s="1" t="s">
        <v>50</v>
      </c>
      <c r="K19" s="1" t="s">
        <v>43</v>
      </c>
      <c r="L19" s="1" t="s">
        <v>44</v>
      </c>
    </row>
    <row r="20" customFormat="false" ht="15" hidden="false" customHeight="true" outlineLevel="0" collapsed="false">
      <c r="A20" s="1" t="s">
        <v>80</v>
      </c>
      <c r="B20" s="18" t="n">
        <v>45014</v>
      </c>
      <c r="C20" s="1" t="n">
        <v>2023</v>
      </c>
      <c r="D20" s="1" t="n">
        <v>3</v>
      </c>
      <c r="E20" s="1" t="s">
        <v>38</v>
      </c>
      <c r="F20" s="1" t="s">
        <v>51</v>
      </c>
      <c r="G20" s="1" t="s">
        <v>56</v>
      </c>
      <c r="H20" s="1" t="s">
        <v>52</v>
      </c>
      <c r="I20" s="1" t="s">
        <v>53</v>
      </c>
      <c r="J20" s="1" t="s">
        <v>56</v>
      </c>
      <c r="K20" s="1" t="s">
        <v>43</v>
      </c>
      <c r="L20" s="1" t="s">
        <v>44</v>
      </c>
    </row>
    <row r="21" customFormat="false" ht="15" hidden="false" customHeight="true" outlineLevel="0" collapsed="false">
      <c r="A21" s="1" t="s">
        <v>81</v>
      </c>
      <c r="B21" s="18" t="n">
        <v>45018</v>
      </c>
      <c r="C21" s="1" t="n">
        <v>2023</v>
      </c>
      <c r="D21" s="1" t="n">
        <v>4</v>
      </c>
      <c r="E21" s="1" t="s">
        <v>55</v>
      </c>
      <c r="F21" s="1" t="s">
        <v>39</v>
      </c>
      <c r="G21" s="1" t="s">
        <v>40</v>
      </c>
      <c r="H21" s="1" t="s">
        <v>41</v>
      </c>
      <c r="I21" s="1" t="s">
        <v>42</v>
      </c>
      <c r="J21" s="1" t="s">
        <v>40</v>
      </c>
      <c r="K21" s="1" t="s">
        <v>43</v>
      </c>
      <c r="L21" s="1" t="s">
        <v>44</v>
      </c>
    </row>
    <row r="22" customFormat="false" ht="15" hidden="false" customHeight="true" outlineLevel="0" collapsed="false">
      <c r="A22" s="1" t="s">
        <v>82</v>
      </c>
      <c r="B22" s="18" t="n">
        <v>45021</v>
      </c>
      <c r="C22" s="1" t="n">
        <v>2023</v>
      </c>
      <c r="D22" s="1" t="n">
        <v>4</v>
      </c>
      <c r="E22" s="1" t="s">
        <v>55</v>
      </c>
      <c r="F22" s="1" t="s">
        <v>46</v>
      </c>
      <c r="G22" s="1" t="s">
        <v>50</v>
      </c>
      <c r="H22" s="1" t="s">
        <v>52</v>
      </c>
      <c r="I22" s="1" t="s">
        <v>53</v>
      </c>
      <c r="J22" s="1" t="s">
        <v>50</v>
      </c>
      <c r="K22" s="1" t="s">
        <v>43</v>
      </c>
      <c r="L22" s="1" t="s">
        <v>44</v>
      </c>
    </row>
    <row r="23" customFormat="false" ht="15" hidden="false" customHeight="true" outlineLevel="0" collapsed="false">
      <c r="A23" s="1" t="s">
        <v>83</v>
      </c>
      <c r="B23" s="18" t="n">
        <v>45027</v>
      </c>
      <c r="C23" s="1" t="n">
        <v>2023</v>
      </c>
      <c r="D23" s="1" t="n">
        <v>4</v>
      </c>
      <c r="E23" s="1" t="s">
        <v>55</v>
      </c>
      <c r="F23" s="1" t="s">
        <v>50</v>
      </c>
      <c r="G23" s="1" t="s">
        <v>40</v>
      </c>
      <c r="H23" s="1" t="s">
        <v>41</v>
      </c>
      <c r="I23" s="1" t="s">
        <v>42</v>
      </c>
      <c r="J23" s="1" t="s">
        <v>50</v>
      </c>
      <c r="K23" s="1" t="s">
        <v>43</v>
      </c>
      <c r="L23" s="1" t="s">
        <v>44</v>
      </c>
    </row>
    <row r="24" customFormat="false" ht="15" hidden="false" customHeight="true" outlineLevel="0" collapsed="false">
      <c r="A24" s="1" t="s">
        <v>84</v>
      </c>
      <c r="B24" s="18" t="n">
        <v>45030</v>
      </c>
      <c r="C24" s="1" t="n">
        <v>2023</v>
      </c>
      <c r="D24" s="1" t="n">
        <v>4</v>
      </c>
      <c r="E24" s="1" t="s">
        <v>55</v>
      </c>
      <c r="F24" s="1" t="s">
        <v>56</v>
      </c>
      <c r="G24" s="1" t="s">
        <v>63</v>
      </c>
      <c r="H24" s="1" t="s">
        <v>57</v>
      </c>
      <c r="I24" s="1" t="s">
        <v>58</v>
      </c>
      <c r="J24" s="1" t="s">
        <v>56</v>
      </c>
      <c r="K24" s="1" t="s">
        <v>43</v>
      </c>
      <c r="L24" s="1" t="s">
        <v>44</v>
      </c>
    </row>
    <row r="25" customFormat="false" ht="15" hidden="false" customHeight="true" outlineLevel="0" collapsed="false">
      <c r="A25" s="1" t="s">
        <v>85</v>
      </c>
      <c r="B25" s="18" t="n">
        <v>45035</v>
      </c>
      <c r="C25" s="1" t="n">
        <v>2023</v>
      </c>
      <c r="D25" s="1" t="n">
        <v>4</v>
      </c>
      <c r="E25" s="1" t="s">
        <v>55</v>
      </c>
      <c r="F25" s="1" t="s">
        <v>40</v>
      </c>
      <c r="G25" s="1" t="s">
        <v>46</v>
      </c>
      <c r="H25" s="1" t="s">
        <v>52</v>
      </c>
      <c r="I25" s="1" t="s">
        <v>53</v>
      </c>
      <c r="J25" s="1" t="s">
        <v>46</v>
      </c>
      <c r="K25" s="1" t="s">
        <v>43</v>
      </c>
      <c r="L25" s="1" t="s">
        <v>44</v>
      </c>
    </row>
    <row r="26" customFormat="false" ht="15" hidden="false" customHeight="true" outlineLevel="0" collapsed="false">
      <c r="A26" s="1" t="s">
        <v>86</v>
      </c>
      <c r="B26" s="18" t="n">
        <v>45039</v>
      </c>
      <c r="C26" s="1" t="n">
        <v>2023</v>
      </c>
      <c r="D26" s="1" t="n">
        <v>4</v>
      </c>
      <c r="E26" s="1" t="s">
        <v>55</v>
      </c>
      <c r="F26" s="1" t="s">
        <v>39</v>
      </c>
      <c r="G26" s="1" t="s">
        <v>56</v>
      </c>
      <c r="H26" s="1" t="s">
        <v>87</v>
      </c>
      <c r="I26" s="1" t="s">
        <v>88</v>
      </c>
      <c r="J26" s="1" t="s">
        <v>56</v>
      </c>
      <c r="K26" s="1" t="s">
        <v>43</v>
      </c>
      <c r="L26" s="1" t="s">
        <v>44</v>
      </c>
    </row>
    <row r="27" customFormat="false" ht="15" hidden="false" customHeight="true" outlineLevel="0" collapsed="false">
      <c r="A27" s="1" t="s">
        <v>89</v>
      </c>
      <c r="B27" s="18" t="n">
        <v>45041</v>
      </c>
      <c r="C27" s="1" t="n">
        <v>2023</v>
      </c>
      <c r="D27" s="1" t="n">
        <v>4</v>
      </c>
      <c r="E27" s="1" t="s">
        <v>55</v>
      </c>
      <c r="F27" s="1" t="s">
        <v>60</v>
      </c>
      <c r="G27" s="1" t="s">
        <v>40</v>
      </c>
      <c r="H27" s="1" t="s">
        <v>87</v>
      </c>
      <c r="I27" s="1" t="s">
        <v>88</v>
      </c>
      <c r="J27" s="1" t="s">
        <v>60</v>
      </c>
      <c r="K27" s="1" t="s">
        <v>43</v>
      </c>
      <c r="L27" s="1" t="s">
        <v>44</v>
      </c>
    </row>
    <row r="28" customFormat="false" ht="15" hidden="false" customHeight="true" outlineLevel="0" collapsed="false">
      <c r="A28" s="1" t="s">
        <v>90</v>
      </c>
      <c r="B28" s="18" t="n">
        <v>45045</v>
      </c>
      <c r="C28" s="1" t="n">
        <v>2023</v>
      </c>
      <c r="D28" s="1" t="n">
        <v>4</v>
      </c>
      <c r="E28" s="1" t="s">
        <v>55</v>
      </c>
      <c r="F28" s="1" t="s">
        <v>40</v>
      </c>
      <c r="G28" s="1" t="s">
        <v>50</v>
      </c>
      <c r="H28" s="1" t="s">
        <v>52</v>
      </c>
      <c r="I28" s="1" t="s">
        <v>53</v>
      </c>
      <c r="J28" s="1" t="s">
        <v>50</v>
      </c>
      <c r="K28" s="1" t="s">
        <v>43</v>
      </c>
      <c r="L28" s="1" t="s">
        <v>44</v>
      </c>
    </row>
    <row r="29" customFormat="false" ht="15" hidden="false" customHeight="true" outlineLevel="0" collapsed="false">
      <c r="A29" s="1" t="s">
        <v>91</v>
      </c>
      <c r="B29" s="18" t="n">
        <v>45050</v>
      </c>
      <c r="C29" s="1" t="n">
        <v>2023</v>
      </c>
      <c r="D29" s="1" t="n">
        <v>5</v>
      </c>
      <c r="E29" s="1" t="s">
        <v>68</v>
      </c>
      <c r="F29" s="1" t="s">
        <v>63</v>
      </c>
      <c r="G29" s="1" t="s">
        <v>60</v>
      </c>
      <c r="H29" s="1" t="s">
        <v>57</v>
      </c>
      <c r="I29" s="1" t="s">
        <v>58</v>
      </c>
      <c r="J29" s="1" t="s">
        <v>60</v>
      </c>
      <c r="K29" s="1" t="s">
        <v>43</v>
      </c>
      <c r="L29" s="1" t="s">
        <v>44</v>
      </c>
    </row>
    <row r="30" customFormat="false" ht="15" hidden="false" customHeight="true" outlineLevel="0" collapsed="false">
      <c r="A30" s="1" t="s">
        <v>92</v>
      </c>
      <c r="B30" s="18" t="n">
        <v>45054</v>
      </c>
      <c r="C30" s="1" t="n">
        <v>2023</v>
      </c>
      <c r="D30" s="1" t="n">
        <v>5</v>
      </c>
      <c r="E30" s="1" t="s">
        <v>68</v>
      </c>
      <c r="F30" s="1" t="s">
        <v>39</v>
      </c>
      <c r="G30" s="1" t="s">
        <v>40</v>
      </c>
      <c r="H30" s="1" t="s">
        <v>57</v>
      </c>
      <c r="I30" s="1" t="s">
        <v>58</v>
      </c>
      <c r="J30" s="1" t="s">
        <v>39</v>
      </c>
      <c r="K30" s="1" t="s">
        <v>43</v>
      </c>
      <c r="L30" s="1" t="s">
        <v>44</v>
      </c>
    </row>
    <row r="31" customFormat="false" ht="15" hidden="false" customHeight="true" outlineLevel="0" collapsed="false">
      <c r="A31" s="1" t="s">
        <v>93</v>
      </c>
      <c r="B31" s="18" t="n">
        <v>45058</v>
      </c>
      <c r="C31" s="1" t="n">
        <v>2023</v>
      </c>
      <c r="D31" s="1" t="n">
        <v>5</v>
      </c>
      <c r="E31" s="1" t="s">
        <v>68</v>
      </c>
      <c r="F31" s="1" t="s">
        <v>39</v>
      </c>
      <c r="G31" s="1" t="s">
        <v>56</v>
      </c>
      <c r="H31" s="1" t="s">
        <v>47</v>
      </c>
      <c r="I31" s="1" t="s">
        <v>48</v>
      </c>
      <c r="J31" s="1" t="s">
        <v>39</v>
      </c>
      <c r="K31" s="1" t="s">
        <v>43</v>
      </c>
      <c r="L31" s="1" t="s">
        <v>44</v>
      </c>
    </row>
    <row r="32" customFormat="false" ht="15" hidden="false" customHeight="true" outlineLevel="0" collapsed="false">
      <c r="A32" s="1" t="s">
        <v>94</v>
      </c>
      <c r="B32" s="18" t="n">
        <v>45063</v>
      </c>
      <c r="C32" s="1" t="n">
        <v>2023</v>
      </c>
      <c r="D32" s="1" t="n">
        <v>5</v>
      </c>
      <c r="E32" s="1" t="s">
        <v>68</v>
      </c>
      <c r="F32" s="1" t="s">
        <v>56</v>
      </c>
      <c r="G32" s="1" t="s">
        <v>51</v>
      </c>
      <c r="H32" s="1" t="s">
        <v>47</v>
      </c>
      <c r="I32" s="1" t="s">
        <v>48</v>
      </c>
      <c r="J32" s="1" t="s">
        <v>51</v>
      </c>
      <c r="K32" s="1" t="s">
        <v>43</v>
      </c>
      <c r="L32" s="1" t="s">
        <v>44</v>
      </c>
    </row>
    <row r="33" customFormat="false" ht="15" hidden="false" customHeight="true" outlineLevel="0" collapsed="false">
      <c r="A33" s="1" t="s">
        <v>95</v>
      </c>
      <c r="B33" s="18" t="n">
        <v>45065</v>
      </c>
      <c r="C33" s="1" t="n">
        <v>2023</v>
      </c>
      <c r="D33" s="1" t="n">
        <v>5</v>
      </c>
      <c r="E33" s="1" t="s">
        <v>68</v>
      </c>
      <c r="F33" s="1" t="s">
        <v>60</v>
      </c>
      <c r="G33" s="1" t="s">
        <v>51</v>
      </c>
      <c r="H33" s="1" t="s">
        <v>52</v>
      </c>
      <c r="I33" s="1" t="s">
        <v>53</v>
      </c>
      <c r="J33" s="1" t="s">
        <v>51</v>
      </c>
      <c r="K33" s="1" t="s">
        <v>43</v>
      </c>
      <c r="L33" s="1" t="s">
        <v>44</v>
      </c>
    </row>
    <row r="34" customFormat="false" ht="15" hidden="false" customHeight="true" outlineLevel="0" collapsed="false">
      <c r="A34" s="1" t="s">
        <v>96</v>
      </c>
      <c r="B34" s="18" t="n">
        <v>45373</v>
      </c>
      <c r="C34" s="1" t="n">
        <v>2024</v>
      </c>
      <c r="D34" s="1" t="n">
        <v>3</v>
      </c>
      <c r="E34" s="1" t="s">
        <v>38</v>
      </c>
      <c r="F34" s="1" t="s">
        <v>50</v>
      </c>
      <c r="G34" s="1" t="s">
        <v>63</v>
      </c>
      <c r="H34" s="1" t="s">
        <v>41</v>
      </c>
      <c r="I34" s="1" t="s">
        <v>42</v>
      </c>
      <c r="J34" s="1" t="s">
        <v>50</v>
      </c>
      <c r="K34" s="1" t="s">
        <v>43</v>
      </c>
      <c r="L34" s="1" t="s">
        <v>44</v>
      </c>
    </row>
    <row r="35" customFormat="false" ht="15" hidden="false" customHeight="true" outlineLevel="0" collapsed="false">
      <c r="A35" s="1" t="s">
        <v>97</v>
      </c>
      <c r="B35" s="18" t="n">
        <v>45375</v>
      </c>
      <c r="C35" s="1" t="n">
        <v>2024</v>
      </c>
      <c r="D35" s="1" t="n">
        <v>3</v>
      </c>
      <c r="E35" s="1" t="s">
        <v>38</v>
      </c>
      <c r="F35" s="1" t="s">
        <v>46</v>
      </c>
      <c r="G35" s="1" t="s">
        <v>56</v>
      </c>
      <c r="H35" s="1" t="s">
        <v>47</v>
      </c>
      <c r="I35" s="1" t="s">
        <v>48</v>
      </c>
      <c r="J35" s="1" t="s">
        <v>46</v>
      </c>
      <c r="K35" s="1" t="s">
        <v>43</v>
      </c>
      <c r="L35" s="1" t="s">
        <v>44</v>
      </c>
    </row>
    <row r="36" customFormat="false" ht="15" hidden="false" customHeight="true" outlineLevel="0" collapsed="false">
      <c r="A36" s="1" t="s">
        <v>98</v>
      </c>
      <c r="B36" s="18" t="n">
        <v>45381</v>
      </c>
      <c r="C36" s="1" t="n">
        <v>2024</v>
      </c>
      <c r="D36" s="1" t="n">
        <v>3</v>
      </c>
      <c r="E36" s="1" t="s">
        <v>38</v>
      </c>
      <c r="F36" s="1" t="s">
        <v>60</v>
      </c>
      <c r="G36" s="1" t="s">
        <v>51</v>
      </c>
      <c r="H36" s="1" t="s">
        <v>87</v>
      </c>
      <c r="I36" s="1" t="s">
        <v>88</v>
      </c>
      <c r="J36" s="1" t="s">
        <v>60</v>
      </c>
      <c r="K36" s="1" t="s">
        <v>43</v>
      </c>
      <c r="L36" s="1" t="s">
        <v>44</v>
      </c>
    </row>
    <row r="37" customFormat="false" ht="15" hidden="false" customHeight="true" outlineLevel="0" collapsed="false">
      <c r="A37" s="1" t="s">
        <v>99</v>
      </c>
      <c r="B37" s="18" t="n">
        <v>45385</v>
      </c>
      <c r="C37" s="1" t="n">
        <v>2024</v>
      </c>
      <c r="D37" s="1" t="n">
        <v>4</v>
      </c>
      <c r="E37" s="1" t="s">
        <v>55</v>
      </c>
      <c r="F37" s="1" t="s">
        <v>50</v>
      </c>
      <c r="G37" s="1" t="s">
        <v>40</v>
      </c>
      <c r="H37" s="1" t="s">
        <v>52</v>
      </c>
      <c r="I37" s="1" t="s">
        <v>53</v>
      </c>
      <c r="J37" s="1" t="s">
        <v>50</v>
      </c>
      <c r="K37" s="1" t="s">
        <v>43</v>
      </c>
      <c r="L37" s="1" t="s">
        <v>44</v>
      </c>
    </row>
    <row r="38" customFormat="false" ht="15" hidden="false" customHeight="true" outlineLevel="0" collapsed="false">
      <c r="A38" s="1" t="s">
        <v>100</v>
      </c>
      <c r="B38" s="18" t="n">
        <v>45389</v>
      </c>
      <c r="C38" s="1" t="n">
        <v>2024</v>
      </c>
      <c r="D38" s="1" t="n">
        <v>4</v>
      </c>
      <c r="E38" s="1" t="s">
        <v>55</v>
      </c>
      <c r="F38" s="1" t="s">
        <v>60</v>
      </c>
      <c r="G38" s="1" t="s">
        <v>63</v>
      </c>
      <c r="H38" s="1" t="s">
        <v>87</v>
      </c>
      <c r="I38" s="1" t="s">
        <v>88</v>
      </c>
      <c r="J38" s="1" t="s">
        <v>60</v>
      </c>
      <c r="K38" s="1" t="s">
        <v>43</v>
      </c>
      <c r="L38" s="1" t="s">
        <v>44</v>
      </c>
    </row>
    <row r="39" customFormat="false" ht="15" hidden="false" customHeight="true" outlineLevel="0" collapsed="false">
      <c r="A39" s="1" t="s">
        <v>101</v>
      </c>
      <c r="B39" s="18" t="n">
        <v>45392</v>
      </c>
      <c r="C39" s="1" t="n">
        <v>2024</v>
      </c>
      <c r="D39" s="1" t="n">
        <v>4</v>
      </c>
      <c r="E39" s="1" t="s">
        <v>55</v>
      </c>
      <c r="F39" s="1" t="s">
        <v>60</v>
      </c>
      <c r="G39" s="1" t="s">
        <v>50</v>
      </c>
      <c r="H39" s="1" t="s">
        <v>77</v>
      </c>
      <c r="I39" s="1" t="s">
        <v>78</v>
      </c>
      <c r="J39" s="1" t="s">
        <v>50</v>
      </c>
      <c r="K39" s="1" t="s">
        <v>43</v>
      </c>
      <c r="L39" s="1" t="s">
        <v>44</v>
      </c>
    </row>
    <row r="40" customFormat="false" ht="15" hidden="false" customHeight="true" outlineLevel="0" collapsed="false">
      <c r="A40" s="1" t="s">
        <v>102</v>
      </c>
      <c r="B40" s="18" t="n">
        <v>45395</v>
      </c>
      <c r="C40" s="1" t="n">
        <v>2024</v>
      </c>
      <c r="D40" s="1" t="n">
        <v>4</v>
      </c>
      <c r="E40" s="1" t="s">
        <v>55</v>
      </c>
      <c r="F40" s="1" t="s">
        <v>39</v>
      </c>
      <c r="G40" s="1" t="s">
        <v>63</v>
      </c>
      <c r="H40" s="1" t="s">
        <v>103</v>
      </c>
      <c r="I40" s="1" t="s">
        <v>104</v>
      </c>
      <c r="J40" s="1" t="s">
        <v>39</v>
      </c>
      <c r="K40" s="1" t="s">
        <v>43</v>
      </c>
      <c r="L40" s="1" t="s">
        <v>44</v>
      </c>
    </row>
    <row r="41" customFormat="false" ht="15" hidden="false" customHeight="true" outlineLevel="0" collapsed="false">
      <c r="A41" s="1" t="s">
        <v>105</v>
      </c>
      <c r="B41" s="18" t="n">
        <v>45399</v>
      </c>
      <c r="C41" s="1" t="n">
        <v>2024</v>
      </c>
      <c r="D41" s="1" t="n">
        <v>4</v>
      </c>
      <c r="E41" s="1" t="s">
        <v>55</v>
      </c>
      <c r="F41" s="1" t="s">
        <v>40</v>
      </c>
      <c r="G41" s="1" t="s">
        <v>50</v>
      </c>
      <c r="H41" s="1" t="s">
        <v>69</v>
      </c>
      <c r="I41" s="1" t="s">
        <v>70</v>
      </c>
      <c r="J41" s="1" t="s">
        <v>50</v>
      </c>
      <c r="K41" s="1" t="s">
        <v>43</v>
      </c>
      <c r="L41" s="1" t="s">
        <v>44</v>
      </c>
    </row>
    <row r="42" customFormat="false" ht="15" hidden="false" customHeight="true" outlineLevel="0" collapsed="false">
      <c r="A42" s="1" t="s">
        <v>106</v>
      </c>
      <c r="B42" s="18" t="n">
        <v>45405</v>
      </c>
      <c r="C42" s="1" t="n">
        <v>2024</v>
      </c>
      <c r="D42" s="1" t="n">
        <v>4</v>
      </c>
      <c r="E42" s="1" t="s">
        <v>55</v>
      </c>
      <c r="F42" s="1" t="s">
        <v>51</v>
      </c>
      <c r="G42" s="1" t="s">
        <v>50</v>
      </c>
      <c r="H42" s="1" t="s">
        <v>57</v>
      </c>
      <c r="I42" s="1" t="s">
        <v>58</v>
      </c>
      <c r="J42" s="1" t="s">
        <v>51</v>
      </c>
      <c r="K42" s="1" t="s">
        <v>43</v>
      </c>
      <c r="L42" s="1" t="s">
        <v>44</v>
      </c>
    </row>
    <row r="43" customFormat="false" ht="15" hidden="false" customHeight="true" outlineLevel="0" collapsed="false">
      <c r="A43" s="1" t="s">
        <v>107</v>
      </c>
      <c r="B43" s="18" t="n">
        <v>45409</v>
      </c>
      <c r="C43" s="1" t="n">
        <v>2024</v>
      </c>
      <c r="D43" s="1" t="n">
        <v>4</v>
      </c>
      <c r="E43" s="1" t="s">
        <v>55</v>
      </c>
      <c r="F43" s="1" t="s">
        <v>39</v>
      </c>
      <c r="G43" s="1" t="s">
        <v>51</v>
      </c>
      <c r="H43" s="1" t="s">
        <v>87</v>
      </c>
      <c r="I43" s="1" t="s">
        <v>88</v>
      </c>
      <c r="J43" s="1" t="s">
        <v>39</v>
      </c>
      <c r="K43" s="1" t="s">
        <v>43</v>
      </c>
      <c r="L43" s="1" t="s">
        <v>44</v>
      </c>
    </row>
    <row r="44" customFormat="false" ht="15" hidden="false" customHeight="true" outlineLevel="0" collapsed="false">
      <c r="A44" s="1" t="s">
        <v>108</v>
      </c>
      <c r="B44" s="18" t="n">
        <v>45412</v>
      </c>
      <c r="C44" s="1" t="n">
        <v>2024</v>
      </c>
      <c r="D44" s="1" t="n">
        <v>4</v>
      </c>
      <c r="E44" s="1" t="s">
        <v>55</v>
      </c>
      <c r="F44" s="1" t="s">
        <v>51</v>
      </c>
      <c r="G44" s="1" t="s">
        <v>46</v>
      </c>
      <c r="H44" s="1" t="s">
        <v>47</v>
      </c>
      <c r="I44" s="1" t="s">
        <v>48</v>
      </c>
      <c r="J44" s="1" t="s">
        <v>51</v>
      </c>
      <c r="K44" s="1" t="s">
        <v>43</v>
      </c>
      <c r="L44" s="1" t="s">
        <v>44</v>
      </c>
    </row>
    <row r="45" customFormat="false" ht="15" hidden="false" customHeight="true" outlineLevel="0" collapsed="false">
      <c r="A45" s="1" t="s">
        <v>109</v>
      </c>
      <c r="B45" s="18" t="n">
        <v>45416</v>
      </c>
      <c r="C45" s="1" t="n">
        <v>2024</v>
      </c>
      <c r="D45" s="1" t="n">
        <v>5</v>
      </c>
      <c r="E45" s="1" t="s">
        <v>68</v>
      </c>
      <c r="F45" s="1" t="s">
        <v>46</v>
      </c>
      <c r="G45" s="1" t="s">
        <v>63</v>
      </c>
      <c r="H45" s="1" t="s">
        <v>52</v>
      </c>
      <c r="I45" s="1" t="s">
        <v>53</v>
      </c>
      <c r="J45" s="1" t="s">
        <v>46</v>
      </c>
      <c r="K45" s="1" t="s">
        <v>43</v>
      </c>
      <c r="L45" s="1" t="s">
        <v>44</v>
      </c>
    </row>
    <row r="46" customFormat="false" ht="15" hidden="false" customHeight="true" outlineLevel="0" collapsed="false">
      <c r="A46" s="1" t="s">
        <v>110</v>
      </c>
      <c r="B46" s="18" t="n">
        <v>45420</v>
      </c>
      <c r="C46" s="1" t="n">
        <v>2024</v>
      </c>
      <c r="D46" s="1" t="n">
        <v>5</v>
      </c>
      <c r="E46" s="1" t="s">
        <v>68</v>
      </c>
      <c r="F46" s="1" t="s">
        <v>50</v>
      </c>
      <c r="G46" s="1" t="s">
        <v>63</v>
      </c>
      <c r="H46" s="1" t="s">
        <v>77</v>
      </c>
      <c r="I46" s="1" t="s">
        <v>78</v>
      </c>
      <c r="J46" s="1" t="s">
        <v>63</v>
      </c>
      <c r="K46" s="1" t="s">
        <v>43</v>
      </c>
      <c r="L46" s="1" t="s">
        <v>44</v>
      </c>
    </row>
    <row r="47" customFormat="false" ht="15" hidden="false" customHeight="true" outlineLevel="0" collapsed="false">
      <c r="A47" s="1" t="s">
        <v>111</v>
      </c>
      <c r="B47" s="18" t="n">
        <v>45425</v>
      </c>
      <c r="C47" s="1" t="n">
        <v>2024</v>
      </c>
      <c r="D47" s="1" t="n">
        <v>5</v>
      </c>
      <c r="E47" s="1" t="s">
        <v>68</v>
      </c>
      <c r="F47" s="1" t="s">
        <v>63</v>
      </c>
      <c r="G47" s="1" t="s">
        <v>60</v>
      </c>
      <c r="H47" s="1" t="s">
        <v>41</v>
      </c>
      <c r="I47" s="1" t="s">
        <v>42</v>
      </c>
      <c r="J47" s="1" t="s">
        <v>60</v>
      </c>
      <c r="K47" s="1" t="s">
        <v>43</v>
      </c>
      <c r="L47" s="1" t="s">
        <v>44</v>
      </c>
    </row>
    <row r="48" customFormat="false" ht="15" hidden="false" customHeight="true" outlineLevel="0" collapsed="false">
      <c r="A48" s="1" t="s">
        <v>112</v>
      </c>
      <c r="B48" s="18" t="n">
        <v>45428</v>
      </c>
      <c r="C48" s="1" t="n">
        <v>2024</v>
      </c>
      <c r="D48" s="1" t="n">
        <v>5</v>
      </c>
      <c r="E48" s="1" t="s">
        <v>68</v>
      </c>
      <c r="F48" s="1" t="s">
        <v>56</v>
      </c>
      <c r="G48" s="1" t="s">
        <v>60</v>
      </c>
      <c r="H48" s="1" t="s">
        <v>47</v>
      </c>
      <c r="I48" s="1" t="s">
        <v>48</v>
      </c>
      <c r="J48" s="1" t="s">
        <v>56</v>
      </c>
      <c r="K48" s="1" t="s">
        <v>43</v>
      </c>
      <c r="L48" s="1" t="s">
        <v>44</v>
      </c>
    </row>
    <row r="49" customFormat="false" ht="15" hidden="false" customHeight="true" outlineLevel="0" collapsed="false">
      <c r="A49" s="1" t="s">
        <v>113</v>
      </c>
      <c r="B49" s="18" t="n">
        <v>45433</v>
      </c>
      <c r="C49" s="1" t="n">
        <v>2024</v>
      </c>
      <c r="D49" s="1" t="n">
        <v>5</v>
      </c>
      <c r="E49" s="1" t="s">
        <v>68</v>
      </c>
      <c r="F49" s="1" t="s">
        <v>39</v>
      </c>
      <c r="G49" s="1" t="s">
        <v>40</v>
      </c>
      <c r="H49" s="1" t="s">
        <v>52</v>
      </c>
      <c r="I49" s="1" t="s">
        <v>53</v>
      </c>
      <c r="J49" s="1" t="s">
        <v>40</v>
      </c>
      <c r="K49" s="1" t="s">
        <v>43</v>
      </c>
      <c r="L49" s="1" t="s">
        <v>44</v>
      </c>
    </row>
    <row r="50" customFormat="false" ht="15" hidden="false" customHeight="true" outlineLevel="0" collapsed="false">
      <c r="A50" s="1" t="s">
        <v>114</v>
      </c>
      <c r="B50" s="18" t="n">
        <v>45736</v>
      </c>
      <c r="C50" s="1" t="n">
        <v>2025</v>
      </c>
      <c r="D50" s="1" t="n">
        <v>3</v>
      </c>
      <c r="E50" s="1" t="s">
        <v>38</v>
      </c>
      <c r="F50" s="1" t="s">
        <v>60</v>
      </c>
      <c r="G50" s="1" t="s">
        <v>63</v>
      </c>
      <c r="H50" s="1" t="s">
        <v>52</v>
      </c>
      <c r="I50" s="1" t="s">
        <v>53</v>
      </c>
      <c r="J50" s="1" t="s">
        <v>63</v>
      </c>
      <c r="K50" s="1" t="s">
        <v>43</v>
      </c>
      <c r="L50" s="1" t="s">
        <v>44</v>
      </c>
    </row>
    <row r="51" customFormat="false" ht="15" hidden="false" customHeight="true" outlineLevel="0" collapsed="false">
      <c r="A51" s="1" t="s">
        <v>115</v>
      </c>
      <c r="B51" s="18" t="n">
        <v>45741</v>
      </c>
      <c r="C51" s="1" t="n">
        <v>2025</v>
      </c>
      <c r="D51" s="1" t="n">
        <v>3</v>
      </c>
      <c r="E51" s="1" t="s">
        <v>38</v>
      </c>
      <c r="F51" s="1" t="s">
        <v>46</v>
      </c>
      <c r="G51" s="1" t="s">
        <v>56</v>
      </c>
      <c r="H51" s="1" t="s">
        <v>52</v>
      </c>
      <c r="I51" s="1" t="s">
        <v>53</v>
      </c>
      <c r="J51" s="1" t="s">
        <v>56</v>
      </c>
      <c r="K51" s="1" t="s">
        <v>43</v>
      </c>
      <c r="L51" s="1" t="s">
        <v>44</v>
      </c>
    </row>
    <row r="52" customFormat="false" ht="15" hidden="false" customHeight="true" outlineLevel="0" collapsed="false">
      <c r="A52" s="1" t="s">
        <v>116</v>
      </c>
      <c r="B52" s="18" t="n">
        <v>45746</v>
      </c>
      <c r="C52" s="1" t="n">
        <v>2025</v>
      </c>
      <c r="D52" s="1" t="n">
        <v>3</v>
      </c>
      <c r="E52" s="1" t="s">
        <v>38</v>
      </c>
      <c r="F52" s="1" t="s">
        <v>50</v>
      </c>
      <c r="G52" s="1" t="s">
        <v>46</v>
      </c>
      <c r="H52" s="1" t="s">
        <v>57</v>
      </c>
      <c r="I52" s="1" t="s">
        <v>58</v>
      </c>
      <c r="J52" s="1" t="s">
        <v>46</v>
      </c>
      <c r="K52" s="1" t="s">
        <v>43</v>
      </c>
      <c r="L52" s="1" t="s">
        <v>44</v>
      </c>
    </row>
    <row r="53" customFormat="false" ht="15" hidden="false" customHeight="true" outlineLevel="0" collapsed="false">
      <c r="A53" s="1" t="s">
        <v>117</v>
      </c>
      <c r="B53" s="18" t="n">
        <v>45749</v>
      </c>
      <c r="C53" s="1" t="n">
        <v>2025</v>
      </c>
      <c r="D53" s="1" t="n">
        <v>4</v>
      </c>
      <c r="E53" s="1" t="s">
        <v>55</v>
      </c>
      <c r="F53" s="1" t="s">
        <v>60</v>
      </c>
      <c r="G53" s="1" t="s">
        <v>46</v>
      </c>
      <c r="H53" s="1" t="s">
        <v>52</v>
      </c>
      <c r="I53" s="1" t="s">
        <v>53</v>
      </c>
      <c r="J53" s="1" t="s">
        <v>60</v>
      </c>
      <c r="K53" s="1" t="s">
        <v>43</v>
      </c>
      <c r="L53" s="1" t="s">
        <v>44</v>
      </c>
    </row>
    <row r="54" customFormat="false" ht="15" hidden="false" customHeight="true" outlineLevel="0" collapsed="false">
      <c r="A54" s="1" t="s">
        <v>118</v>
      </c>
      <c r="B54" s="18" t="n">
        <v>45752</v>
      </c>
      <c r="C54" s="1" t="n">
        <v>2025</v>
      </c>
      <c r="D54" s="1" t="n">
        <v>4</v>
      </c>
      <c r="E54" s="1" t="s">
        <v>55</v>
      </c>
      <c r="F54" s="1" t="s">
        <v>63</v>
      </c>
      <c r="G54" s="1" t="s">
        <v>50</v>
      </c>
      <c r="H54" s="1" t="s">
        <v>87</v>
      </c>
      <c r="I54" s="1" t="s">
        <v>88</v>
      </c>
      <c r="J54" s="1" t="s">
        <v>63</v>
      </c>
      <c r="K54" s="1" t="s">
        <v>43</v>
      </c>
      <c r="L54" s="1" t="s">
        <v>44</v>
      </c>
    </row>
    <row r="55" customFormat="false" ht="15" hidden="false" customHeight="true" outlineLevel="0" collapsed="false">
      <c r="A55" s="1" t="s">
        <v>119</v>
      </c>
      <c r="B55" s="18" t="n">
        <v>45758</v>
      </c>
      <c r="C55" s="1" t="n">
        <v>2025</v>
      </c>
      <c r="D55" s="1" t="n">
        <v>4</v>
      </c>
      <c r="E55" s="1" t="s">
        <v>55</v>
      </c>
      <c r="F55" s="1" t="s">
        <v>56</v>
      </c>
      <c r="G55" s="1" t="s">
        <v>60</v>
      </c>
      <c r="H55" s="1" t="s">
        <v>57</v>
      </c>
      <c r="I55" s="1" t="s">
        <v>58</v>
      </c>
      <c r="J55" s="1" t="s">
        <v>60</v>
      </c>
      <c r="K55" s="1" t="s">
        <v>43</v>
      </c>
      <c r="L55" s="1" t="s">
        <v>44</v>
      </c>
    </row>
    <row r="56" customFormat="false" ht="15" hidden="false" customHeight="true" outlineLevel="0" collapsed="false">
      <c r="A56" s="1" t="s">
        <v>120</v>
      </c>
      <c r="B56" s="18" t="n">
        <v>45761</v>
      </c>
      <c r="C56" s="1" t="n">
        <v>2025</v>
      </c>
      <c r="D56" s="1" t="n">
        <v>4</v>
      </c>
      <c r="E56" s="1" t="s">
        <v>55</v>
      </c>
      <c r="F56" s="1" t="s">
        <v>40</v>
      </c>
      <c r="G56" s="1" t="s">
        <v>50</v>
      </c>
      <c r="H56" s="1" t="s">
        <v>77</v>
      </c>
      <c r="I56" s="1" t="s">
        <v>78</v>
      </c>
      <c r="J56" s="1" t="s">
        <v>50</v>
      </c>
      <c r="K56" s="1" t="s">
        <v>43</v>
      </c>
      <c r="L56" s="1" t="s">
        <v>44</v>
      </c>
    </row>
    <row r="57" customFormat="false" ht="15" hidden="false" customHeight="true" outlineLevel="0" collapsed="false">
      <c r="A57" s="1" t="s">
        <v>121</v>
      </c>
      <c r="B57" s="18" t="n">
        <v>45764</v>
      </c>
      <c r="C57" s="1" t="n">
        <v>2025</v>
      </c>
      <c r="D57" s="1" t="n">
        <v>4</v>
      </c>
      <c r="E57" s="1" t="s">
        <v>55</v>
      </c>
      <c r="F57" s="1" t="s">
        <v>40</v>
      </c>
      <c r="G57" s="1" t="s">
        <v>60</v>
      </c>
      <c r="H57" s="1" t="s">
        <v>103</v>
      </c>
      <c r="I57" s="1" t="s">
        <v>104</v>
      </c>
      <c r="J57" s="1" t="s">
        <v>60</v>
      </c>
      <c r="K57" s="1" t="s">
        <v>43</v>
      </c>
      <c r="L57" s="1" t="s">
        <v>44</v>
      </c>
    </row>
    <row r="58" customFormat="false" ht="15" hidden="false" customHeight="true" outlineLevel="0" collapsed="false">
      <c r="A58" s="1" t="s">
        <v>122</v>
      </c>
      <c r="B58" s="18" t="n">
        <v>45768</v>
      </c>
      <c r="C58" s="1" t="n">
        <v>2025</v>
      </c>
      <c r="D58" s="1" t="n">
        <v>4</v>
      </c>
      <c r="E58" s="1" t="s">
        <v>55</v>
      </c>
      <c r="F58" s="1" t="s">
        <v>40</v>
      </c>
      <c r="G58" s="1" t="s">
        <v>51</v>
      </c>
      <c r="H58" s="1" t="s">
        <v>47</v>
      </c>
      <c r="I58" s="1" t="s">
        <v>48</v>
      </c>
      <c r="J58" s="1" t="s">
        <v>51</v>
      </c>
      <c r="K58" s="1" t="s">
        <v>43</v>
      </c>
      <c r="L58" s="1" t="s">
        <v>44</v>
      </c>
    </row>
    <row r="59" customFormat="false" ht="15" hidden="false" customHeight="true" outlineLevel="0" collapsed="false">
      <c r="A59" s="1" t="s">
        <v>123</v>
      </c>
      <c r="B59" s="18" t="n">
        <v>45774</v>
      </c>
      <c r="C59" s="1" t="n">
        <v>2025</v>
      </c>
      <c r="D59" s="1" t="n">
        <v>4</v>
      </c>
      <c r="E59" s="1" t="s">
        <v>55</v>
      </c>
      <c r="F59" s="1" t="s">
        <v>63</v>
      </c>
      <c r="G59" s="1" t="s">
        <v>50</v>
      </c>
      <c r="H59" s="1" t="s">
        <v>52</v>
      </c>
      <c r="I59" s="1" t="s">
        <v>53</v>
      </c>
      <c r="J59" s="1" t="s">
        <v>63</v>
      </c>
      <c r="K59" s="1" t="s">
        <v>43</v>
      </c>
      <c r="L59" s="1" t="s">
        <v>44</v>
      </c>
    </row>
    <row r="60" customFormat="false" ht="15" hidden="false" customHeight="true" outlineLevel="0" collapsed="false">
      <c r="A60" s="1" t="s">
        <v>124</v>
      </c>
      <c r="B60" s="18" t="n">
        <v>45778</v>
      </c>
      <c r="C60" s="1" t="n">
        <v>2025</v>
      </c>
      <c r="D60" s="1" t="n">
        <v>5</v>
      </c>
      <c r="E60" s="1" t="s">
        <v>68</v>
      </c>
      <c r="F60" s="1" t="s">
        <v>63</v>
      </c>
      <c r="G60" s="1" t="s">
        <v>56</v>
      </c>
      <c r="H60" s="1" t="s">
        <v>103</v>
      </c>
      <c r="I60" s="1" t="s">
        <v>104</v>
      </c>
      <c r="J60" s="1" t="s">
        <v>56</v>
      </c>
      <c r="K60" s="1" t="s">
        <v>43</v>
      </c>
      <c r="L60" s="1" t="s">
        <v>44</v>
      </c>
    </row>
    <row r="61" customFormat="false" ht="15" hidden="false" customHeight="true" outlineLevel="0" collapsed="false">
      <c r="A61" s="1" t="s">
        <v>125</v>
      </c>
      <c r="B61" s="18" t="n">
        <v>45781</v>
      </c>
      <c r="C61" s="1" t="n">
        <v>2025</v>
      </c>
      <c r="D61" s="1" t="n">
        <v>5</v>
      </c>
      <c r="E61" s="1" t="s">
        <v>68</v>
      </c>
      <c r="F61" s="1" t="s">
        <v>63</v>
      </c>
      <c r="G61" s="1" t="s">
        <v>40</v>
      </c>
      <c r="H61" s="1" t="s">
        <v>77</v>
      </c>
      <c r="I61" s="1" t="s">
        <v>78</v>
      </c>
      <c r="J61" s="1" t="s">
        <v>40</v>
      </c>
      <c r="K61" s="1" t="s">
        <v>43</v>
      </c>
      <c r="L61" s="1" t="s">
        <v>44</v>
      </c>
    </row>
    <row r="62" customFormat="false" ht="15" hidden="false" customHeight="true" outlineLevel="0" collapsed="false">
      <c r="A62" s="1" t="s">
        <v>126</v>
      </c>
      <c r="B62" s="18" t="n">
        <v>45786</v>
      </c>
      <c r="C62" s="1" t="n">
        <v>2025</v>
      </c>
      <c r="D62" s="1" t="n">
        <v>5</v>
      </c>
      <c r="E62" s="1" t="s">
        <v>68</v>
      </c>
      <c r="F62" s="1" t="s">
        <v>46</v>
      </c>
      <c r="G62" s="1" t="s">
        <v>60</v>
      </c>
      <c r="H62" s="1" t="s">
        <v>87</v>
      </c>
      <c r="I62" s="1" t="s">
        <v>88</v>
      </c>
      <c r="J62" s="1" t="s">
        <v>60</v>
      </c>
      <c r="K62" s="1" t="s">
        <v>43</v>
      </c>
      <c r="L62" s="1" t="s">
        <v>44</v>
      </c>
    </row>
    <row r="63" customFormat="false" ht="15" hidden="false" customHeight="true" outlineLevel="0" collapsed="false">
      <c r="A63" s="1" t="s">
        <v>127</v>
      </c>
      <c r="B63" s="18" t="n">
        <v>45788</v>
      </c>
      <c r="C63" s="1" t="n">
        <v>2025</v>
      </c>
      <c r="D63" s="1" t="n">
        <v>5</v>
      </c>
      <c r="E63" s="1" t="s">
        <v>68</v>
      </c>
      <c r="F63" s="1" t="s">
        <v>60</v>
      </c>
      <c r="G63" s="1" t="s">
        <v>56</v>
      </c>
      <c r="H63" s="1" t="s">
        <v>87</v>
      </c>
      <c r="I63" s="1" t="s">
        <v>88</v>
      </c>
      <c r="J63" s="1" t="s">
        <v>56</v>
      </c>
      <c r="K63" s="1" t="s">
        <v>43</v>
      </c>
      <c r="L63" s="1" t="s">
        <v>44</v>
      </c>
    </row>
    <row r="64" customFormat="false" ht="15" hidden="false" customHeight="true" outlineLevel="0" collapsed="false">
      <c r="A64" s="1" t="s">
        <v>128</v>
      </c>
      <c r="B64" s="18" t="n">
        <v>45793</v>
      </c>
      <c r="C64" s="1" t="n">
        <v>2025</v>
      </c>
      <c r="D64" s="1" t="n">
        <v>5</v>
      </c>
      <c r="E64" s="1" t="s">
        <v>68</v>
      </c>
      <c r="F64" s="1" t="s">
        <v>56</v>
      </c>
      <c r="G64" s="1" t="s">
        <v>51</v>
      </c>
      <c r="H64" s="1" t="s">
        <v>57</v>
      </c>
      <c r="I64" s="1" t="s">
        <v>58</v>
      </c>
      <c r="J64" s="1" t="s">
        <v>56</v>
      </c>
      <c r="K64" s="1" t="s">
        <v>43</v>
      </c>
      <c r="L64" s="1" t="s">
        <v>44</v>
      </c>
    </row>
    <row r="65" customFormat="false" ht="15" hidden="false" customHeight="true" outlineLevel="0" collapsed="false">
      <c r="A65" s="1" t="s">
        <v>129</v>
      </c>
      <c r="B65" s="18" t="n">
        <v>45796</v>
      </c>
      <c r="C65" s="1" t="n">
        <v>2025</v>
      </c>
      <c r="D65" s="1" t="n">
        <v>5</v>
      </c>
      <c r="E65" s="1" t="s">
        <v>68</v>
      </c>
      <c r="F65" s="1" t="s">
        <v>46</v>
      </c>
      <c r="G65" s="1" t="s">
        <v>50</v>
      </c>
      <c r="H65" s="1" t="s">
        <v>103</v>
      </c>
      <c r="I65" s="1" t="s">
        <v>104</v>
      </c>
      <c r="J65" s="1" t="s">
        <v>46</v>
      </c>
      <c r="K65" s="1" t="s">
        <v>43</v>
      </c>
      <c r="L65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</cols>
  <sheetData>
    <row r="1" customFormat="false" ht="15" hidden="false" customHeight="true" outlineLevel="0" collapsed="false">
      <c r="A1" s="3" t="s">
        <v>130</v>
      </c>
      <c r="B1" s="3" t="s">
        <v>131</v>
      </c>
      <c r="C1" s="3" t="s">
        <v>132</v>
      </c>
    </row>
    <row r="2" customFormat="false" ht="15" hidden="false" customHeight="true" outlineLevel="0" collapsed="false">
      <c r="A2" s="1" t="s">
        <v>39</v>
      </c>
      <c r="B2" s="1" t="n">
        <f aca="false">COUNTIF(IPL_Matches!$F$2:$F$65,A2)+COUNTIF(IPL_Matches!$G$2:$G$65,A2)</f>
        <v>12</v>
      </c>
      <c r="C2" s="1" t="n">
        <f aca="false">COUNTIF(IPL_Matches!$J$2:$J$65,A2)</f>
        <v>5</v>
      </c>
    </row>
    <row r="3" customFormat="false" ht="15" hidden="false" customHeight="true" outlineLevel="0" collapsed="false">
      <c r="A3" s="1" t="s">
        <v>50</v>
      </c>
      <c r="B3" s="1" t="n">
        <f aca="false">COUNTIF(IPL_Matches!$F$2:$F$65,A3)+COUNTIF(IPL_Matches!$G$2:$G$65,A3)</f>
        <v>21</v>
      </c>
      <c r="C3" s="1" t="n">
        <f aca="false">COUNTIF(IPL_Matches!$J$2:$J$65,A3)</f>
        <v>11</v>
      </c>
    </row>
    <row r="4" customFormat="false" ht="15" hidden="false" customHeight="true" outlineLevel="0" collapsed="false">
      <c r="A4" s="1" t="s">
        <v>51</v>
      </c>
      <c r="B4" s="1" t="n">
        <f aca="false">COUNTIF(IPL_Matches!$F$2:$F$65,A4)+COUNTIF(IPL_Matches!$G$2:$G$65,A4)</f>
        <v>14</v>
      </c>
      <c r="C4" s="1" t="n">
        <f aca="false">COUNTIF(IPL_Matches!$J$2:$J$65,A4)</f>
        <v>7</v>
      </c>
    </row>
    <row r="5" customFormat="false" ht="15" hidden="false" customHeight="true" outlineLevel="0" collapsed="false">
      <c r="A5" s="1" t="s">
        <v>63</v>
      </c>
      <c r="B5" s="1" t="n">
        <f aca="false">COUNTIF(IPL_Matches!$F$2:$F$65,A5)+COUNTIF(IPL_Matches!$G$2:$G$65,A5)</f>
        <v>15</v>
      </c>
      <c r="C5" s="1" t="n">
        <f aca="false">COUNTIF(IPL_Matches!$J$2:$J$65,A5)</f>
        <v>6</v>
      </c>
    </row>
    <row r="6" customFormat="false" ht="15" hidden="false" customHeight="true" outlineLevel="0" collapsed="false">
      <c r="A6" s="1" t="s">
        <v>40</v>
      </c>
      <c r="B6" s="1" t="n">
        <f aca="false">COUNTIF(IPL_Matches!$F$2:$F$65,A6)+COUNTIF(IPL_Matches!$G$2:$G$65,A6)</f>
        <v>16</v>
      </c>
      <c r="C6" s="1" t="n">
        <f aca="false">COUNTIF(IPL_Matches!$J$2:$J$65,A6)</f>
        <v>4</v>
      </c>
    </row>
    <row r="7" customFormat="false" ht="15" hidden="false" customHeight="true" outlineLevel="0" collapsed="false">
      <c r="A7" s="1" t="s">
        <v>60</v>
      </c>
      <c r="B7" s="1" t="n">
        <f aca="false">COUNTIF(IPL_Matches!$F$2:$F$65,A7)+COUNTIF(IPL_Matches!$G$2:$G$65,A7)</f>
        <v>16</v>
      </c>
      <c r="C7" s="1" t="n">
        <f aca="false">COUNTIF(IPL_Matches!$J$2:$J$65,A7)</f>
        <v>10</v>
      </c>
    </row>
    <row r="8" customFormat="false" ht="15" hidden="false" customHeight="true" outlineLevel="0" collapsed="false">
      <c r="A8" s="1" t="s">
        <v>56</v>
      </c>
      <c r="B8" s="1" t="n">
        <f aca="false">COUNTIF(IPL_Matches!$F$2:$F$65,A8)+COUNTIF(IPL_Matches!$G$2:$G$65,A8)</f>
        <v>17</v>
      </c>
      <c r="C8" s="1" t="n">
        <f aca="false">COUNTIF(IPL_Matches!$J$2:$J$65,A8)</f>
        <v>10</v>
      </c>
    </row>
    <row r="9" customFormat="false" ht="15" hidden="false" customHeight="true" outlineLevel="0" collapsed="false">
      <c r="A9" s="1" t="s">
        <v>46</v>
      </c>
      <c r="B9" s="1" t="n">
        <v>17</v>
      </c>
      <c r="C9" s="1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3" t="s">
        <v>130</v>
      </c>
      <c r="B1" s="3" t="s">
        <v>133</v>
      </c>
    </row>
    <row r="2" customFormat="false" ht="15" hidden="false" customHeight="true" outlineLevel="0" collapsed="false">
      <c r="A2" s="1" t="s">
        <v>39</v>
      </c>
      <c r="B2" s="1" t="n">
        <f aca="false">COUNTIF(IPL_Matches!$J$2:$J$65,A2)</f>
        <v>5</v>
      </c>
    </row>
    <row r="3" customFormat="false" ht="15" hidden="false" customHeight="true" outlineLevel="0" collapsed="false">
      <c r="A3" s="19" t="s">
        <v>50</v>
      </c>
      <c r="B3" s="19" t="n">
        <f aca="false">COUNTIF(IPL_Matches!$J$2:$J$65,A3)</f>
        <v>11</v>
      </c>
    </row>
    <row r="4" customFormat="false" ht="15" hidden="false" customHeight="true" outlineLevel="0" collapsed="false">
      <c r="A4" s="1" t="s">
        <v>51</v>
      </c>
      <c r="B4" s="1" t="n">
        <f aca="false">COUNTIF(IPL_Matches!$J$2:$J$65,A4)</f>
        <v>7</v>
      </c>
    </row>
    <row r="5" customFormat="false" ht="15" hidden="false" customHeight="true" outlineLevel="0" collapsed="false">
      <c r="A5" s="1" t="s">
        <v>63</v>
      </c>
      <c r="B5" s="1" t="n">
        <f aca="false">COUNTIF(IPL_Matches!$J$2:$J$65,A5)</f>
        <v>6</v>
      </c>
    </row>
    <row r="6" customFormat="false" ht="15" hidden="false" customHeight="true" outlineLevel="0" collapsed="false">
      <c r="A6" s="1" t="s">
        <v>40</v>
      </c>
      <c r="B6" s="1" t="n">
        <f aca="false">COUNTIF(IPL_Matches!$J$2:$J$65,A6)</f>
        <v>4</v>
      </c>
    </row>
    <row r="7" customFormat="false" ht="15" hidden="false" customHeight="true" outlineLevel="0" collapsed="false">
      <c r="A7" s="1" t="s">
        <v>60</v>
      </c>
      <c r="B7" s="1" t="n">
        <f aca="false">COUNTIF(IPL_Matches!$J$2:$J$65,A7)</f>
        <v>10</v>
      </c>
    </row>
    <row r="8" customFormat="false" ht="15" hidden="false" customHeight="true" outlineLevel="0" collapsed="false">
      <c r="A8" s="1" t="s">
        <v>56</v>
      </c>
      <c r="B8" s="1" t="n">
        <f aca="false">COUNTIF(IPL_Matches!$J$2:$J$65,A8)</f>
        <v>10</v>
      </c>
    </row>
    <row r="9" customFormat="false" ht="15" hidden="false" customHeight="true" outlineLevel="0" collapsed="false">
      <c r="A9" s="19" t="s">
        <v>46</v>
      </c>
      <c r="B9" s="19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</cols>
  <sheetData>
    <row r="1" customFormat="false" ht="15" hidden="false" customHeight="true" outlineLevel="0" collapsed="false">
      <c r="A1" s="3" t="s">
        <v>28</v>
      </c>
      <c r="B1" s="3" t="s">
        <v>131</v>
      </c>
    </row>
    <row r="2" customFormat="false" ht="15" hidden="false" customHeight="true" outlineLevel="0" collapsed="false">
      <c r="A2" s="20" t="n">
        <v>44621</v>
      </c>
      <c r="B2" s="1" t="n">
        <f aca="false">COUNTIFS(IPL_Matches!$C$2:$C$65,YEAR(A2),IPL_Matches!$D$2:$D$65,MONTH(A2))</f>
        <v>3</v>
      </c>
    </row>
    <row r="3" customFormat="false" ht="15" hidden="false" customHeight="true" outlineLevel="0" collapsed="false">
      <c r="A3" s="20" t="n">
        <v>44652</v>
      </c>
      <c r="B3" s="1" t="n">
        <f aca="false">COUNTIFS(IPL_Matches!$C$2:$C$65,YEAR(A3),IPL_Matches!$D$2:$D$65,MONTH(A3))</f>
        <v>7</v>
      </c>
    </row>
    <row r="4" customFormat="false" ht="15" hidden="false" customHeight="true" outlineLevel="0" collapsed="false">
      <c r="A4" s="20" t="n">
        <v>44682</v>
      </c>
      <c r="B4" s="1" t="n">
        <f aca="false">COUNTIFS(IPL_Matches!$C$2:$C$65,YEAR(A4),IPL_Matches!$D$2:$D$65,MONTH(A4))</f>
        <v>6</v>
      </c>
    </row>
    <row r="5" customFormat="false" ht="15" hidden="false" customHeight="true" outlineLevel="0" collapsed="false">
      <c r="A5" s="20" t="n">
        <v>44986</v>
      </c>
      <c r="B5" s="1" t="n">
        <f aca="false">COUNTIFS(IPL_Matches!$C$2:$C$65,YEAR(A5),IPL_Matches!$D$2:$D$65,MONTH(A5))</f>
        <v>3</v>
      </c>
    </row>
    <row r="6" customFormat="false" ht="15" hidden="false" customHeight="true" outlineLevel="0" collapsed="false">
      <c r="A6" s="20" t="n">
        <v>45017</v>
      </c>
      <c r="B6" s="1" t="n">
        <f aca="false">COUNTIFS(IPL_Matches!$C$2:$C$65,YEAR(A6),IPL_Matches!$D$2:$D$65,MONTH(A6))</f>
        <v>8</v>
      </c>
    </row>
    <row r="7" customFormat="false" ht="15" hidden="false" customHeight="true" outlineLevel="0" collapsed="false">
      <c r="A7" s="20" t="n">
        <v>45047</v>
      </c>
      <c r="B7" s="1" t="n">
        <f aca="false">COUNTIFS(IPL_Matches!$C$2:$C$65,YEAR(A7),IPL_Matches!$D$2:$D$65,MONTH(A7))</f>
        <v>5</v>
      </c>
    </row>
    <row r="8" customFormat="false" ht="15" hidden="false" customHeight="true" outlineLevel="0" collapsed="false">
      <c r="A8" s="20" t="n">
        <v>45352</v>
      </c>
      <c r="B8" s="1" t="n">
        <f aca="false">COUNTIFS(IPL_Matches!$C$2:$C$65,YEAR(A8),IPL_Matches!$D$2:$D$65,MONTH(A8))</f>
        <v>3</v>
      </c>
    </row>
    <row r="9" customFormat="false" ht="15" hidden="false" customHeight="true" outlineLevel="0" collapsed="false">
      <c r="A9" s="20" t="n">
        <v>45383</v>
      </c>
      <c r="B9" s="1" t="n">
        <f aca="false">COUNTIFS(IPL_Matches!$C$2:$C$65,YEAR(A9),IPL_Matches!$D$2:$D$65,MONTH(A9))</f>
        <v>8</v>
      </c>
    </row>
    <row r="10" customFormat="false" ht="15" hidden="false" customHeight="true" outlineLevel="0" collapsed="false">
      <c r="A10" s="20" t="n">
        <v>45413</v>
      </c>
      <c r="B10" s="1" t="n">
        <f aca="false">COUNTIFS(IPL_Matches!$C$2:$C$65,YEAR(A10),IPL_Matches!$D$2:$D$65,MONTH(A10))</f>
        <v>5</v>
      </c>
    </row>
    <row r="11" customFormat="false" ht="15" hidden="false" customHeight="true" outlineLevel="0" collapsed="false">
      <c r="A11" s="20" t="n">
        <v>45717</v>
      </c>
      <c r="B11" s="1" t="n">
        <f aca="false">COUNTIFS(IPL_Matches!$C$2:$C$65,YEAR(A11),IPL_Matches!$D$2:$D$65,MONTH(A11))</f>
        <v>3</v>
      </c>
    </row>
    <row r="12" customFormat="false" ht="15" hidden="false" customHeight="true" outlineLevel="0" collapsed="false">
      <c r="A12" s="20" t="n">
        <v>45748</v>
      </c>
      <c r="B12" s="1" t="n">
        <f aca="false">COUNTIFS(IPL_Matches!$C$2:$C$65,YEAR(A12),IPL_Matches!$D$2:$D$65,MONTH(A12))</f>
        <v>7</v>
      </c>
    </row>
    <row r="13" customFormat="false" ht="15" hidden="false" customHeight="true" outlineLevel="0" collapsed="false">
      <c r="A13" s="20" t="n">
        <v>45778</v>
      </c>
      <c r="B13" s="1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1" min="2" style="1" width="18"/>
  </cols>
  <sheetData>
    <row r="1" customFormat="false" ht="15" hidden="false" customHeight="true" outlineLevel="0" collapsed="false">
      <c r="A1" s="3" t="s">
        <v>27</v>
      </c>
      <c r="B1" s="3" t="s">
        <v>39</v>
      </c>
      <c r="C1" s="3" t="s">
        <v>50</v>
      </c>
      <c r="D1" s="3" t="s">
        <v>51</v>
      </c>
      <c r="E1" s="3" t="s">
        <v>63</v>
      </c>
      <c r="F1" s="3" t="s">
        <v>40</v>
      </c>
      <c r="G1" s="3" t="s">
        <v>60</v>
      </c>
      <c r="H1" s="3" t="s">
        <v>56</v>
      </c>
      <c r="I1" s="3" t="s">
        <v>46</v>
      </c>
      <c r="J1" s="3" t="s">
        <v>134</v>
      </c>
      <c r="K1" s="3" t="s">
        <v>135</v>
      </c>
    </row>
    <row r="2" customFormat="false" ht="15" hidden="false" customHeight="true" outlineLevel="0" collapsed="false">
      <c r="A2" s="1" t="n">
        <v>2022</v>
      </c>
      <c r="B2" s="1" t="n">
        <f aca="false">COUNTIFS(IPL_Matches!$J$2:$J$65,"Mumbai Indians",IPL_Matches!$C$2:$C$65,A2)</f>
        <v>1</v>
      </c>
      <c r="C2" s="1" t="n">
        <f aca="false">COUNTIFS(IPL_Matches!$J$2:$J$65,"Chennai Super Kings",IPL_Matches!$C$2:$C$65,A2)</f>
        <v>2</v>
      </c>
      <c r="D2" s="1" t="n">
        <f aca="false">COUNTIFS(IPL_Matches!$J$2:$J$65,"Kolkata Knight Riders",IPL_Matches!$C$2:$C$65,A2)</f>
        <v>2</v>
      </c>
      <c r="E2" s="1" t="n">
        <f aca="false">COUNTIFS(IPL_Matches!$J$2:$J$65,"Rajasthan Royals",IPL_Matches!$C$2:$C$65,A2)</f>
        <v>2</v>
      </c>
      <c r="F2" s="1" t="n">
        <f aca="false">COUNTIFS(IPL_Matches!$J$2:$J$65,"Royal Challengers Bengaluru",IPL_Matches!$C$2:$C$65,A2)</f>
        <v>1</v>
      </c>
      <c r="G2" s="1" t="n">
        <f aca="false">COUNTIFS(IPL_Matches!$J$2:$J$65,"Sunrisers Hyderabad",IPL_Matches!$C$2:$C$65,A2)</f>
        <v>1</v>
      </c>
      <c r="H2" s="1" t="n">
        <f aca="false">COUNTIFS(IPL_Matches!$J$2:$J$65,"Delhi Capitals",IPL_Matches!$C$2:$C$65,A2)</f>
        <v>1</v>
      </c>
      <c r="I2" s="19" t="n">
        <f aca="false">COUNTIFS(IPL_Matches!$J$2:$J$65,"Punjab Kings",IPL_Matches!$C$2:$C$65,A2)</f>
        <v>6</v>
      </c>
      <c r="J2" s="1" t="s">
        <v>46</v>
      </c>
      <c r="K2" s="1" t="n">
        <f aca="false">MAX(B2:I2)</f>
        <v>6</v>
      </c>
    </row>
    <row r="3" customFormat="false" ht="15" hidden="false" customHeight="true" outlineLevel="0" collapsed="false">
      <c r="A3" s="1" t="n">
        <v>2023</v>
      </c>
      <c r="B3" s="1" t="n">
        <f aca="false">COUNTIFS(IPL_Matches!$J$2:$J$65,"Mumbai Indians",IPL_Matches!$C$2:$C$65,A3)</f>
        <v>2</v>
      </c>
      <c r="C3" s="19" t="n">
        <f aca="false">COUNTIFS(IPL_Matches!$J$2:$J$65,"Chennai Super Kings",IPL_Matches!$C$2:$C$65,A3)</f>
        <v>4</v>
      </c>
      <c r="D3" s="1" t="n">
        <f aca="false">COUNTIFS(IPL_Matches!$J$2:$J$65,"Kolkata Knight Riders",IPL_Matches!$C$2:$C$65,A3)</f>
        <v>2</v>
      </c>
      <c r="E3" s="1" t="n">
        <f aca="false">COUNTIFS(IPL_Matches!$J$2:$J$65,"Rajasthan Royals",IPL_Matches!$C$2:$C$65,A3)</f>
        <v>0</v>
      </c>
      <c r="F3" s="1" t="n">
        <f aca="false">COUNTIFS(IPL_Matches!$J$2:$J$65,"Royal Challengers Bengaluru",IPL_Matches!$C$2:$C$65,A3)</f>
        <v>1</v>
      </c>
      <c r="G3" s="1" t="n">
        <f aca="false">COUNTIFS(IPL_Matches!$J$2:$J$65,"Sunrisers Hyderabad",IPL_Matches!$C$2:$C$65,A3)</f>
        <v>2</v>
      </c>
      <c r="H3" s="19" t="n">
        <f aca="false">COUNTIFS(IPL_Matches!$J$2:$J$65,"Delhi Capitals",IPL_Matches!$C$2:$C$65,A3)</f>
        <v>4</v>
      </c>
      <c r="I3" s="1" t="n">
        <f aca="false">COUNTIFS(IPL_Matches!$J$2:$J$65,"Punjab Kings",IPL_Matches!$C$2:$C$65,A3)</f>
        <v>1</v>
      </c>
      <c r="J3" s="1" t="s">
        <v>136</v>
      </c>
      <c r="K3" s="1" t="n">
        <f aca="false">MAX(B3:I3)</f>
        <v>4</v>
      </c>
    </row>
    <row r="4" customFormat="false" ht="15" hidden="false" customHeight="true" outlineLevel="0" collapsed="false">
      <c r="A4" s="1" t="n">
        <v>2024</v>
      </c>
      <c r="B4" s="1" t="n">
        <f aca="false">COUNTIFS(IPL_Matches!$J$2:$J$65,"Mumbai Indians",IPL_Matches!$C$2:$C$65,A4)</f>
        <v>2</v>
      </c>
      <c r="C4" s="19" t="n">
        <f aca="false">COUNTIFS(IPL_Matches!$J$2:$J$65,"Chennai Super Kings",IPL_Matches!$C$2:$C$65,A4)</f>
        <v>4</v>
      </c>
      <c r="D4" s="1" t="n">
        <f aca="false">COUNTIFS(IPL_Matches!$J$2:$J$65,"Kolkata Knight Riders",IPL_Matches!$C$2:$C$65,A4)</f>
        <v>2</v>
      </c>
      <c r="E4" s="1" t="n">
        <f aca="false">COUNTIFS(IPL_Matches!$J$2:$J$65,"Rajasthan Royals",IPL_Matches!$C$2:$C$65,A4)</f>
        <v>1</v>
      </c>
      <c r="F4" s="1" t="n">
        <f aca="false">COUNTIFS(IPL_Matches!$J$2:$J$65,"Royal Challengers Bengaluru",IPL_Matches!$C$2:$C$65,A4)</f>
        <v>1</v>
      </c>
      <c r="G4" s="1" t="n">
        <f aca="false">COUNTIFS(IPL_Matches!$J$2:$J$65,"Sunrisers Hyderabad",IPL_Matches!$C$2:$C$65,A4)</f>
        <v>3</v>
      </c>
      <c r="H4" s="1" t="n">
        <f aca="false">COUNTIFS(IPL_Matches!$J$2:$J$65,"Delhi Capitals",IPL_Matches!$C$2:$C$65,A4)</f>
        <v>1</v>
      </c>
      <c r="I4" s="1" t="n">
        <f aca="false">COUNTIFS(IPL_Matches!$J$2:$J$65,"Punjab Kings",IPL_Matches!$C$2:$C$65,A4)</f>
        <v>2</v>
      </c>
      <c r="J4" s="1" t="s">
        <v>50</v>
      </c>
      <c r="K4" s="1" t="n">
        <f aca="false">MAX(B4:I4)</f>
        <v>4</v>
      </c>
    </row>
    <row r="5" customFormat="false" ht="15" hidden="false" customHeight="true" outlineLevel="0" collapsed="false">
      <c r="A5" s="1" t="n">
        <v>2025</v>
      </c>
      <c r="B5" s="1" t="n">
        <f aca="false">COUNTIFS(IPL_Matches!$J$2:$J$65,"Mumbai Indians",IPL_Matches!$C$2:$C$65,A5)</f>
        <v>0</v>
      </c>
      <c r="C5" s="1" t="n">
        <f aca="false">COUNTIFS(IPL_Matches!$J$2:$J$65,"Chennai Super Kings",IPL_Matches!$C$2:$C$65,A5)</f>
        <v>1</v>
      </c>
      <c r="D5" s="1" t="n">
        <f aca="false">COUNTIFS(IPL_Matches!$J$2:$J$65,"Kolkata Knight Riders",IPL_Matches!$C$2:$C$65,A5)</f>
        <v>1</v>
      </c>
      <c r="E5" s="1" t="n">
        <f aca="false">COUNTIFS(IPL_Matches!$J$2:$J$65,"Rajasthan Royals",IPL_Matches!$C$2:$C$65,A5)</f>
        <v>3</v>
      </c>
      <c r="F5" s="1" t="n">
        <f aca="false">COUNTIFS(IPL_Matches!$J$2:$J$65,"Royal Challengers Bengaluru",IPL_Matches!$C$2:$C$65,A5)</f>
        <v>1</v>
      </c>
      <c r="G5" s="19" t="n">
        <f aca="false">COUNTIFS(IPL_Matches!$J$2:$J$65,"Sunrisers Hyderabad",IPL_Matches!$C$2:$C$65,A5)</f>
        <v>4</v>
      </c>
      <c r="H5" s="19" t="n">
        <f aca="false">COUNTIFS(IPL_Matches!$J$2:$J$65,"Delhi Capitals",IPL_Matches!$C$2:$C$65,A5)</f>
        <v>4</v>
      </c>
      <c r="I5" s="1" t="n">
        <f aca="false">COUNTIFS(IPL_Matches!$J$2:$J$65,"Punjab Kings",IPL_Matches!$C$2:$C$65,A5)</f>
        <v>2</v>
      </c>
      <c r="J5" s="1" t="s">
        <v>137</v>
      </c>
      <c r="K5" s="1" t="n">
        <f aca="false">MAX(B5:I5)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</cols>
  <sheetData>
    <row r="1" customFormat="false" ht="15" hidden="false" customHeight="true" outlineLevel="0" collapsed="false">
      <c r="A1" s="3" t="s">
        <v>32</v>
      </c>
      <c r="B1" s="3" t="s">
        <v>138</v>
      </c>
    </row>
    <row r="2" customFormat="false" ht="15" hidden="false" customHeight="true" outlineLevel="0" collapsed="false">
      <c r="A2" s="1" t="s">
        <v>41</v>
      </c>
      <c r="B2" s="1" t="n">
        <f aca="false">COUNTIF(IPL_Matches!$H$2:$H$65,A2)</f>
        <v>7</v>
      </c>
    </row>
    <row r="3" customFormat="false" ht="15" hidden="false" customHeight="true" outlineLevel="0" collapsed="false">
      <c r="A3" s="1" t="s">
        <v>69</v>
      </c>
      <c r="B3" s="1" t="n">
        <f aca="false">COUNTIF(IPL_Matches!$H$2:$H$65,A3)</f>
        <v>3</v>
      </c>
    </row>
    <row r="4" customFormat="false" ht="15" hidden="false" customHeight="true" outlineLevel="0" collapsed="false">
      <c r="A4" s="1" t="s">
        <v>47</v>
      </c>
      <c r="B4" s="1" t="n">
        <f aca="false">COUNTIF(IPL_Matches!$H$2:$H$65,A4)</f>
        <v>8</v>
      </c>
    </row>
    <row r="5" customFormat="false" ht="15" hidden="false" customHeight="true" outlineLevel="0" collapsed="false">
      <c r="A5" s="1" t="s">
        <v>103</v>
      </c>
      <c r="B5" s="1" t="n">
        <f aca="false">COUNTIF(IPL_Matches!$H$2:$H$65,A5)</f>
        <v>4</v>
      </c>
    </row>
    <row r="6" customFormat="false" ht="15" hidden="false" customHeight="true" outlineLevel="0" collapsed="false">
      <c r="A6" s="1" t="s">
        <v>77</v>
      </c>
      <c r="B6" s="1" t="n">
        <f aca="false">COUNTIF(IPL_Matches!$H$2:$H$65,A6)</f>
        <v>5</v>
      </c>
    </row>
    <row r="7" customFormat="false" ht="15" hidden="false" customHeight="true" outlineLevel="0" collapsed="false">
      <c r="A7" s="1" t="s">
        <v>57</v>
      </c>
      <c r="B7" s="1" t="n">
        <f aca="false">COUNTIF(IPL_Matches!$H$2:$H$65,A7)</f>
        <v>11</v>
      </c>
    </row>
    <row r="8" customFormat="false" ht="15" hidden="false" customHeight="true" outlineLevel="0" collapsed="false">
      <c r="A8" s="1" t="s">
        <v>87</v>
      </c>
      <c r="B8" s="1" t="n">
        <f aca="false">COUNTIF(IPL_Matches!$H$2:$H$65,A8)</f>
        <v>8</v>
      </c>
    </row>
    <row r="9" customFormat="false" ht="15" hidden="false" customHeight="true" outlineLevel="0" collapsed="false">
      <c r="A9" s="1" t="s">
        <v>52</v>
      </c>
      <c r="B9" s="1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75"/>
  </cols>
  <sheetData>
    <row r="1" customFormat="false" ht="15" hidden="false" customHeight="true" outlineLevel="0" collapsed="false">
      <c r="A1" s="3" t="s">
        <v>139</v>
      </c>
      <c r="B1" s="3" t="s">
        <v>140</v>
      </c>
      <c r="C1" s="3" t="s">
        <v>141</v>
      </c>
    </row>
    <row r="2" customFormat="false" ht="15" hidden="false" customHeight="true" outlineLevel="0" collapsed="false">
      <c r="A2" s="1" t="s">
        <v>142</v>
      </c>
      <c r="B2" s="1" t="s">
        <v>32</v>
      </c>
      <c r="C2" s="1" t="s">
        <v>143</v>
      </c>
    </row>
    <row r="3" customFormat="false" ht="15" hidden="false" customHeight="true" outlineLevel="0" collapsed="false">
      <c r="A3" s="1" t="s">
        <v>144</v>
      </c>
      <c r="B3" s="1" t="s">
        <v>26</v>
      </c>
      <c r="C3" s="1" t="s">
        <v>145</v>
      </c>
    </row>
    <row r="4" customFormat="false" ht="15" hidden="false" customHeight="true" outlineLevel="0" collapsed="false">
      <c r="A4" s="1" t="s">
        <v>146</v>
      </c>
      <c r="B4" s="1" t="s">
        <v>147</v>
      </c>
      <c r="C4" s="1" t="s">
        <v>148</v>
      </c>
    </row>
    <row r="5" customFormat="false" ht="15" hidden="false" customHeight="true" outlineLevel="0" collapsed="false">
      <c r="A5" s="1" t="s">
        <v>149</v>
      </c>
      <c r="B5" s="1" t="s">
        <v>150</v>
      </c>
      <c r="C5" s="1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0"/>
  </cols>
  <sheetData>
    <row r="1" customFormat="false" ht="16.15" hidden="false" customHeight="false" outlineLevel="0" collapsed="false">
      <c r="A1" s="21" t="s">
        <v>152</v>
      </c>
      <c r="B1" s="21"/>
    </row>
    <row r="2" customFormat="false" ht="60" hidden="false" customHeight="true" outlineLevel="0" collapsed="false">
      <c r="A2" s="22" t="s">
        <v>153</v>
      </c>
      <c r="B2" s="22"/>
    </row>
    <row r="4" customFormat="false" ht="30" hidden="false" customHeight="true" outlineLevel="0" collapsed="false">
      <c r="A4" s="23" t="n">
        <v>1</v>
      </c>
      <c r="B4" s="24" t="s">
        <v>154</v>
      </c>
    </row>
    <row r="5" customFormat="false" ht="30" hidden="false" customHeight="true" outlineLevel="0" collapsed="false">
      <c r="A5" s="23" t="n">
        <v>2</v>
      </c>
      <c r="B5" s="24" t="s">
        <v>155</v>
      </c>
    </row>
    <row r="6" customFormat="false" ht="30" hidden="false" customHeight="true" outlineLevel="0" collapsed="false">
      <c r="A6" s="23" t="n">
        <v>3</v>
      </c>
      <c r="B6" s="24" t="s">
        <v>156</v>
      </c>
    </row>
    <row r="7" customFormat="false" ht="30" hidden="false" customHeight="true" outlineLevel="0" collapsed="false">
      <c r="A7" s="23" t="n">
        <v>4</v>
      </c>
      <c r="B7" s="24" t="s">
        <v>157</v>
      </c>
    </row>
    <row r="8" customFormat="false" ht="30" hidden="false" customHeight="true" outlineLevel="0" collapsed="false">
      <c r="A8" s="23" t="n">
        <v>5</v>
      </c>
      <c r="B8" s="24" t="s">
        <v>158</v>
      </c>
    </row>
    <row r="9" customFormat="false" ht="30" hidden="false" customHeight="true" outlineLevel="0" collapsed="false">
      <c r="A9" s="23" t="n">
        <v>6</v>
      </c>
      <c r="B9" s="24" t="s">
        <v>159</v>
      </c>
    </row>
    <row r="10" customFormat="false" ht="30" hidden="false" customHeight="true" outlineLevel="0" collapsed="false">
      <c r="A10" s="23" t="n">
        <v>7</v>
      </c>
      <c r="B10" s="24" t="s">
        <v>160</v>
      </c>
    </row>
    <row r="11" customFormat="false" ht="30" hidden="false" customHeight="true" outlineLevel="0" collapsed="false">
      <c r="A11" s="23" t="n">
        <v>8</v>
      </c>
      <c r="B11" s="24" t="s">
        <v>161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2026-08-08T14:18:23Z</dcterms:created>
  <dc:creator>openpyxl</dc:creator>
  <dc:description/>
  <dc:language>en-US</dc:language>
  <cp:lastModifiedBy/>
  <dcterms:modified xsi:type="dcterms:W3CDTF">2026-08-08T16:37:19Z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