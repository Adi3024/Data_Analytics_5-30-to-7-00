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ini Dashboard" sheetId="2" state="visible" r:id="rId4"/>
    <sheet name="Raw_Orders" sheetId="3" state="visible" r:id="rId5"/>
    <sheet name="Restaurant_Details" sheetId="4" state="visible" r:id="rId6"/>
    <sheet name="Cleaned_Orders" sheetId="5" state="visible" r:id="rId7"/>
    <sheet name="Lookup_Practice" sheetId="6" state="visible" r:id="rId8"/>
    <sheet name="City_Summary" sheetId="7" state="visible" r:id="rId9"/>
    <sheet name="Top_Restaurants" sheetId="8" state="visible" r:id="rId10"/>
    <sheet name="City_Fil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<sst xmlns="http://schemas.openxmlformats.org/spreadsheetml/2006/main" count="453" uniqueCount="111">
  <si>
    <t xml:space="preserve">SESSION 21 – Case Study Integration + Mini Dashboard</t>
  </si>
  <si>
    <t xml:space="preserve">Task</t>
  </si>
  <si>
    <t xml:space="preserve">How to practice</t>
  </si>
  <si>
    <t xml:space="preserve">1</t>
  </si>
  <si>
    <t xml:space="preserve">Use Raw_Orders as the sample food-delivery dataset. Remove the duplicate row, standardize dates, and replace blank Delivery Partner values with Unassigned. Cleaned_Orders contains the expected cleaned structure.</t>
  </si>
  <si>
    <t xml:space="preserve">2</t>
  </si>
  <si>
    <t xml:space="preserve">Use XLOOKUP or VLOOKUP in Cleaned_Orders to fetch Restaurant Name from Restaurant_Details using Restaurant ID.</t>
  </si>
  <si>
    <t xml:space="preserve">3</t>
  </si>
  <si>
    <t xml:space="preserve">Add Day of Week using =TEXT([@[Delivery Date]],"dddd") or =TEXT(F2,"dddd").</t>
  </si>
  <si>
    <t xml:space="preserve">4</t>
  </si>
  <si>
    <t xml:space="preserve">Use the City_Summary sheet as the expected city-level summary. Create the same summary with a PivotTable in desktop Excel and insert a column/bar PivotChart.</t>
  </si>
  <si>
    <t xml:space="preserve">5</t>
  </si>
  <si>
    <t xml:space="preserve">Use Mini Dashboard as the finished practice dashboard. Native Excel slicers require creating a PivotTable/PivotChart in desktop Excel; the City_Filter sheet provides the city filter list for practice.</t>
  </si>
  <si>
    <t xml:space="preserve">Note</t>
  </si>
  <si>
    <t xml:space="preserve">The workbook includes sample data so no external download is required. It is intentionally Swiggy/Zomato-style sample data, not proprietary company data.</t>
  </si>
  <si>
    <t xml:space="preserve">FOOD DELIVERY MINI DASHBOARD</t>
  </si>
  <si>
    <t xml:space="preserve">Case Study Integration | Orders • Delivery Time • Restaurants • City Analysis</t>
  </si>
  <si>
    <t xml:space="preserve">TOTAL ORDERS</t>
  </si>
  <si>
    <t xml:space="preserve">AVG DELIVERY TIME</t>
  </si>
  <si>
    <t xml:space="preserve">TOP RESTAURANT</t>
  </si>
  <si>
    <t xml:space="preserve">CITIES</t>
  </si>
  <si>
    <t xml:space="preserve">TOP 3 RESTAURANTS BY ORDERS</t>
  </si>
  <si>
    <t xml:space="preserve">CITY FILTER / SLICER PRACTICE</t>
  </si>
  <si>
    <t xml:space="preserve">City</t>
  </si>
  <si>
    <t xml:space="preserve">All Cities</t>
  </si>
  <si>
    <t xml:space="preserve">Rajkot</t>
  </si>
  <si>
    <t xml:space="preserve">Ahmedabad</t>
  </si>
  <si>
    <t xml:space="preserve">Surat</t>
  </si>
  <si>
    <t xml:space="preserve">Vadodara</t>
  </si>
  <si>
    <t xml:space="preserve">Native Excel slicer note:
Create a PivotTable from Cleaned_Orders, insert a PivotChart, then Insert → Slicer → City.</t>
  </si>
  <si>
    <t xml:space="preserve">Order ID</t>
  </si>
  <si>
    <t xml:space="preserve">Restaurant ID</t>
  </si>
  <si>
    <t xml:space="preserve">Order Amount</t>
  </si>
  <si>
    <t xml:space="preserve">Delivery Charge</t>
  </si>
  <si>
    <t xml:space="preserve">Delivery Date</t>
  </si>
  <si>
    <t xml:space="preserve">Delivery Time (min)</t>
  </si>
  <si>
    <t xml:space="preserve">Delivery Partner</t>
  </si>
  <si>
    <t xml:space="preserve">O001</t>
  </si>
  <si>
    <t xml:space="preserve">R003</t>
  </si>
  <si>
    <t xml:space="preserve">Neha</t>
  </si>
  <si>
    <t xml:space="preserve">O002</t>
  </si>
  <si>
    <t xml:space="preserve">R008</t>
  </si>
  <si>
    <t xml:space="preserve">Karan</t>
  </si>
  <si>
    <t xml:space="preserve">O003</t>
  </si>
  <si>
    <t xml:space="preserve">R004</t>
  </si>
  <si>
    <t xml:space="preserve">O004</t>
  </si>
  <si>
    <t xml:space="preserve">R007</t>
  </si>
  <si>
    <t xml:space="preserve">Amit</t>
  </si>
  <si>
    <t xml:space="preserve">O005</t>
  </si>
  <si>
    <t xml:space="preserve">R001</t>
  </si>
  <si>
    <t xml:space="preserve">Priya</t>
  </si>
  <si>
    <t xml:space="preserve">O006</t>
  </si>
  <si>
    <t xml:space="preserve">Rahul</t>
  </si>
  <si>
    <t xml:space="preserve">O007</t>
  </si>
  <si>
    <t xml:space="preserve">R006</t>
  </si>
  <si>
    <t xml:space="preserve">O008</t>
  </si>
  <si>
    <t xml:space="preserve">O009</t>
  </si>
  <si>
    <t xml:space="preserve">02/07/2026</t>
  </si>
  <si>
    <t xml:space="preserve">O010</t>
  </si>
  <si>
    <t xml:space="preserve">O011</t>
  </si>
  <si>
    <t xml:space="preserve">R002</t>
  </si>
  <si>
    <t xml:space="preserve">O012</t>
  </si>
  <si>
    <t xml:space="preserve">O013</t>
  </si>
  <si>
    <t xml:space="preserve">O014</t>
  </si>
  <si>
    <t xml:space="preserve">O015</t>
  </si>
  <si>
    <t xml:space="preserve">07-18-2026</t>
  </si>
  <si>
    <t xml:space="preserve">O016</t>
  </si>
  <si>
    <t xml:space="preserve">O017</t>
  </si>
  <si>
    <t xml:space="preserve">O018</t>
  </si>
  <si>
    <t xml:space="preserve">R005</t>
  </si>
  <si>
    <t xml:space="preserve">O019</t>
  </si>
  <si>
    <t xml:space="preserve">O020</t>
  </si>
  <si>
    <t xml:space="preserve">O021</t>
  </si>
  <si>
    <t xml:space="preserve">O022</t>
  </si>
  <si>
    <t xml:space="preserve">O023</t>
  </si>
  <si>
    <t xml:space="preserve">O024</t>
  </si>
  <si>
    <t xml:space="preserve">O025</t>
  </si>
  <si>
    <t xml:space="preserve">O026</t>
  </si>
  <si>
    <t xml:space="preserve">O027</t>
  </si>
  <si>
    <t xml:space="preserve">O028</t>
  </si>
  <si>
    <t xml:space="preserve">O029</t>
  </si>
  <si>
    <t xml:space="preserve">O030</t>
  </si>
  <si>
    <t xml:space="preserve">O031</t>
  </si>
  <si>
    <t xml:space="preserve">O032</t>
  </si>
  <si>
    <t xml:space="preserve">O033</t>
  </si>
  <si>
    <t xml:space="preserve">O034</t>
  </si>
  <si>
    <t xml:space="preserve">O035</t>
  </si>
  <si>
    <t xml:space="preserve">O036</t>
  </si>
  <si>
    <t xml:space="preserve">O037</t>
  </si>
  <si>
    <t xml:space="preserve">O038</t>
  </si>
  <si>
    <t xml:space="preserve">O039</t>
  </si>
  <si>
    <t xml:space="preserve">O040</t>
  </si>
  <si>
    <t xml:space="preserve">Restaurant Name</t>
  </si>
  <si>
    <t xml:space="preserve">Spice Hub</t>
  </si>
  <si>
    <t xml:space="preserve">Food Palace</t>
  </si>
  <si>
    <t xml:space="preserve">Pizza Corner</t>
  </si>
  <si>
    <t xml:space="preserve">Biryani House</t>
  </si>
  <si>
    <t xml:space="preserve">Tandoori Tales</t>
  </si>
  <si>
    <t xml:space="preserve">Dragon Wok</t>
  </si>
  <si>
    <t xml:space="preserve">Pasta Street</t>
  </si>
  <si>
    <t xml:space="preserve">Dosa Junction</t>
  </si>
  <si>
    <t xml:space="preserve">Day of Week</t>
  </si>
  <si>
    <t xml:space="preserve">Unassigned</t>
  </si>
  <si>
    <t xml:space="preserve">Restaurant Name – XLOOKUP</t>
  </si>
  <si>
    <t xml:space="preserve">Restaurant Name – VLOOKUP</t>
  </si>
  <si>
    <t xml:space="preserve">Total Orders</t>
  </si>
  <si>
    <t xml:space="preserve">Total Delivery Charges</t>
  </si>
  <si>
    <t xml:space="preserve">Average Delivery Time</t>
  </si>
  <si>
    <t xml:space="preserve">Order Count</t>
  </si>
  <si>
    <t xml:space="preserve">City Filter Values</t>
  </si>
  <si>
    <t xml:space="preserve">Use these values when creating an Excel Slicer on a PivotTable based on Cleaned_Orders.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</si>
</sst>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General"/>
    <numFmt numFmtId="168" formatCode="yyyy\-mm\-dd\ h:mm:ss"/>
    <numFmt numFmtId="169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E1306C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E1306C"/>
        <bgColor rgb="FFC0504D"/>
      </patternFill>
    </fill>
    <fill>
      <patternFill patternType="solid">
        <fgColor rgb="FF833AB4"/>
        <bgColor rgb="FF8064A2"/>
      </patternFill>
    </fill>
    <fill>
      <patternFill patternType="solid">
        <fgColor rgb="FF27AE60"/>
        <bgColor rgb="FF4BACC6"/>
      </patternFill>
    </fill>
    <fill>
      <patternFill patternType="solid">
        <fgColor rgb="FFF39C12"/>
        <bgColor rgb="FFFFCC00"/>
      </patternFill>
    </fill>
    <fill>
      <patternFill patternType="solid">
        <fgColor rgb="FFF6F6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E0"/>
      </left>
      <right style="thin">
        <color rgb="FFD9D9E0"/>
      </right>
      <top style="thin">
        <color rgb="FFD9D9E0"/>
      </top>
      <bottom style="thin">
        <color rgb="FFD9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833AB4"/>
      <rgbColor rgb="FFF9F9F9"/>
      <rgbColor rgb="FFF6F6F8"/>
      <rgbColor rgb="FF660066"/>
      <rgbColor rgb="FFFF8080"/>
      <rgbColor rgb="FF0066CC"/>
      <rgbColor rgb="FFD9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39C12"/>
      <rgbColor rgb="FFFF6600"/>
      <rgbColor rgb="FF8064A2"/>
      <rgbColor rgb="FF969696"/>
      <rgbColor rgb="FF003366"/>
      <rgbColor rgb="FF27AE60"/>
      <rgbColor rgb="FF003300"/>
      <rgbColor rgb="FF333300"/>
      <rgbColor rgb="FFE1306C"/>
      <rgbColor rgb="FFC0504D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City_Summary!B1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City_Summary!$A$2:$A$5</c:f>
              <c:strCache>
                <c:ptCount val="4"/>
                <c:pt idx="0">
                  <c:v>Rajkot</c:v>
                </c:pt>
                <c:pt idx="1">
                  <c:v>Ahmedabad</c:v>
                </c:pt>
                <c:pt idx="2">
                  <c:v>Surat</c:v>
                </c:pt>
                <c:pt idx="3">
                  <c:v>Vadodara</c:v>
                </c:pt>
              </c:strCache>
            </c:strRef>
          </c:cat>
          <c:val>
            <c:numRef>
              <c:f>City_Summary!$B$2:$B$5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gapWidth val="150"/>
        <c:overlap val="0"/>
        <c:axId val="18271148"/>
        <c:axId val="51167797"/>
      </c:barChart>
      <c:catAx>
        <c:axId val="182711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67797"/>
        <c:crosses val="autoZero"/>
        <c:auto val="1"/>
        <c:lblAlgn val="ctr"/>
        <c:lblOffset val="100"/>
        <c:noMultiLvlLbl val="0"/>
      </c:catAx>
      <c:valAx>
        <c:axId val="51167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1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Restaurant Order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Top_Restaurants!B1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Top_Restaurants!$A$2:$A$6</c:f>
              <c:strCache>
                <c:ptCount val="5"/>
                <c:pt idx="0">
                  <c:v>Dosa Junction</c:v>
                </c:pt>
                <c:pt idx="1">
                  <c:v>Pasta Street</c:v>
                </c:pt>
                <c:pt idx="2">
                  <c:v>Pizza Corner</c:v>
                </c:pt>
                <c:pt idx="3">
                  <c:v>Spice Hub</c:v>
                </c:pt>
                <c:pt idx="4">
                  <c:v>Biryani House</c:v>
                </c:pt>
              </c:strCache>
            </c:strRef>
          </c:cat>
          <c:val>
            <c:numRef>
              <c:f>Top_Restaurants!$B$2:$B$6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City_Summary!B1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City_Summary!$A$2:$A$5</c:f>
              <c:strCache>
                <c:ptCount val="4"/>
                <c:pt idx="0">
                  <c:v>Rajkot</c:v>
                </c:pt>
                <c:pt idx="1">
                  <c:v>Ahmedabad</c:v>
                </c:pt>
                <c:pt idx="2">
                  <c:v>Surat</c:v>
                </c:pt>
                <c:pt idx="3">
                  <c:v>Vadodara</c:v>
                </c:pt>
              </c:strCache>
            </c:strRef>
          </c:cat>
          <c:val>
            <c:numRef>
              <c:f>City_Summary!$B$2:$B$5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gapWidth val="150"/>
        <c:overlap val="0"/>
        <c:axId val="35196194"/>
        <c:axId val="33220843"/>
      </c:barChart>
      <c:catAx>
        <c:axId val="351961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20843"/>
        <c:crosses val="autoZero"/>
        <c:auto val="1"/>
        <c:lblAlgn val="ctr"/>
        <c:lblOffset val="100"/>
        <c:noMultiLvlLbl val="0"/>
      </c:catAx>
      <c:valAx>
        <c:axId val="33220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96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5</xdr:col>
      <xdr:colOff>653760</xdr:colOff>
      <xdr:row>31</xdr:row>
      <xdr:rowOff>21600</xdr:rowOff>
    </xdr:to>
    <xdr:graphicFrame>
      <xdr:nvGraphicFramePr>
        <xdr:cNvPr id="0" name="Chart 1"/>
        <xdr:cNvGraphicFramePr/>
      </xdr:nvGraphicFramePr>
      <xdr:xfrm>
        <a:off x="916200" y="3048120"/>
        <a:ext cx="43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11</xdr:col>
      <xdr:colOff>293760</xdr:colOff>
      <xdr:row>36</xdr:row>
      <xdr:rowOff>21600</xdr:rowOff>
    </xdr:to>
    <xdr:graphicFrame>
      <xdr:nvGraphicFramePr>
        <xdr:cNvPr id="1" name="Chart 2"/>
        <xdr:cNvGraphicFramePr/>
      </xdr:nvGraphicFramePr>
      <xdr:xfrm>
        <a:off x="6414120" y="4000680"/>
        <a:ext cx="39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146880</xdr:colOff>
      <xdr:row>16</xdr:row>
      <xdr:rowOff>21240</xdr:rowOff>
    </xdr:to>
    <xdr:graphicFrame>
      <xdr:nvGraphicFramePr>
        <xdr:cNvPr id="2" name="Chart 1"/>
        <xdr:cNvGraphicFramePr/>
      </xdr:nvGraphicFramePr>
      <xdr:xfrm>
        <a:off x="6461640" y="19044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OrdersTable" displayName="CleanedOrdersTable" ref="A1:J41" headerRowCount="1" totalsRowCount="0" totalsRowShown="0">
  <autoFilter ref="A1:J41"/>
  <tableColumns count="10">
    <tableColumn id="1" name="Order ID"/>
    <tableColumn id="2" name="Restaurant ID"/>
    <tableColumn id="3" name="City"/>
    <tableColumn id="4" name="Order Amount"/>
    <tableColumn id="5" name="Delivery Charge"/>
    <tableColumn id="6" name="Delivery Date"/>
    <tableColumn id="7" name="Delivery Time (min)"/>
    <tableColumn id="8" name="Delivery Partner"/>
    <tableColumn id="9" name="Restaurant Name"/>
    <tableColumn id="10" name="Day of Week"/>
  </tableColumns>
</table>
</file>

<file path=xl/tables/table2.xml><?xml version="1.0" encoding="utf-8"?>
<table xmlns="http://schemas.openxmlformats.org/spreadsheetml/2006/main" id="2" name="RawOrdersTable" displayName="RawOrdersTable" ref="A1:H42" headerRowCount="1" totalsRowCount="0" totalsRowShown="0">
  <autoFilter ref="A1:H42"/>
  <tableColumns count="8">
    <tableColumn id="1" name="Order ID"/>
    <tableColumn id="2" name="Restaurant ID"/>
    <tableColumn id="3" name="City"/>
    <tableColumn id="4" name="Order Amount"/>
    <tableColumn id="5" name="Delivery Charge"/>
    <tableColumn id="6" name="Delivery Date"/>
    <tableColumn id="7" name="Delivery Time (min)"/>
    <tableColumn id="8" name="Delivery Partner"/>
  </tableColumns>
</table>
</file>

<file path=xl/tables/table3.xml><?xml version="1.0" encoding="utf-8"?>
<table xmlns="http://schemas.openxmlformats.org/spreadsheetml/2006/main" id="3" name="RestaurantDetailsTable" displayName="RestaurantDetailsTable" ref="A1:C9" headerRowCount="1" totalsRowCount="0" totalsRowShown="0">
  <autoFilter ref="A1:C9"/>
  <tableColumns count="3">
    <tableColumn id="1" name="Restaurant ID"/>
    <tableColumn id="2" name="Restaurant Name"/>
    <tableColumn id="3" name="C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</row>
    <row r="3" customFormat="false" ht="15" hidden="false" customHeight="true" outlineLevel="0" collapsed="false">
      <c r="A3" s="1" t="s">
        <v>3</v>
      </c>
      <c r="B3" s="1" t="s">
        <v>4</v>
      </c>
    </row>
    <row r="4" customFormat="false" ht="15" hidden="false" customHeight="true" outlineLevel="0" collapsed="false">
      <c r="A4" s="1" t="s">
        <v>5</v>
      </c>
      <c r="B4" s="1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</row>
    <row r="6" customFormat="false" ht="15" hidden="false" customHeight="true" outlineLevel="0" collapsed="false">
      <c r="A6" s="1" t="s">
        <v>9</v>
      </c>
      <c r="B6" s="1" t="s">
        <v>10</v>
      </c>
    </row>
    <row r="7" customFormat="false" ht="15" hidden="false" customHeight="true" outlineLevel="0" collapsed="false">
      <c r="A7" s="1" t="s">
        <v>11</v>
      </c>
      <c r="B7" s="1" t="s">
        <v>12</v>
      </c>
    </row>
    <row r="8" customFormat="false" ht="15" hidden="false" customHeight="true" outlineLevel="0" collapsed="false">
      <c r="A8" s="1" t="s">
        <v>13</v>
      </c>
      <c r="B8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3"/>
  </cols>
  <sheetData>
    <row r="2" customFormat="false" ht="15" hidden="false" customHeight="true" outlineLevel="0" collapsed="false">
      <c r="B2" s="4" t="s">
        <v>15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true" outlineLevel="0" collapsed="false">
      <c r="B4" s="5" t="s">
        <v>16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6" customFormat="false" ht="15" hidden="false" customHeight="true" outlineLevel="0" collapsed="false">
      <c r="B6" s="6" t="s">
        <v>17</v>
      </c>
      <c r="C6" s="6"/>
      <c r="D6" s="6"/>
      <c r="E6" s="7" t="s">
        <v>18</v>
      </c>
      <c r="F6" s="7"/>
      <c r="G6" s="7"/>
      <c r="H6" s="8" t="s">
        <v>19</v>
      </c>
      <c r="I6" s="8"/>
      <c r="J6" s="8"/>
      <c r="K6" s="9" t="s">
        <v>20</v>
      </c>
      <c r="L6" s="9"/>
    </row>
    <row r="7" customFormat="false" ht="15" hidden="false" customHeight="true" outlineLevel="0" collapsed="false">
      <c r="B7" s="6"/>
      <c r="C7" s="6"/>
      <c r="D7" s="6"/>
      <c r="E7" s="7"/>
      <c r="F7" s="7"/>
      <c r="G7" s="7"/>
      <c r="H7" s="8"/>
      <c r="I7" s="8"/>
      <c r="J7" s="8"/>
      <c r="K7" s="9"/>
      <c r="L7" s="9"/>
    </row>
    <row r="8" customFormat="false" ht="15" hidden="false" customHeight="true" outlineLevel="0" collapsed="false">
      <c r="B8" s="10" t="n">
        <f aca="false">COUNTA(Cleaned_Orders!$A$2:$A$41)</f>
        <v>40</v>
      </c>
      <c r="C8" s="10"/>
      <c r="D8" s="10"/>
      <c r="E8" s="11" t="str">
        <f aca="false">ROUND(AVERAGE(Cleaned_Orders!$G$2:$G$41),1)&amp;" min"</f>
        <v>46.5 min</v>
      </c>
      <c r="F8" s="11"/>
      <c r="G8" s="11"/>
      <c r="H8" s="12" t="str">
        <f aca="false">INDEX(Top_Restaurants!$A$2:$A$9,MATCH(MAX(Top_Restaurants!$B$2:$B$9),Top_Restaurants!$B$2:$B$9,0))</f>
        <v>Dosa Junction</v>
      </c>
      <c r="I8" s="12"/>
      <c r="J8" s="12"/>
      <c r="K8" s="13" t="n">
        <f aca="false">SUMPRODUCT(1/COUNTIF(Cleaned_Orders!$C$2:$C$41,Cleaned_Orders!$C$2:$C$41))</f>
        <v>4</v>
      </c>
      <c r="L8" s="13"/>
    </row>
    <row r="9" customFormat="false" ht="15" hidden="false" customHeight="true" outlineLevel="0" collapsed="false">
      <c r="B9" s="10"/>
      <c r="C9" s="10"/>
      <c r="D9" s="10"/>
      <c r="E9" s="11"/>
      <c r="F9" s="11"/>
      <c r="G9" s="11"/>
      <c r="H9" s="12"/>
      <c r="I9" s="12"/>
      <c r="J9" s="12"/>
      <c r="K9" s="13"/>
      <c r="L9" s="13"/>
    </row>
    <row r="11" customFormat="false" ht="15" hidden="false" customHeight="true" outlineLevel="0" collapsed="false">
      <c r="B11" s="14" t="s">
        <v>21</v>
      </c>
      <c r="C11" s="14"/>
      <c r="D11" s="14"/>
      <c r="E11" s="14"/>
      <c r="F11" s="14"/>
      <c r="H11" s="14" t="s">
        <v>22</v>
      </c>
      <c r="I11" s="14"/>
      <c r="J11" s="14"/>
      <c r="K11" s="14"/>
      <c r="L11" s="14"/>
    </row>
    <row r="12" customFormat="false" ht="15" hidden="false" customHeight="true" outlineLevel="0" collapsed="false">
      <c r="B12" s="15" t="str">
        <f aca="false">Top_Restaurants!A2</f>
        <v>Dosa Junction</v>
      </c>
      <c r="E12" s="16" t="n">
        <f aca="false">Top_Restaurants!B2</f>
        <v>8</v>
      </c>
      <c r="H12" s="17" t="s">
        <v>23</v>
      </c>
    </row>
    <row r="13" customFormat="false" ht="15" hidden="false" customHeight="true" outlineLevel="0" collapsed="false">
      <c r="B13" s="15" t="str">
        <f aca="false">Top_Restaurants!A3</f>
        <v>Pasta Street</v>
      </c>
      <c r="E13" s="16" t="n">
        <f aca="false">Top_Restaurants!B3</f>
        <v>6</v>
      </c>
      <c r="H13" s="18" t="s">
        <v>24</v>
      </c>
    </row>
    <row r="14" customFormat="false" ht="15" hidden="false" customHeight="true" outlineLevel="0" collapsed="false">
      <c r="B14" s="15" t="str">
        <f aca="false">Top_Restaurants!A4</f>
        <v>Pizza Corner</v>
      </c>
      <c r="E14" s="16" t="n">
        <f aca="false">Top_Restaurants!B4</f>
        <v>6</v>
      </c>
      <c r="H14" s="18" t="s">
        <v>25</v>
      </c>
    </row>
    <row r="15" customFormat="false" ht="15" hidden="false" customHeight="true" outlineLevel="0" collapsed="false">
      <c r="H15" s="18" t="s">
        <v>26</v>
      </c>
    </row>
    <row r="16" customFormat="false" ht="15" hidden="false" customHeight="true" outlineLevel="0" collapsed="false">
      <c r="H16" s="18" t="s">
        <v>27</v>
      </c>
    </row>
    <row r="17" customFormat="false" ht="15" hidden="false" customHeight="true" outlineLevel="0" collapsed="false">
      <c r="H17" s="18" t="s">
        <v>28</v>
      </c>
    </row>
    <row r="19" customFormat="false" ht="15" hidden="false" customHeight="true" outlineLevel="0" collapsed="false">
      <c r="H19" s="19" t="s">
        <v>29</v>
      </c>
      <c r="I19" s="19"/>
      <c r="J19" s="19"/>
      <c r="K19" s="19"/>
      <c r="L19" s="19"/>
    </row>
    <row r="20" customFormat="false" ht="15" hidden="false" customHeight="true" outlineLevel="0" collapsed="false">
      <c r="H20" s="19"/>
      <c r="I20" s="19"/>
      <c r="J20" s="19"/>
      <c r="K20" s="19"/>
      <c r="L20" s="19"/>
    </row>
  </sheetData>
  <mergeCells count="13">
    <mergeCell ref="B2:L3"/>
    <mergeCell ref="B4:L4"/>
    <mergeCell ref="B6:D7"/>
    <mergeCell ref="E6:G7"/>
    <mergeCell ref="H6:J7"/>
    <mergeCell ref="K6:L7"/>
    <mergeCell ref="B8:D9"/>
    <mergeCell ref="E8:G9"/>
    <mergeCell ref="H8:J9"/>
    <mergeCell ref="K8:L9"/>
    <mergeCell ref="B11:F11"/>
    <mergeCell ref="H11:L11"/>
    <mergeCell ref="H19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5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8" min="7" style="1" width="20"/>
  </cols>
  <sheetData>
    <row r="1" customFormat="false" ht="15" hidden="false" customHeight="true" outlineLevel="0" collapsed="false">
      <c r="A1" s="20" t="s">
        <v>30</v>
      </c>
      <c r="B1" s="20" t="s">
        <v>31</v>
      </c>
      <c r="C1" s="20" t="s">
        <v>23</v>
      </c>
      <c r="D1" s="20" t="s">
        <v>32</v>
      </c>
      <c r="E1" s="20" t="s">
        <v>33</v>
      </c>
      <c r="F1" s="20" t="s">
        <v>34</v>
      </c>
      <c r="G1" s="20" t="s">
        <v>35</v>
      </c>
      <c r="H1" s="20" t="s">
        <v>36</v>
      </c>
    </row>
    <row r="2" customFormat="false" ht="15" hidden="false" customHeight="true" outlineLevel="0" collapsed="false">
      <c r="A2" s="21" t="s">
        <v>37</v>
      </c>
      <c r="B2" s="21" t="s">
        <v>38</v>
      </c>
      <c r="C2" s="21" t="s">
        <v>27</v>
      </c>
      <c r="D2" s="21" t="n">
        <v>1036</v>
      </c>
      <c r="E2" s="21" t="n">
        <v>70</v>
      </c>
      <c r="F2" s="22" t="n">
        <v>46224</v>
      </c>
      <c r="G2" s="21" t="n">
        <v>48</v>
      </c>
      <c r="H2" s="21" t="s">
        <v>39</v>
      </c>
    </row>
    <row r="3" customFormat="false" ht="15" hidden="false" customHeight="true" outlineLevel="0" collapsed="false">
      <c r="A3" s="21" t="s">
        <v>40</v>
      </c>
      <c r="B3" s="21" t="s">
        <v>41</v>
      </c>
      <c r="C3" s="21" t="s">
        <v>28</v>
      </c>
      <c r="D3" s="21" t="n">
        <v>622</v>
      </c>
      <c r="E3" s="21" t="n">
        <v>50</v>
      </c>
      <c r="F3" s="22" t="n">
        <v>46209</v>
      </c>
      <c r="G3" s="21" t="n">
        <v>54</v>
      </c>
      <c r="H3" s="21" t="s">
        <v>42</v>
      </c>
    </row>
    <row r="4" customFormat="false" ht="15" hidden="false" customHeight="true" outlineLevel="0" collapsed="false">
      <c r="A4" s="21" t="s">
        <v>43</v>
      </c>
      <c r="B4" s="21" t="s">
        <v>44</v>
      </c>
      <c r="C4" s="21" t="s">
        <v>28</v>
      </c>
      <c r="D4" s="21" t="n">
        <v>186</v>
      </c>
      <c r="E4" s="21" t="n">
        <v>20</v>
      </c>
      <c r="F4" s="22" t="n">
        <v>46233</v>
      </c>
      <c r="G4" s="21" t="n">
        <v>45</v>
      </c>
      <c r="H4" s="21" t="s">
        <v>42</v>
      </c>
    </row>
    <row r="5" customFormat="false" ht="15" hidden="false" customHeight="true" outlineLevel="0" collapsed="false">
      <c r="A5" s="21" t="s">
        <v>45</v>
      </c>
      <c r="B5" s="21" t="s">
        <v>46</v>
      </c>
      <c r="C5" s="21" t="s">
        <v>27</v>
      </c>
      <c r="D5" s="21" t="n">
        <v>321</v>
      </c>
      <c r="E5" s="21" t="n">
        <v>30</v>
      </c>
      <c r="F5" s="22" t="n">
        <v>46233</v>
      </c>
      <c r="G5" s="21" t="n">
        <v>36</v>
      </c>
      <c r="H5" s="21" t="s">
        <v>47</v>
      </c>
    </row>
    <row r="6" customFormat="false" ht="15" hidden="false" customHeight="true" outlineLevel="0" collapsed="false">
      <c r="A6" s="21" t="s">
        <v>48</v>
      </c>
      <c r="B6" s="21" t="s">
        <v>49</v>
      </c>
      <c r="C6" s="21" t="s">
        <v>25</v>
      </c>
      <c r="D6" s="21" t="n">
        <v>1074</v>
      </c>
      <c r="E6" s="21" t="n">
        <v>70</v>
      </c>
      <c r="F6" s="22" t="n">
        <v>46223</v>
      </c>
      <c r="G6" s="21" t="n">
        <v>48</v>
      </c>
      <c r="H6" s="21" t="s">
        <v>50</v>
      </c>
    </row>
    <row r="7" customFormat="false" ht="15" hidden="false" customHeight="true" outlineLevel="0" collapsed="false">
      <c r="A7" s="21" t="s">
        <v>51</v>
      </c>
      <c r="B7" s="21" t="s">
        <v>49</v>
      </c>
      <c r="C7" s="21" t="s">
        <v>25</v>
      </c>
      <c r="D7" s="21" t="n">
        <v>853</v>
      </c>
      <c r="E7" s="21" t="n">
        <v>60</v>
      </c>
      <c r="F7" s="22" t="n">
        <v>46226</v>
      </c>
      <c r="G7" s="21" t="n">
        <v>53</v>
      </c>
      <c r="H7" s="21" t="s">
        <v>52</v>
      </c>
    </row>
    <row r="8" customFormat="false" ht="15" hidden="false" customHeight="true" outlineLevel="0" collapsed="false">
      <c r="A8" s="21" t="s">
        <v>53</v>
      </c>
      <c r="B8" s="21" t="s">
        <v>54</v>
      </c>
      <c r="C8" s="21" t="s">
        <v>26</v>
      </c>
      <c r="D8" s="21" t="n">
        <v>227</v>
      </c>
      <c r="E8" s="21" t="n">
        <v>30</v>
      </c>
      <c r="F8" s="22" t="n">
        <v>46207</v>
      </c>
      <c r="G8" s="21" t="n">
        <v>27</v>
      </c>
      <c r="H8" s="21" t="s">
        <v>52</v>
      </c>
    </row>
    <row r="9" customFormat="false" ht="15" hidden="false" customHeight="true" outlineLevel="0" collapsed="false">
      <c r="A9" s="21" t="s">
        <v>55</v>
      </c>
      <c r="B9" s="21" t="s">
        <v>41</v>
      </c>
      <c r="C9" s="21" t="s">
        <v>28</v>
      </c>
      <c r="D9" s="21" t="n">
        <v>509</v>
      </c>
      <c r="E9" s="21" t="n">
        <v>60</v>
      </c>
      <c r="F9" s="22" t="n">
        <v>46214</v>
      </c>
      <c r="G9" s="21" t="n">
        <v>68</v>
      </c>
      <c r="H9" s="21" t="s">
        <v>50</v>
      </c>
    </row>
    <row r="10" customFormat="false" ht="15" hidden="false" customHeight="true" outlineLevel="0" collapsed="false">
      <c r="A10" s="21" t="s">
        <v>56</v>
      </c>
      <c r="B10" s="21" t="s">
        <v>41</v>
      </c>
      <c r="C10" s="21" t="s">
        <v>28</v>
      </c>
      <c r="D10" s="21" t="n">
        <v>489</v>
      </c>
      <c r="E10" s="21" t="n">
        <v>30</v>
      </c>
      <c r="F10" s="21" t="s">
        <v>57</v>
      </c>
      <c r="G10" s="21" t="n">
        <v>64</v>
      </c>
      <c r="H10" s="21" t="s">
        <v>50</v>
      </c>
    </row>
    <row r="11" customFormat="false" ht="15" hidden="false" customHeight="true" outlineLevel="0" collapsed="false">
      <c r="A11" s="21" t="s">
        <v>58</v>
      </c>
      <c r="B11" s="21" t="s">
        <v>44</v>
      </c>
      <c r="C11" s="21" t="s">
        <v>28</v>
      </c>
      <c r="D11" s="21" t="n">
        <v>332</v>
      </c>
      <c r="E11" s="21" t="n">
        <v>30</v>
      </c>
      <c r="F11" s="22" t="n">
        <v>46225</v>
      </c>
      <c r="G11" s="21" t="n">
        <v>35</v>
      </c>
      <c r="H11" s="21"/>
    </row>
    <row r="12" customFormat="false" ht="15" hidden="false" customHeight="true" outlineLevel="0" collapsed="false">
      <c r="A12" s="21" t="s">
        <v>59</v>
      </c>
      <c r="B12" s="21" t="s">
        <v>60</v>
      </c>
      <c r="C12" s="21" t="s">
        <v>26</v>
      </c>
      <c r="D12" s="21" t="n">
        <v>430</v>
      </c>
      <c r="E12" s="21" t="n">
        <v>60</v>
      </c>
      <c r="F12" s="22" t="n">
        <v>46221</v>
      </c>
      <c r="G12" s="21" t="n">
        <v>52</v>
      </c>
      <c r="H12" s="21" t="s">
        <v>50</v>
      </c>
    </row>
    <row r="13" customFormat="false" ht="15" hidden="false" customHeight="true" outlineLevel="0" collapsed="false">
      <c r="A13" s="21" t="s">
        <v>61</v>
      </c>
      <c r="B13" s="21" t="s">
        <v>44</v>
      </c>
      <c r="C13" s="21" t="s">
        <v>28</v>
      </c>
      <c r="D13" s="21" t="n">
        <v>878</v>
      </c>
      <c r="E13" s="21" t="n">
        <v>30</v>
      </c>
      <c r="F13" s="22" t="n">
        <v>46217</v>
      </c>
      <c r="G13" s="21" t="n">
        <v>56</v>
      </c>
      <c r="H13" s="21" t="s">
        <v>39</v>
      </c>
    </row>
    <row r="14" customFormat="false" ht="15" hidden="false" customHeight="true" outlineLevel="0" collapsed="false">
      <c r="A14" s="21" t="s">
        <v>62</v>
      </c>
      <c r="B14" s="21" t="s">
        <v>54</v>
      </c>
      <c r="C14" s="21" t="s">
        <v>26</v>
      </c>
      <c r="D14" s="21" t="n">
        <v>1104</v>
      </c>
      <c r="E14" s="21" t="n">
        <v>60</v>
      </c>
      <c r="F14" s="22" t="n">
        <v>46214</v>
      </c>
      <c r="G14" s="21" t="n">
        <v>46</v>
      </c>
      <c r="H14" s="21" t="s">
        <v>50</v>
      </c>
    </row>
    <row r="15" customFormat="false" ht="15" hidden="false" customHeight="true" outlineLevel="0" collapsed="false">
      <c r="A15" s="21" t="s">
        <v>63</v>
      </c>
      <c r="B15" s="21" t="s">
        <v>46</v>
      </c>
      <c r="C15" s="21" t="s">
        <v>27</v>
      </c>
      <c r="D15" s="21" t="n">
        <v>724</v>
      </c>
      <c r="E15" s="21" t="n">
        <v>20</v>
      </c>
      <c r="F15" s="22" t="n">
        <v>46209</v>
      </c>
      <c r="G15" s="21" t="n">
        <v>27</v>
      </c>
      <c r="H15" s="21"/>
    </row>
    <row r="16" customFormat="false" ht="15" hidden="false" customHeight="true" outlineLevel="0" collapsed="false">
      <c r="A16" s="21" t="s">
        <v>64</v>
      </c>
      <c r="B16" s="21" t="s">
        <v>41</v>
      </c>
      <c r="C16" s="21" t="s">
        <v>28</v>
      </c>
      <c r="D16" s="21" t="n">
        <v>185</v>
      </c>
      <c r="E16" s="21" t="n">
        <v>50</v>
      </c>
      <c r="F16" s="21" t="s">
        <v>65</v>
      </c>
      <c r="G16" s="21" t="n">
        <v>26</v>
      </c>
      <c r="H16" s="21" t="s">
        <v>42</v>
      </c>
    </row>
    <row r="17" customFormat="false" ht="15" hidden="false" customHeight="true" outlineLevel="0" collapsed="false">
      <c r="A17" s="21" t="s">
        <v>66</v>
      </c>
      <c r="B17" s="21" t="s">
        <v>44</v>
      </c>
      <c r="C17" s="21" t="s">
        <v>28</v>
      </c>
      <c r="D17" s="21" t="n">
        <v>832</v>
      </c>
      <c r="E17" s="21" t="n">
        <v>60</v>
      </c>
      <c r="F17" s="22" t="n">
        <v>46207</v>
      </c>
      <c r="G17" s="21" t="n">
        <v>61</v>
      </c>
      <c r="H17" s="21" t="s">
        <v>47</v>
      </c>
    </row>
    <row r="18" customFormat="false" ht="15" hidden="false" customHeight="true" outlineLevel="0" collapsed="false">
      <c r="A18" s="21" t="s">
        <v>67</v>
      </c>
      <c r="B18" s="21" t="s">
        <v>38</v>
      </c>
      <c r="C18" s="21" t="s">
        <v>27</v>
      </c>
      <c r="D18" s="21" t="n">
        <v>893</v>
      </c>
      <c r="E18" s="21" t="n">
        <v>40</v>
      </c>
      <c r="F18" s="22" t="n">
        <v>46228</v>
      </c>
      <c r="G18" s="21" t="n">
        <v>44</v>
      </c>
      <c r="H18" s="21" t="s">
        <v>42</v>
      </c>
    </row>
    <row r="19" customFormat="false" ht="15" hidden="false" customHeight="true" outlineLevel="0" collapsed="false">
      <c r="A19" s="21" t="s">
        <v>68</v>
      </c>
      <c r="B19" s="21" t="s">
        <v>69</v>
      </c>
      <c r="C19" s="21" t="s">
        <v>25</v>
      </c>
      <c r="D19" s="21" t="n">
        <v>683</v>
      </c>
      <c r="E19" s="21" t="n">
        <v>20</v>
      </c>
      <c r="F19" s="22" t="n">
        <v>46206</v>
      </c>
      <c r="G19" s="21" t="n">
        <v>32</v>
      </c>
      <c r="H19" s="21" t="s">
        <v>47</v>
      </c>
    </row>
    <row r="20" customFormat="false" ht="15" hidden="false" customHeight="true" outlineLevel="0" collapsed="false">
      <c r="A20" s="21" t="s">
        <v>70</v>
      </c>
      <c r="B20" s="21" t="s">
        <v>46</v>
      </c>
      <c r="C20" s="21" t="s">
        <v>27</v>
      </c>
      <c r="D20" s="21" t="n">
        <v>947</v>
      </c>
      <c r="E20" s="21" t="n">
        <v>30</v>
      </c>
      <c r="F20" s="22" t="n">
        <v>46205</v>
      </c>
      <c r="G20" s="21" t="n">
        <v>65</v>
      </c>
      <c r="H20" s="21"/>
    </row>
    <row r="21" customFormat="false" ht="15" hidden="false" customHeight="true" outlineLevel="0" collapsed="false">
      <c r="A21" s="21" t="s">
        <v>71</v>
      </c>
      <c r="B21" s="21" t="s">
        <v>44</v>
      </c>
      <c r="C21" s="21" t="s">
        <v>28</v>
      </c>
      <c r="D21" s="21" t="n">
        <v>1013</v>
      </c>
      <c r="E21" s="21" t="n">
        <v>30</v>
      </c>
      <c r="F21" s="22" t="n">
        <v>46204</v>
      </c>
      <c r="G21" s="21" t="n">
        <v>59</v>
      </c>
      <c r="H21" s="21" t="s">
        <v>39</v>
      </c>
    </row>
    <row r="22" customFormat="false" ht="15" hidden="false" customHeight="true" outlineLevel="0" collapsed="false">
      <c r="A22" s="21" t="s">
        <v>72</v>
      </c>
      <c r="B22" s="21" t="s">
        <v>41</v>
      </c>
      <c r="C22" s="21" t="s">
        <v>28</v>
      </c>
      <c r="D22" s="21" t="n">
        <v>1216</v>
      </c>
      <c r="E22" s="21" t="n">
        <v>50</v>
      </c>
      <c r="F22" s="22" t="n">
        <v>46211</v>
      </c>
      <c r="G22" s="21" t="n">
        <v>64</v>
      </c>
      <c r="H22" s="21" t="s">
        <v>47</v>
      </c>
    </row>
    <row r="23" customFormat="false" ht="15" hidden="false" customHeight="true" outlineLevel="0" collapsed="false">
      <c r="A23" s="21" t="s">
        <v>73</v>
      </c>
      <c r="B23" s="21" t="s">
        <v>38</v>
      </c>
      <c r="C23" s="21" t="s">
        <v>27</v>
      </c>
      <c r="D23" s="21" t="n">
        <v>321</v>
      </c>
      <c r="E23" s="21" t="n">
        <v>50</v>
      </c>
      <c r="F23" s="22" t="n">
        <v>46228</v>
      </c>
      <c r="G23" s="21" t="n">
        <v>48</v>
      </c>
      <c r="H23" s="21"/>
    </row>
    <row r="24" customFormat="false" ht="15" hidden="false" customHeight="true" outlineLevel="0" collapsed="false">
      <c r="A24" s="21" t="s">
        <v>74</v>
      </c>
      <c r="B24" s="21" t="s">
        <v>41</v>
      </c>
      <c r="C24" s="21" t="s">
        <v>28</v>
      </c>
      <c r="D24" s="21" t="n">
        <v>297</v>
      </c>
      <c r="E24" s="21" t="n">
        <v>40</v>
      </c>
      <c r="F24" s="22" t="n">
        <v>46231</v>
      </c>
      <c r="G24" s="21" t="n">
        <v>25</v>
      </c>
      <c r="H24" s="21" t="s">
        <v>39</v>
      </c>
    </row>
    <row r="25" customFormat="false" ht="15" hidden="false" customHeight="true" outlineLevel="0" collapsed="false">
      <c r="A25" s="21" t="s">
        <v>75</v>
      </c>
      <c r="B25" s="21" t="s">
        <v>69</v>
      </c>
      <c r="C25" s="21" t="s">
        <v>25</v>
      </c>
      <c r="D25" s="21" t="n">
        <v>251</v>
      </c>
      <c r="E25" s="21" t="n">
        <v>50</v>
      </c>
      <c r="F25" s="22" t="n">
        <v>46209</v>
      </c>
      <c r="G25" s="21" t="n">
        <v>37</v>
      </c>
      <c r="H25" s="21" t="s">
        <v>50</v>
      </c>
    </row>
    <row r="26" customFormat="false" ht="15" hidden="false" customHeight="true" outlineLevel="0" collapsed="false">
      <c r="A26" s="21" t="s">
        <v>76</v>
      </c>
      <c r="B26" s="21" t="s">
        <v>60</v>
      </c>
      <c r="C26" s="21" t="s">
        <v>26</v>
      </c>
      <c r="D26" s="21" t="n">
        <v>872</v>
      </c>
      <c r="E26" s="21" t="n">
        <v>70</v>
      </c>
      <c r="F26" s="22" t="n">
        <v>46208</v>
      </c>
      <c r="G26" s="21" t="n">
        <v>31</v>
      </c>
      <c r="H26" s="21"/>
    </row>
    <row r="27" customFormat="false" ht="15" hidden="false" customHeight="true" outlineLevel="0" collapsed="false">
      <c r="A27" s="21" t="s">
        <v>77</v>
      </c>
      <c r="B27" s="21" t="s">
        <v>41</v>
      </c>
      <c r="C27" s="21" t="s">
        <v>28</v>
      </c>
      <c r="D27" s="21" t="n">
        <v>281</v>
      </c>
      <c r="E27" s="21" t="n">
        <v>40</v>
      </c>
      <c r="F27" s="22" t="n">
        <v>46234</v>
      </c>
      <c r="G27" s="21" t="n">
        <v>30</v>
      </c>
      <c r="H27" s="21"/>
    </row>
    <row r="28" customFormat="false" ht="15" hidden="false" customHeight="true" outlineLevel="0" collapsed="false">
      <c r="A28" s="21" t="s">
        <v>78</v>
      </c>
      <c r="B28" s="21" t="s">
        <v>41</v>
      </c>
      <c r="C28" s="21" t="s">
        <v>28</v>
      </c>
      <c r="D28" s="21" t="n">
        <v>237</v>
      </c>
      <c r="E28" s="21" t="n">
        <v>30</v>
      </c>
      <c r="F28" s="22" t="n">
        <v>46229</v>
      </c>
      <c r="G28" s="21" t="n">
        <v>45</v>
      </c>
      <c r="H28" s="21" t="s">
        <v>47</v>
      </c>
    </row>
    <row r="29" customFormat="false" ht="15" hidden="false" customHeight="true" outlineLevel="0" collapsed="false">
      <c r="A29" s="21" t="s">
        <v>79</v>
      </c>
      <c r="B29" s="21" t="s">
        <v>54</v>
      </c>
      <c r="C29" s="21" t="s">
        <v>26</v>
      </c>
      <c r="D29" s="21" t="n">
        <v>1052</v>
      </c>
      <c r="E29" s="21" t="n">
        <v>50</v>
      </c>
      <c r="F29" s="22" t="n">
        <v>46232</v>
      </c>
      <c r="G29" s="21" t="n">
        <v>59</v>
      </c>
      <c r="H29" s="21" t="s">
        <v>50</v>
      </c>
    </row>
    <row r="30" customFormat="false" ht="15" hidden="false" customHeight="true" outlineLevel="0" collapsed="false">
      <c r="A30" s="21" t="s">
        <v>80</v>
      </c>
      <c r="B30" s="21" t="s">
        <v>69</v>
      </c>
      <c r="C30" s="21" t="s">
        <v>25</v>
      </c>
      <c r="D30" s="21" t="n">
        <v>464</v>
      </c>
      <c r="E30" s="21" t="n">
        <v>60</v>
      </c>
      <c r="F30" s="22" t="n">
        <v>46212</v>
      </c>
      <c r="G30" s="21" t="n">
        <v>59</v>
      </c>
      <c r="H30" s="21" t="s">
        <v>47</v>
      </c>
    </row>
    <row r="31" customFormat="false" ht="15" hidden="false" customHeight="true" outlineLevel="0" collapsed="false">
      <c r="A31" s="21" t="s">
        <v>81</v>
      </c>
      <c r="B31" s="21" t="s">
        <v>49</v>
      </c>
      <c r="C31" s="21" t="s">
        <v>25</v>
      </c>
      <c r="D31" s="21" t="n">
        <v>963</v>
      </c>
      <c r="E31" s="21" t="n">
        <v>70</v>
      </c>
      <c r="F31" s="22" t="n">
        <v>46234</v>
      </c>
      <c r="G31" s="21" t="n">
        <v>30</v>
      </c>
      <c r="H31" s="21"/>
    </row>
    <row r="32" customFormat="false" ht="15" hidden="false" customHeight="true" outlineLevel="0" collapsed="false">
      <c r="A32" s="21" t="s">
        <v>82</v>
      </c>
      <c r="B32" s="21" t="s">
        <v>49</v>
      </c>
      <c r="C32" s="21" t="s">
        <v>25</v>
      </c>
      <c r="D32" s="21" t="n">
        <v>721</v>
      </c>
      <c r="E32" s="21" t="n">
        <v>60</v>
      </c>
      <c r="F32" s="22" t="n">
        <v>46224</v>
      </c>
      <c r="G32" s="21" t="n">
        <v>42</v>
      </c>
      <c r="H32" s="21" t="s">
        <v>47</v>
      </c>
    </row>
    <row r="33" customFormat="false" ht="15" hidden="false" customHeight="true" outlineLevel="0" collapsed="false">
      <c r="A33" s="21" t="s">
        <v>83</v>
      </c>
      <c r="B33" s="21" t="s">
        <v>46</v>
      </c>
      <c r="C33" s="21" t="s">
        <v>27</v>
      </c>
      <c r="D33" s="21" t="n">
        <v>706</v>
      </c>
      <c r="E33" s="21" t="n">
        <v>70</v>
      </c>
      <c r="F33" s="22" t="n">
        <v>46228</v>
      </c>
      <c r="G33" s="21" t="n">
        <v>47</v>
      </c>
      <c r="H33" s="21" t="s">
        <v>47</v>
      </c>
    </row>
    <row r="34" customFormat="false" ht="15" hidden="false" customHeight="true" outlineLevel="0" collapsed="false">
      <c r="A34" s="21" t="s">
        <v>84</v>
      </c>
      <c r="B34" s="21" t="s">
        <v>38</v>
      </c>
      <c r="C34" s="21" t="s">
        <v>27</v>
      </c>
      <c r="D34" s="21" t="n">
        <v>470</v>
      </c>
      <c r="E34" s="21" t="n">
        <v>20</v>
      </c>
      <c r="F34" s="22" t="n">
        <v>46207</v>
      </c>
      <c r="G34" s="21" t="n">
        <v>47</v>
      </c>
      <c r="H34" s="21" t="s">
        <v>47</v>
      </c>
    </row>
    <row r="35" customFormat="false" ht="15" hidden="false" customHeight="true" outlineLevel="0" collapsed="false">
      <c r="A35" s="21" t="s">
        <v>85</v>
      </c>
      <c r="B35" s="21" t="s">
        <v>49</v>
      </c>
      <c r="C35" s="21" t="s">
        <v>25</v>
      </c>
      <c r="D35" s="21" t="n">
        <v>1095</v>
      </c>
      <c r="E35" s="21" t="n">
        <v>30</v>
      </c>
      <c r="F35" s="22" t="n">
        <v>46231</v>
      </c>
      <c r="G35" s="21" t="n">
        <v>26</v>
      </c>
      <c r="H35" s="21" t="s">
        <v>52</v>
      </c>
    </row>
    <row r="36" customFormat="false" ht="15" hidden="false" customHeight="true" outlineLevel="0" collapsed="false">
      <c r="A36" s="21" t="s">
        <v>86</v>
      </c>
      <c r="B36" s="21" t="s">
        <v>69</v>
      </c>
      <c r="C36" s="21" t="s">
        <v>25</v>
      </c>
      <c r="D36" s="21" t="n">
        <v>439</v>
      </c>
      <c r="E36" s="21" t="n">
        <v>40</v>
      </c>
      <c r="F36" s="22" t="n">
        <v>46234</v>
      </c>
      <c r="G36" s="21" t="n">
        <v>56</v>
      </c>
      <c r="H36" s="21" t="s">
        <v>39</v>
      </c>
    </row>
    <row r="37" customFormat="false" ht="15" hidden="false" customHeight="true" outlineLevel="0" collapsed="false">
      <c r="A37" s="21" t="s">
        <v>87</v>
      </c>
      <c r="B37" s="21" t="s">
        <v>46</v>
      </c>
      <c r="C37" s="21" t="s">
        <v>27</v>
      </c>
      <c r="D37" s="21" t="n">
        <v>1191</v>
      </c>
      <c r="E37" s="21" t="n">
        <v>30</v>
      </c>
      <c r="F37" s="22" t="n">
        <v>46209</v>
      </c>
      <c r="G37" s="21" t="n">
        <v>61</v>
      </c>
      <c r="H37" s="21" t="s">
        <v>47</v>
      </c>
    </row>
    <row r="38" customFormat="false" ht="15" hidden="false" customHeight="true" outlineLevel="0" collapsed="false">
      <c r="A38" s="21" t="s">
        <v>88</v>
      </c>
      <c r="B38" s="21" t="s">
        <v>38</v>
      </c>
      <c r="C38" s="21" t="s">
        <v>27</v>
      </c>
      <c r="D38" s="21" t="n">
        <v>953</v>
      </c>
      <c r="E38" s="21" t="n">
        <v>30</v>
      </c>
      <c r="F38" s="22" t="n">
        <v>46227</v>
      </c>
      <c r="G38" s="21" t="n">
        <v>67</v>
      </c>
      <c r="H38" s="21" t="s">
        <v>42</v>
      </c>
    </row>
    <row r="39" customFormat="false" ht="15" hidden="false" customHeight="true" outlineLevel="0" collapsed="false">
      <c r="A39" s="21" t="s">
        <v>89</v>
      </c>
      <c r="B39" s="21" t="s">
        <v>49</v>
      </c>
      <c r="C39" s="21" t="s">
        <v>25</v>
      </c>
      <c r="D39" s="21" t="n">
        <v>1213</v>
      </c>
      <c r="E39" s="21" t="n">
        <v>70</v>
      </c>
      <c r="F39" s="22" t="n">
        <v>46229</v>
      </c>
      <c r="G39" s="21" t="n">
        <v>25</v>
      </c>
      <c r="H39" s="21" t="s">
        <v>52</v>
      </c>
    </row>
    <row r="40" customFormat="false" ht="15" hidden="false" customHeight="true" outlineLevel="0" collapsed="false">
      <c r="A40" s="21" t="s">
        <v>90</v>
      </c>
      <c r="B40" s="21" t="s">
        <v>46</v>
      </c>
      <c r="C40" s="21" t="s">
        <v>27</v>
      </c>
      <c r="D40" s="21" t="n">
        <v>1130</v>
      </c>
      <c r="E40" s="21" t="n">
        <v>20</v>
      </c>
      <c r="F40" s="22" t="n">
        <v>46228</v>
      </c>
      <c r="G40" s="21" t="n">
        <v>47</v>
      </c>
      <c r="H40" s="21" t="s">
        <v>42</v>
      </c>
    </row>
    <row r="41" customFormat="false" ht="15" hidden="false" customHeight="true" outlineLevel="0" collapsed="false">
      <c r="A41" s="21" t="s">
        <v>91</v>
      </c>
      <c r="B41" s="21" t="s">
        <v>38</v>
      </c>
      <c r="C41" s="21" t="s">
        <v>27</v>
      </c>
      <c r="D41" s="21" t="n">
        <v>657</v>
      </c>
      <c r="E41" s="21" t="n">
        <v>40</v>
      </c>
      <c r="F41" s="22" t="n">
        <v>46223</v>
      </c>
      <c r="G41" s="21" t="n">
        <v>66</v>
      </c>
      <c r="H41" s="21" t="s">
        <v>39</v>
      </c>
    </row>
    <row r="42" customFormat="false" ht="15" hidden="false" customHeight="true" outlineLevel="0" collapsed="false">
      <c r="A42" s="21" t="s">
        <v>48</v>
      </c>
      <c r="B42" s="21" t="s">
        <v>49</v>
      </c>
      <c r="C42" s="21" t="s">
        <v>25</v>
      </c>
      <c r="D42" s="21" t="n">
        <v>1074</v>
      </c>
      <c r="E42" s="21" t="n">
        <v>70</v>
      </c>
      <c r="F42" s="22" t="n">
        <v>46223</v>
      </c>
      <c r="G42" s="21" t="n">
        <v>48</v>
      </c>
      <c r="H42" s="2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5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0" t="s">
        <v>31</v>
      </c>
      <c r="B1" s="20" t="s">
        <v>92</v>
      </c>
      <c r="C1" s="20" t="s">
        <v>23</v>
      </c>
    </row>
    <row r="2" customFormat="false" ht="15" hidden="false" customHeight="true" outlineLevel="0" collapsed="false">
      <c r="A2" s="21" t="s">
        <v>49</v>
      </c>
      <c r="B2" s="21" t="s">
        <v>93</v>
      </c>
      <c r="C2" s="21" t="s">
        <v>25</v>
      </c>
    </row>
    <row r="3" customFormat="false" ht="15" hidden="false" customHeight="true" outlineLevel="0" collapsed="false">
      <c r="A3" s="21" t="s">
        <v>60</v>
      </c>
      <c r="B3" s="21" t="s">
        <v>94</v>
      </c>
      <c r="C3" s="21" t="s">
        <v>26</v>
      </c>
    </row>
    <row r="4" customFormat="false" ht="15" hidden="false" customHeight="true" outlineLevel="0" collapsed="false">
      <c r="A4" s="21" t="s">
        <v>38</v>
      </c>
      <c r="B4" s="21" t="s">
        <v>95</v>
      </c>
      <c r="C4" s="21" t="s">
        <v>27</v>
      </c>
    </row>
    <row r="5" customFormat="false" ht="15" hidden="false" customHeight="true" outlineLevel="0" collapsed="false">
      <c r="A5" s="21" t="s">
        <v>44</v>
      </c>
      <c r="B5" s="21" t="s">
        <v>96</v>
      </c>
      <c r="C5" s="21" t="s">
        <v>28</v>
      </c>
    </row>
    <row r="6" customFormat="false" ht="15" hidden="false" customHeight="true" outlineLevel="0" collapsed="false">
      <c r="A6" s="21" t="s">
        <v>69</v>
      </c>
      <c r="B6" s="21" t="s">
        <v>97</v>
      </c>
      <c r="C6" s="21" t="s">
        <v>25</v>
      </c>
    </row>
    <row r="7" customFormat="false" ht="15" hidden="false" customHeight="true" outlineLevel="0" collapsed="false">
      <c r="A7" s="21" t="s">
        <v>54</v>
      </c>
      <c r="B7" s="21" t="s">
        <v>98</v>
      </c>
      <c r="C7" s="21" t="s">
        <v>26</v>
      </c>
    </row>
    <row r="8" customFormat="false" ht="15" hidden="false" customHeight="true" outlineLevel="0" collapsed="false">
      <c r="A8" s="21" t="s">
        <v>46</v>
      </c>
      <c r="B8" s="21" t="s">
        <v>99</v>
      </c>
      <c r="C8" s="21" t="s">
        <v>27</v>
      </c>
    </row>
    <row r="9" customFormat="false" ht="15" hidden="false" customHeight="true" outlineLevel="0" collapsed="false">
      <c r="A9" s="21" t="s">
        <v>41</v>
      </c>
      <c r="B9" s="21" t="s">
        <v>100</v>
      </c>
      <c r="C9" s="2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5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8" min="7" style="1" width="20"/>
    <col collapsed="false" customWidth="true" hidden="false" outlineLevel="0" max="9" min="9" style="1" width="25"/>
    <col collapsed="false" customWidth="true" hidden="false" outlineLevel="0" max="10" min="10" style="1" width="16"/>
  </cols>
  <sheetData>
    <row r="1" customFormat="false" ht="15" hidden="false" customHeight="true" outlineLevel="0" collapsed="false">
      <c r="A1" s="20" t="s">
        <v>30</v>
      </c>
      <c r="B1" s="20" t="s">
        <v>31</v>
      </c>
      <c r="C1" s="20" t="s">
        <v>23</v>
      </c>
      <c r="D1" s="20" t="s">
        <v>32</v>
      </c>
      <c r="E1" s="20" t="s">
        <v>33</v>
      </c>
      <c r="F1" s="20" t="s">
        <v>34</v>
      </c>
      <c r="G1" s="20" t="s">
        <v>35</v>
      </c>
      <c r="H1" s="20" t="s">
        <v>36</v>
      </c>
      <c r="I1" s="20" t="s">
        <v>92</v>
      </c>
      <c r="J1" s="20" t="s">
        <v>101</v>
      </c>
    </row>
    <row r="2" customFormat="false" ht="15" hidden="false" customHeight="true" outlineLevel="0" collapsed="false">
      <c r="A2" s="21" t="s">
        <v>37</v>
      </c>
      <c r="B2" s="21" t="s">
        <v>38</v>
      </c>
      <c r="C2" s="21" t="s">
        <v>27</v>
      </c>
      <c r="D2" s="21" t="n">
        <v>1036</v>
      </c>
      <c r="E2" s="21" t="n">
        <v>70</v>
      </c>
      <c r="F2" s="23" t="n">
        <v>46224</v>
      </c>
      <c r="G2" s="21" t="n">
        <v>48</v>
      </c>
      <c r="H2" s="21" t="s">
        <v>39</v>
      </c>
      <c r="I2" s="21" t="str">
        <f aca="false">IFERROR(VLOOKUP(B2,Restaurant_Details!$A$2:$C$9,2,FALSE()),"Not Found")</f>
        <v>Pizza Corner</v>
      </c>
      <c r="J2" s="21" t="str">
        <f aca="false">TEXT(F2,"dddd")</f>
        <v>Tuesday</v>
      </c>
    </row>
    <row r="3" customFormat="false" ht="15" hidden="false" customHeight="true" outlineLevel="0" collapsed="false">
      <c r="A3" s="21" t="s">
        <v>40</v>
      </c>
      <c r="B3" s="21" t="s">
        <v>41</v>
      </c>
      <c r="C3" s="21" t="s">
        <v>28</v>
      </c>
      <c r="D3" s="21" t="n">
        <v>622</v>
      </c>
      <c r="E3" s="21" t="n">
        <v>50</v>
      </c>
      <c r="F3" s="23" t="n">
        <v>46209</v>
      </c>
      <c r="G3" s="21" t="n">
        <v>54</v>
      </c>
      <c r="H3" s="21" t="s">
        <v>42</v>
      </c>
      <c r="I3" s="21" t="str">
        <f aca="false">IFERROR(VLOOKUP(B3,Restaurant_Details!$A$2:$C$9,2,FALSE()),"Not Found")</f>
        <v>Dosa Junction</v>
      </c>
      <c r="J3" s="21" t="str">
        <f aca="false">TEXT(F3,"dddd")</f>
        <v>Monday</v>
      </c>
    </row>
    <row r="4" customFormat="false" ht="15" hidden="false" customHeight="true" outlineLevel="0" collapsed="false">
      <c r="A4" s="21" t="s">
        <v>43</v>
      </c>
      <c r="B4" s="21" t="s">
        <v>44</v>
      </c>
      <c r="C4" s="21" t="s">
        <v>28</v>
      </c>
      <c r="D4" s="21" t="n">
        <v>186</v>
      </c>
      <c r="E4" s="21" t="n">
        <v>20</v>
      </c>
      <c r="F4" s="23" t="n">
        <v>46233</v>
      </c>
      <c r="G4" s="21" t="n">
        <v>45</v>
      </c>
      <c r="H4" s="21" t="s">
        <v>42</v>
      </c>
      <c r="I4" s="21" t="str">
        <f aca="false">IFERROR(VLOOKUP(B4,Restaurant_Details!$A$2:$C$9,2,FALSE()),"Not Found")</f>
        <v>Biryani House</v>
      </c>
      <c r="J4" s="21" t="str">
        <f aca="false">TEXT(F4,"dddd")</f>
        <v>Thursday</v>
      </c>
    </row>
    <row r="5" customFormat="false" ht="15" hidden="false" customHeight="true" outlineLevel="0" collapsed="false">
      <c r="A5" s="21" t="s">
        <v>45</v>
      </c>
      <c r="B5" s="21" t="s">
        <v>46</v>
      </c>
      <c r="C5" s="21" t="s">
        <v>27</v>
      </c>
      <c r="D5" s="21" t="n">
        <v>321</v>
      </c>
      <c r="E5" s="21" t="n">
        <v>30</v>
      </c>
      <c r="F5" s="23" t="n">
        <v>46233</v>
      </c>
      <c r="G5" s="21" t="n">
        <v>36</v>
      </c>
      <c r="H5" s="21" t="s">
        <v>47</v>
      </c>
      <c r="I5" s="21" t="str">
        <f aca="false">IFERROR(VLOOKUP(B5,Restaurant_Details!$A$2:$C$9,2,FALSE()),"Not Found")</f>
        <v>Pasta Street</v>
      </c>
      <c r="J5" s="21" t="str">
        <f aca="false">TEXT(F5,"dddd")</f>
        <v>Thursday</v>
      </c>
    </row>
    <row r="6" customFormat="false" ht="15" hidden="false" customHeight="true" outlineLevel="0" collapsed="false">
      <c r="A6" s="21" t="s">
        <v>48</v>
      </c>
      <c r="B6" s="21" t="s">
        <v>49</v>
      </c>
      <c r="C6" s="21" t="s">
        <v>25</v>
      </c>
      <c r="D6" s="21" t="n">
        <v>1074</v>
      </c>
      <c r="E6" s="21" t="n">
        <v>70</v>
      </c>
      <c r="F6" s="23" t="n">
        <v>46223</v>
      </c>
      <c r="G6" s="21" t="n">
        <v>48</v>
      </c>
      <c r="H6" s="21" t="s">
        <v>50</v>
      </c>
      <c r="I6" s="21" t="str">
        <f aca="false">IFERROR(VLOOKUP(B6,Restaurant_Details!$A$2:$C$9,2,FALSE()),"Not Found")</f>
        <v>Spice Hub</v>
      </c>
      <c r="J6" s="21" t="str">
        <f aca="false">TEXT(F6,"dddd")</f>
        <v>Monday</v>
      </c>
    </row>
    <row r="7" customFormat="false" ht="15" hidden="false" customHeight="true" outlineLevel="0" collapsed="false">
      <c r="A7" s="21" t="s">
        <v>51</v>
      </c>
      <c r="B7" s="21" t="s">
        <v>49</v>
      </c>
      <c r="C7" s="21" t="s">
        <v>25</v>
      </c>
      <c r="D7" s="21" t="n">
        <v>853</v>
      </c>
      <c r="E7" s="21" t="n">
        <v>60</v>
      </c>
      <c r="F7" s="23" t="n">
        <v>46226</v>
      </c>
      <c r="G7" s="21" t="n">
        <v>53</v>
      </c>
      <c r="H7" s="21" t="s">
        <v>52</v>
      </c>
      <c r="I7" s="21" t="str">
        <f aca="false">IFERROR(VLOOKUP(B7,Restaurant_Details!$A$2:$C$9,2,FALSE()),"Not Found")</f>
        <v>Spice Hub</v>
      </c>
      <c r="J7" s="21" t="str">
        <f aca="false">TEXT(F7,"dddd")</f>
        <v>Thursday</v>
      </c>
    </row>
    <row r="8" customFormat="false" ht="15" hidden="false" customHeight="true" outlineLevel="0" collapsed="false">
      <c r="A8" s="21" t="s">
        <v>53</v>
      </c>
      <c r="B8" s="21" t="s">
        <v>54</v>
      </c>
      <c r="C8" s="21" t="s">
        <v>26</v>
      </c>
      <c r="D8" s="21" t="n">
        <v>227</v>
      </c>
      <c r="E8" s="21" t="n">
        <v>30</v>
      </c>
      <c r="F8" s="23" t="n">
        <v>46207</v>
      </c>
      <c r="G8" s="21" t="n">
        <v>27</v>
      </c>
      <c r="H8" s="21" t="s">
        <v>52</v>
      </c>
      <c r="I8" s="21" t="str">
        <f aca="false">IFERROR(VLOOKUP(B8,Restaurant_Details!$A$2:$C$9,2,FALSE()),"Not Found")</f>
        <v>Dragon Wok</v>
      </c>
      <c r="J8" s="21" t="str">
        <f aca="false">TEXT(F8,"dddd")</f>
        <v>Saturday</v>
      </c>
    </row>
    <row r="9" customFormat="false" ht="15" hidden="false" customHeight="true" outlineLevel="0" collapsed="false">
      <c r="A9" s="21" t="s">
        <v>55</v>
      </c>
      <c r="B9" s="21" t="s">
        <v>41</v>
      </c>
      <c r="C9" s="21" t="s">
        <v>28</v>
      </c>
      <c r="D9" s="21" t="n">
        <v>509</v>
      </c>
      <c r="E9" s="21" t="n">
        <v>60</v>
      </c>
      <c r="F9" s="23" t="n">
        <v>46214</v>
      </c>
      <c r="G9" s="21" t="n">
        <v>68</v>
      </c>
      <c r="H9" s="21" t="s">
        <v>50</v>
      </c>
      <c r="I9" s="21" t="str">
        <f aca="false">IFERROR(VLOOKUP(B9,Restaurant_Details!$A$2:$C$9,2,FALSE()),"Not Found")</f>
        <v>Dosa Junction</v>
      </c>
      <c r="J9" s="21" t="str">
        <f aca="false">TEXT(F9,"dddd")</f>
        <v>Saturday</v>
      </c>
    </row>
    <row r="10" customFormat="false" ht="15" hidden="false" customHeight="true" outlineLevel="0" collapsed="false">
      <c r="A10" s="21" t="s">
        <v>56</v>
      </c>
      <c r="B10" s="21" t="s">
        <v>41</v>
      </c>
      <c r="C10" s="21" t="s">
        <v>28</v>
      </c>
      <c r="D10" s="21" t="n">
        <v>489</v>
      </c>
      <c r="E10" s="21" t="n">
        <v>30</v>
      </c>
      <c r="F10" s="23" t="n">
        <v>46205</v>
      </c>
      <c r="G10" s="21" t="n">
        <v>64</v>
      </c>
      <c r="H10" s="21" t="s">
        <v>50</v>
      </c>
      <c r="I10" s="21" t="str">
        <f aca="false">IFERROR(VLOOKUP(B10,Restaurant_Details!$A$2:$C$9,2,FALSE()),"Not Found")</f>
        <v>Dosa Junction</v>
      </c>
      <c r="J10" s="21" t="str">
        <f aca="false">TEXT(F10,"dddd")</f>
        <v>Thursday</v>
      </c>
    </row>
    <row r="11" customFormat="false" ht="15" hidden="false" customHeight="true" outlineLevel="0" collapsed="false">
      <c r="A11" s="21" t="s">
        <v>58</v>
      </c>
      <c r="B11" s="21" t="s">
        <v>44</v>
      </c>
      <c r="C11" s="21" t="s">
        <v>28</v>
      </c>
      <c r="D11" s="21" t="n">
        <v>332</v>
      </c>
      <c r="E11" s="21" t="n">
        <v>30</v>
      </c>
      <c r="F11" s="23" t="n">
        <v>46225</v>
      </c>
      <c r="G11" s="21" t="n">
        <v>35</v>
      </c>
      <c r="H11" s="21" t="s">
        <v>102</v>
      </c>
      <c r="I11" s="21" t="str">
        <f aca="false">IFERROR(VLOOKUP(B11,Restaurant_Details!$A$2:$C$9,2,FALSE()),"Not Found")</f>
        <v>Biryani House</v>
      </c>
      <c r="J11" s="21" t="str">
        <f aca="false">TEXT(F11,"dddd")</f>
        <v>Wednesday</v>
      </c>
    </row>
    <row r="12" customFormat="false" ht="15" hidden="false" customHeight="true" outlineLevel="0" collapsed="false">
      <c r="A12" s="21" t="s">
        <v>59</v>
      </c>
      <c r="B12" s="21" t="s">
        <v>60</v>
      </c>
      <c r="C12" s="21" t="s">
        <v>26</v>
      </c>
      <c r="D12" s="21" t="n">
        <v>430</v>
      </c>
      <c r="E12" s="21" t="n">
        <v>60</v>
      </c>
      <c r="F12" s="23" t="n">
        <v>46221</v>
      </c>
      <c r="G12" s="21" t="n">
        <v>52</v>
      </c>
      <c r="H12" s="21" t="s">
        <v>50</v>
      </c>
      <c r="I12" s="21" t="str">
        <f aca="false">IFERROR(VLOOKUP(B12,Restaurant_Details!$A$2:$C$9,2,FALSE()),"Not Found")</f>
        <v>Food Palace</v>
      </c>
      <c r="J12" s="21" t="str">
        <f aca="false">TEXT(F12,"dddd")</f>
        <v>Saturday</v>
      </c>
    </row>
    <row r="13" customFormat="false" ht="15" hidden="false" customHeight="true" outlineLevel="0" collapsed="false">
      <c r="A13" s="21" t="s">
        <v>61</v>
      </c>
      <c r="B13" s="21" t="s">
        <v>44</v>
      </c>
      <c r="C13" s="21" t="s">
        <v>28</v>
      </c>
      <c r="D13" s="21" t="n">
        <v>878</v>
      </c>
      <c r="E13" s="21" t="n">
        <v>30</v>
      </c>
      <c r="F13" s="23" t="n">
        <v>46217</v>
      </c>
      <c r="G13" s="21" t="n">
        <v>56</v>
      </c>
      <c r="H13" s="21" t="s">
        <v>39</v>
      </c>
      <c r="I13" s="21" t="str">
        <f aca="false">IFERROR(VLOOKUP(B13,Restaurant_Details!$A$2:$C$9,2,FALSE()),"Not Found")</f>
        <v>Biryani House</v>
      </c>
      <c r="J13" s="21" t="str">
        <f aca="false">TEXT(F13,"dddd")</f>
        <v>Tuesday</v>
      </c>
    </row>
    <row r="14" customFormat="false" ht="15" hidden="false" customHeight="true" outlineLevel="0" collapsed="false">
      <c r="A14" s="21" t="s">
        <v>62</v>
      </c>
      <c r="B14" s="21" t="s">
        <v>54</v>
      </c>
      <c r="C14" s="21" t="s">
        <v>26</v>
      </c>
      <c r="D14" s="21" t="n">
        <v>1104</v>
      </c>
      <c r="E14" s="21" t="n">
        <v>60</v>
      </c>
      <c r="F14" s="23" t="n">
        <v>46214</v>
      </c>
      <c r="G14" s="21" t="n">
        <v>46</v>
      </c>
      <c r="H14" s="21" t="s">
        <v>50</v>
      </c>
      <c r="I14" s="21" t="str">
        <f aca="false">IFERROR(VLOOKUP(B14,Restaurant_Details!$A$2:$C$9,2,FALSE()),"Not Found")</f>
        <v>Dragon Wok</v>
      </c>
      <c r="J14" s="21" t="str">
        <f aca="false">TEXT(F14,"dddd")</f>
        <v>Saturday</v>
      </c>
    </row>
    <row r="15" customFormat="false" ht="15" hidden="false" customHeight="true" outlineLevel="0" collapsed="false">
      <c r="A15" s="21" t="s">
        <v>63</v>
      </c>
      <c r="B15" s="21" t="s">
        <v>46</v>
      </c>
      <c r="C15" s="21" t="s">
        <v>27</v>
      </c>
      <c r="D15" s="21" t="n">
        <v>724</v>
      </c>
      <c r="E15" s="21" t="n">
        <v>20</v>
      </c>
      <c r="F15" s="23" t="n">
        <v>46209</v>
      </c>
      <c r="G15" s="21" t="n">
        <v>27</v>
      </c>
      <c r="H15" s="21" t="s">
        <v>102</v>
      </c>
      <c r="I15" s="21" t="str">
        <f aca="false">IFERROR(VLOOKUP(B15,Restaurant_Details!$A$2:$C$9,2,FALSE()),"Not Found")</f>
        <v>Pasta Street</v>
      </c>
      <c r="J15" s="21" t="str">
        <f aca="false">TEXT(F15,"dddd")</f>
        <v>Monday</v>
      </c>
    </row>
    <row r="16" customFormat="false" ht="15" hidden="false" customHeight="true" outlineLevel="0" collapsed="false">
      <c r="A16" s="21" t="s">
        <v>64</v>
      </c>
      <c r="B16" s="21" t="s">
        <v>41</v>
      </c>
      <c r="C16" s="21" t="s">
        <v>28</v>
      </c>
      <c r="D16" s="21" t="n">
        <v>185</v>
      </c>
      <c r="E16" s="21" t="n">
        <v>50</v>
      </c>
      <c r="F16" s="23" t="n">
        <v>46221</v>
      </c>
      <c r="G16" s="21" t="n">
        <v>26</v>
      </c>
      <c r="H16" s="21" t="s">
        <v>42</v>
      </c>
      <c r="I16" s="21" t="str">
        <f aca="false">IFERROR(VLOOKUP(B16,Restaurant_Details!$A$2:$C$9,2,FALSE()),"Not Found")</f>
        <v>Dosa Junction</v>
      </c>
      <c r="J16" s="21" t="str">
        <f aca="false">TEXT(F16,"dddd")</f>
        <v>Saturday</v>
      </c>
    </row>
    <row r="17" customFormat="false" ht="15" hidden="false" customHeight="true" outlineLevel="0" collapsed="false">
      <c r="A17" s="21" t="s">
        <v>66</v>
      </c>
      <c r="B17" s="21" t="s">
        <v>44</v>
      </c>
      <c r="C17" s="21" t="s">
        <v>28</v>
      </c>
      <c r="D17" s="21" t="n">
        <v>832</v>
      </c>
      <c r="E17" s="21" t="n">
        <v>60</v>
      </c>
      <c r="F17" s="23" t="n">
        <v>46207</v>
      </c>
      <c r="G17" s="21" t="n">
        <v>61</v>
      </c>
      <c r="H17" s="21" t="s">
        <v>47</v>
      </c>
      <c r="I17" s="21" t="str">
        <f aca="false">IFERROR(VLOOKUP(B17,Restaurant_Details!$A$2:$C$9,2,FALSE()),"Not Found")</f>
        <v>Biryani House</v>
      </c>
      <c r="J17" s="21" t="str">
        <f aca="false">TEXT(F17,"dddd")</f>
        <v>Saturday</v>
      </c>
    </row>
    <row r="18" customFormat="false" ht="15" hidden="false" customHeight="true" outlineLevel="0" collapsed="false">
      <c r="A18" s="21" t="s">
        <v>67</v>
      </c>
      <c r="B18" s="21" t="s">
        <v>38</v>
      </c>
      <c r="C18" s="21" t="s">
        <v>27</v>
      </c>
      <c r="D18" s="21" t="n">
        <v>893</v>
      </c>
      <c r="E18" s="21" t="n">
        <v>40</v>
      </c>
      <c r="F18" s="23" t="n">
        <v>46228</v>
      </c>
      <c r="G18" s="21" t="n">
        <v>44</v>
      </c>
      <c r="H18" s="21" t="s">
        <v>42</v>
      </c>
      <c r="I18" s="21" t="str">
        <f aca="false">IFERROR(VLOOKUP(B18,Restaurant_Details!$A$2:$C$9,2,FALSE()),"Not Found")</f>
        <v>Pizza Corner</v>
      </c>
      <c r="J18" s="21" t="str">
        <f aca="false">TEXT(F18,"dddd")</f>
        <v>Saturday</v>
      </c>
    </row>
    <row r="19" customFormat="false" ht="15" hidden="false" customHeight="true" outlineLevel="0" collapsed="false">
      <c r="A19" s="21" t="s">
        <v>68</v>
      </c>
      <c r="B19" s="21" t="s">
        <v>69</v>
      </c>
      <c r="C19" s="21" t="s">
        <v>25</v>
      </c>
      <c r="D19" s="21" t="n">
        <v>683</v>
      </c>
      <c r="E19" s="21" t="n">
        <v>20</v>
      </c>
      <c r="F19" s="23" t="n">
        <v>46206</v>
      </c>
      <c r="G19" s="21" t="n">
        <v>32</v>
      </c>
      <c r="H19" s="21" t="s">
        <v>47</v>
      </c>
      <c r="I19" s="21" t="str">
        <f aca="false">IFERROR(VLOOKUP(B19,Restaurant_Details!$A$2:$C$9,2,FALSE()),"Not Found")</f>
        <v>Tandoori Tales</v>
      </c>
      <c r="J19" s="21" t="str">
        <f aca="false">TEXT(F19,"dddd")</f>
        <v>Friday</v>
      </c>
    </row>
    <row r="20" customFormat="false" ht="15" hidden="false" customHeight="true" outlineLevel="0" collapsed="false">
      <c r="A20" s="21" t="s">
        <v>70</v>
      </c>
      <c r="B20" s="21" t="s">
        <v>46</v>
      </c>
      <c r="C20" s="21" t="s">
        <v>27</v>
      </c>
      <c r="D20" s="21" t="n">
        <v>947</v>
      </c>
      <c r="E20" s="21" t="n">
        <v>30</v>
      </c>
      <c r="F20" s="23" t="n">
        <v>46205</v>
      </c>
      <c r="G20" s="21" t="n">
        <v>65</v>
      </c>
      <c r="H20" s="21" t="s">
        <v>102</v>
      </c>
      <c r="I20" s="21" t="str">
        <f aca="false">IFERROR(VLOOKUP(B20,Restaurant_Details!$A$2:$C$9,2,FALSE()),"Not Found")</f>
        <v>Pasta Street</v>
      </c>
      <c r="J20" s="21" t="str">
        <f aca="false">TEXT(F20,"dddd")</f>
        <v>Thursday</v>
      </c>
    </row>
    <row r="21" customFormat="false" ht="15" hidden="false" customHeight="true" outlineLevel="0" collapsed="false">
      <c r="A21" s="21" t="s">
        <v>71</v>
      </c>
      <c r="B21" s="21" t="s">
        <v>44</v>
      </c>
      <c r="C21" s="21" t="s">
        <v>28</v>
      </c>
      <c r="D21" s="21" t="n">
        <v>1013</v>
      </c>
      <c r="E21" s="21" t="n">
        <v>30</v>
      </c>
      <c r="F21" s="23" t="n">
        <v>46204</v>
      </c>
      <c r="G21" s="21" t="n">
        <v>59</v>
      </c>
      <c r="H21" s="21" t="s">
        <v>39</v>
      </c>
      <c r="I21" s="21" t="str">
        <f aca="false">IFERROR(VLOOKUP(B21,Restaurant_Details!$A$2:$C$9,2,FALSE()),"Not Found")</f>
        <v>Biryani House</v>
      </c>
      <c r="J21" s="21" t="str">
        <f aca="false">TEXT(F21,"dddd")</f>
        <v>Wednesday</v>
      </c>
    </row>
    <row r="22" customFormat="false" ht="15" hidden="false" customHeight="true" outlineLevel="0" collapsed="false">
      <c r="A22" s="21" t="s">
        <v>72</v>
      </c>
      <c r="B22" s="21" t="s">
        <v>41</v>
      </c>
      <c r="C22" s="21" t="s">
        <v>28</v>
      </c>
      <c r="D22" s="21" t="n">
        <v>1216</v>
      </c>
      <c r="E22" s="21" t="n">
        <v>50</v>
      </c>
      <c r="F22" s="23" t="n">
        <v>46211</v>
      </c>
      <c r="G22" s="21" t="n">
        <v>64</v>
      </c>
      <c r="H22" s="21" t="s">
        <v>47</v>
      </c>
      <c r="I22" s="21" t="str">
        <f aca="false">IFERROR(VLOOKUP(B22,Restaurant_Details!$A$2:$C$9,2,FALSE()),"Not Found")</f>
        <v>Dosa Junction</v>
      </c>
      <c r="J22" s="21" t="str">
        <f aca="false">TEXT(F22,"dddd")</f>
        <v>Wednesday</v>
      </c>
    </row>
    <row r="23" customFormat="false" ht="15" hidden="false" customHeight="true" outlineLevel="0" collapsed="false">
      <c r="A23" s="21" t="s">
        <v>73</v>
      </c>
      <c r="B23" s="21" t="s">
        <v>38</v>
      </c>
      <c r="C23" s="21" t="s">
        <v>27</v>
      </c>
      <c r="D23" s="21" t="n">
        <v>321</v>
      </c>
      <c r="E23" s="21" t="n">
        <v>50</v>
      </c>
      <c r="F23" s="23" t="n">
        <v>46228</v>
      </c>
      <c r="G23" s="21" t="n">
        <v>48</v>
      </c>
      <c r="H23" s="21" t="s">
        <v>102</v>
      </c>
      <c r="I23" s="21" t="str">
        <f aca="false">IFERROR(VLOOKUP(B23,Restaurant_Details!$A$2:$C$9,2,FALSE()),"Not Found")</f>
        <v>Pizza Corner</v>
      </c>
      <c r="J23" s="21" t="str">
        <f aca="false">TEXT(F23,"dddd")</f>
        <v>Saturday</v>
      </c>
    </row>
    <row r="24" customFormat="false" ht="15" hidden="false" customHeight="true" outlineLevel="0" collapsed="false">
      <c r="A24" s="21" t="s">
        <v>74</v>
      </c>
      <c r="B24" s="21" t="s">
        <v>41</v>
      </c>
      <c r="C24" s="21" t="s">
        <v>28</v>
      </c>
      <c r="D24" s="21" t="n">
        <v>297</v>
      </c>
      <c r="E24" s="21" t="n">
        <v>40</v>
      </c>
      <c r="F24" s="23" t="n">
        <v>46231</v>
      </c>
      <c r="G24" s="21" t="n">
        <v>25</v>
      </c>
      <c r="H24" s="21" t="s">
        <v>39</v>
      </c>
      <c r="I24" s="21" t="str">
        <f aca="false">IFERROR(VLOOKUP(B24,Restaurant_Details!$A$2:$C$9,2,FALSE()),"Not Found")</f>
        <v>Dosa Junction</v>
      </c>
      <c r="J24" s="21" t="str">
        <f aca="false">TEXT(F24,"dddd")</f>
        <v>Tuesday</v>
      </c>
    </row>
    <row r="25" customFormat="false" ht="15" hidden="false" customHeight="true" outlineLevel="0" collapsed="false">
      <c r="A25" s="21" t="s">
        <v>75</v>
      </c>
      <c r="B25" s="21" t="s">
        <v>69</v>
      </c>
      <c r="C25" s="21" t="s">
        <v>25</v>
      </c>
      <c r="D25" s="21" t="n">
        <v>251</v>
      </c>
      <c r="E25" s="21" t="n">
        <v>50</v>
      </c>
      <c r="F25" s="23" t="n">
        <v>46209</v>
      </c>
      <c r="G25" s="21" t="n">
        <v>37</v>
      </c>
      <c r="H25" s="21" t="s">
        <v>50</v>
      </c>
      <c r="I25" s="21" t="str">
        <f aca="false">IFERROR(VLOOKUP(B25,Restaurant_Details!$A$2:$C$9,2,FALSE()),"Not Found")</f>
        <v>Tandoori Tales</v>
      </c>
      <c r="J25" s="21" t="str">
        <f aca="false">TEXT(F25,"dddd")</f>
        <v>Monday</v>
      </c>
    </row>
    <row r="26" customFormat="false" ht="15" hidden="false" customHeight="true" outlineLevel="0" collapsed="false">
      <c r="A26" s="21" t="s">
        <v>76</v>
      </c>
      <c r="B26" s="21" t="s">
        <v>60</v>
      </c>
      <c r="C26" s="21" t="s">
        <v>26</v>
      </c>
      <c r="D26" s="21" t="n">
        <v>872</v>
      </c>
      <c r="E26" s="21" t="n">
        <v>70</v>
      </c>
      <c r="F26" s="23" t="n">
        <v>46208</v>
      </c>
      <c r="G26" s="21" t="n">
        <v>31</v>
      </c>
      <c r="H26" s="21" t="s">
        <v>102</v>
      </c>
      <c r="I26" s="21" t="str">
        <f aca="false">IFERROR(VLOOKUP(B26,Restaurant_Details!$A$2:$C$9,2,FALSE()),"Not Found")</f>
        <v>Food Palace</v>
      </c>
      <c r="J26" s="21" t="str">
        <f aca="false">TEXT(F26,"dddd")</f>
        <v>Sunday</v>
      </c>
    </row>
    <row r="27" customFormat="false" ht="15" hidden="false" customHeight="true" outlineLevel="0" collapsed="false">
      <c r="A27" s="21" t="s">
        <v>77</v>
      </c>
      <c r="B27" s="21" t="s">
        <v>41</v>
      </c>
      <c r="C27" s="21" t="s">
        <v>28</v>
      </c>
      <c r="D27" s="21" t="n">
        <v>281</v>
      </c>
      <c r="E27" s="21" t="n">
        <v>40</v>
      </c>
      <c r="F27" s="23" t="n">
        <v>46234</v>
      </c>
      <c r="G27" s="21" t="n">
        <v>30</v>
      </c>
      <c r="H27" s="21" t="s">
        <v>102</v>
      </c>
      <c r="I27" s="21" t="str">
        <f aca="false">IFERROR(VLOOKUP(B27,Restaurant_Details!$A$2:$C$9,2,FALSE()),"Not Found")</f>
        <v>Dosa Junction</v>
      </c>
      <c r="J27" s="21" t="str">
        <f aca="false">TEXT(F27,"dddd")</f>
        <v>Friday</v>
      </c>
    </row>
    <row r="28" customFormat="false" ht="15" hidden="false" customHeight="true" outlineLevel="0" collapsed="false">
      <c r="A28" s="21" t="s">
        <v>78</v>
      </c>
      <c r="B28" s="21" t="s">
        <v>41</v>
      </c>
      <c r="C28" s="21" t="s">
        <v>28</v>
      </c>
      <c r="D28" s="21" t="n">
        <v>237</v>
      </c>
      <c r="E28" s="21" t="n">
        <v>30</v>
      </c>
      <c r="F28" s="23" t="n">
        <v>46229</v>
      </c>
      <c r="G28" s="21" t="n">
        <v>45</v>
      </c>
      <c r="H28" s="21" t="s">
        <v>47</v>
      </c>
      <c r="I28" s="21" t="str">
        <f aca="false">IFERROR(VLOOKUP(B28,Restaurant_Details!$A$2:$C$9,2,FALSE()),"Not Found")</f>
        <v>Dosa Junction</v>
      </c>
      <c r="J28" s="21" t="str">
        <f aca="false">TEXT(F28,"dddd")</f>
        <v>Sunday</v>
      </c>
    </row>
    <row r="29" customFormat="false" ht="15" hidden="false" customHeight="true" outlineLevel="0" collapsed="false">
      <c r="A29" s="21" t="s">
        <v>79</v>
      </c>
      <c r="B29" s="21" t="s">
        <v>54</v>
      </c>
      <c r="C29" s="21" t="s">
        <v>26</v>
      </c>
      <c r="D29" s="21" t="n">
        <v>1052</v>
      </c>
      <c r="E29" s="21" t="n">
        <v>50</v>
      </c>
      <c r="F29" s="23" t="n">
        <v>46232</v>
      </c>
      <c r="G29" s="21" t="n">
        <v>59</v>
      </c>
      <c r="H29" s="21" t="s">
        <v>50</v>
      </c>
      <c r="I29" s="21" t="str">
        <f aca="false">IFERROR(VLOOKUP(B29,Restaurant_Details!$A$2:$C$9,2,FALSE()),"Not Found")</f>
        <v>Dragon Wok</v>
      </c>
      <c r="J29" s="21" t="str">
        <f aca="false">TEXT(F29,"dddd")</f>
        <v>Wednesday</v>
      </c>
    </row>
    <row r="30" customFormat="false" ht="15" hidden="false" customHeight="true" outlineLevel="0" collapsed="false">
      <c r="A30" s="21" t="s">
        <v>80</v>
      </c>
      <c r="B30" s="21" t="s">
        <v>69</v>
      </c>
      <c r="C30" s="21" t="s">
        <v>25</v>
      </c>
      <c r="D30" s="21" t="n">
        <v>464</v>
      </c>
      <c r="E30" s="21" t="n">
        <v>60</v>
      </c>
      <c r="F30" s="23" t="n">
        <v>46212</v>
      </c>
      <c r="G30" s="21" t="n">
        <v>59</v>
      </c>
      <c r="H30" s="21" t="s">
        <v>47</v>
      </c>
      <c r="I30" s="21" t="str">
        <f aca="false">IFERROR(VLOOKUP(B30,Restaurant_Details!$A$2:$C$9,2,FALSE()),"Not Found")</f>
        <v>Tandoori Tales</v>
      </c>
      <c r="J30" s="21" t="str">
        <f aca="false">TEXT(F30,"dddd")</f>
        <v>Thursday</v>
      </c>
    </row>
    <row r="31" customFormat="false" ht="15" hidden="false" customHeight="true" outlineLevel="0" collapsed="false">
      <c r="A31" s="21" t="s">
        <v>81</v>
      </c>
      <c r="B31" s="21" t="s">
        <v>49</v>
      </c>
      <c r="C31" s="21" t="s">
        <v>25</v>
      </c>
      <c r="D31" s="21" t="n">
        <v>963</v>
      </c>
      <c r="E31" s="21" t="n">
        <v>70</v>
      </c>
      <c r="F31" s="23" t="n">
        <v>46234</v>
      </c>
      <c r="G31" s="21" t="n">
        <v>30</v>
      </c>
      <c r="H31" s="21" t="s">
        <v>102</v>
      </c>
      <c r="I31" s="21" t="str">
        <f aca="false">IFERROR(VLOOKUP(B31,Restaurant_Details!$A$2:$C$9,2,FALSE()),"Not Found")</f>
        <v>Spice Hub</v>
      </c>
      <c r="J31" s="21" t="str">
        <f aca="false">TEXT(F31,"dddd")</f>
        <v>Friday</v>
      </c>
    </row>
    <row r="32" customFormat="false" ht="15" hidden="false" customHeight="true" outlineLevel="0" collapsed="false">
      <c r="A32" s="21" t="s">
        <v>82</v>
      </c>
      <c r="B32" s="21" t="s">
        <v>49</v>
      </c>
      <c r="C32" s="21" t="s">
        <v>25</v>
      </c>
      <c r="D32" s="21" t="n">
        <v>721</v>
      </c>
      <c r="E32" s="21" t="n">
        <v>60</v>
      </c>
      <c r="F32" s="23" t="n">
        <v>46224</v>
      </c>
      <c r="G32" s="21" t="n">
        <v>42</v>
      </c>
      <c r="H32" s="21" t="s">
        <v>47</v>
      </c>
      <c r="I32" s="21" t="str">
        <f aca="false">IFERROR(VLOOKUP(B32,Restaurant_Details!$A$2:$C$9,2,FALSE()),"Not Found")</f>
        <v>Spice Hub</v>
      </c>
      <c r="J32" s="21" t="str">
        <f aca="false">TEXT(F32,"dddd")</f>
        <v>Tuesday</v>
      </c>
    </row>
    <row r="33" customFormat="false" ht="15" hidden="false" customHeight="true" outlineLevel="0" collapsed="false">
      <c r="A33" s="21" t="s">
        <v>83</v>
      </c>
      <c r="B33" s="21" t="s">
        <v>46</v>
      </c>
      <c r="C33" s="21" t="s">
        <v>27</v>
      </c>
      <c r="D33" s="21" t="n">
        <v>706</v>
      </c>
      <c r="E33" s="21" t="n">
        <v>70</v>
      </c>
      <c r="F33" s="23" t="n">
        <v>46228</v>
      </c>
      <c r="G33" s="21" t="n">
        <v>47</v>
      </c>
      <c r="H33" s="21" t="s">
        <v>47</v>
      </c>
      <c r="I33" s="21" t="str">
        <f aca="false">IFERROR(VLOOKUP(B33,Restaurant_Details!$A$2:$C$9,2,FALSE()),"Not Found")</f>
        <v>Pasta Street</v>
      </c>
      <c r="J33" s="21" t="str">
        <f aca="false">TEXT(F33,"dddd")</f>
        <v>Saturday</v>
      </c>
    </row>
    <row r="34" customFormat="false" ht="15" hidden="false" customHeight="true" outlineLevel="0" collapsed="false">
      <c r="A34" s="21" t="s">
        <v>84</v>
      </c>
      <c r="B34" s="21" t="s">
        <v>38</v>
      </c>
      <c r="C34" s="21" t="s">
        <v>27</v>
      </c>
      <c r="D34" s="21" t="n">
        <v>470</v>
      </c>
      <c r="E34" s="21" t="n">
        <v>20</v>
      </c>
      <c r="F34" s="23" t="n">
        <v>46207</v>
      </c>
      <c r="G34" s="21" t="n">
        <v>47</v>
      </c>
      <c r="H34" s="21" t="s">
        <v>47</v>
      </c>
      <c r="I34" s="21" t="str">
        <f aca="false">IFERROR(VLOOKUP(B34,Restaurant_Details!$A$2:$C$9,2,FALSE()),"Not Found")</f>
        <v>Pizza Corner</v>
      </c>
      <c r="J34" s="21" t="str">
        <f aca="false">TEXT(F34,"dddd")</f>
        <v>Saturday</v>
      </c>
    </row>
    <row r="35" customFormat="false" ht="15" hidden="false" customHeight="true" outlineLevel="0" collapsed="false">
      <c r="A35" s="21" t="s">
        <v>85</v>
      </c>
      <c r="B35" s="21" t="s">
        <v>49</v>
      </c>
      <c r="C35" s="21" t="s">
        <v>25</v>
      </c>
      <c r="D35" s="21" t="n">
        <v>1095</v>
      </c>
      <c r="E35" s="21" t="n">
        <v>30</v>
      </c>
      <c r="F35" s="23" t="n">
        <v>46231</v>
      </c>
      <c r="G35" s="21" t="n">
        <v>26</v>
      </c>
      <c r="H35" s="21" t="s">
        <v>52</v>
      </c>
      <c r="I35" s="21" t="str">
        <f aca="false">IFERROR(VLOOKUP(B35,Restaurant_Details!$A$2:$C$9,2,FALSE()),"Not Found")</f>
        <v>Spice Hub</v>
      </c>
      <c r="J35" s="21" t="str">
        <f aca="false">TEXT(F35,"dddd")</f>
        <v>Tuesday</v>
      </c>
    </row>
    <row r="36" customFormat="false" ht="15" hidden="false" customHeight="true" outlineLevel="0" collapsed="false">
      <c r="A36" s="21" t="s">
        <v>86</v>
      </c>
      <c r="B36" s="21" t="s">
        <v>69</v>
      </c>
      <c r="C36" s="21" t="s">
        <v>25</v>
      </c>
      <c r="D36" s="21" t="n">
        <v>439</v>
      </c>
      <c r="E36" s="21" t="n">
        <v>40</v>
      </c>
      <c r="F36" s="23" t="n">
        <v>46234</v>
      </c>
      <c r="G36" s="21" t="n">
        <v>56</v>
      </c>
      <c r="H36" s="21" t="s">
        <v>39</v>
      </c>
      <c r="I36" s="21" t="str">
        <f aca="false">IFERROR(VLOOKUP(B36,Restaurant_Details!$A$2:$C$9,2,FALSE()),"Not Found")</f>
        <v>Tandoori Tales</v>
      </c>
      <c r="J36" s="21" t="str">
        <f aca="false">TEXT(F36,"dddd")</f>
        <v>Friday</v>
      </c>
    </row>
    <row r="37" customFormat="false" ht="15" hidden="false" customHeight="true" outlineLevel="0" collapsed="false">
      <c r="A37" s="21" t="s">
        <v>87</v>
      </c>
      <c r="B37" s="21" t="s">
        <v>46</v>
      </c>
      <c r="C37" s="21" t="s">
        <v>27</v>
      </c>
      <c r="D37" s="21" t="n">
        <v>1191</v>
      </c>
      <c r="E37" s="21" t="n">
        <v>30</v>
      </c>
      <c r="F37" s="23" t="n">
        <v>46209</v>
      </c>
      <c r="G37" s="21" t="n">
        <v>61</v>
      </c>
      <c r="H37" s="21" t="s">
        <v>47</v>
      </c>
      <c r="I37" s="21" t="str">
        <f aca="false">IFERROR(VLOOKUP(B37,Restaurant_Details!$A$2:$C$9,2,FALSE()),"Not Found")</f>
        <v>Pasta Street</v>
      </c>
      <c r="J37" s="21" t="str">
        <f aca="false">TEXT(F37,"dddd")</f>
        <v>Monday</v>
      </c>
    </row>
    <row r="38" customFormat="false" ht="15" hidden="false" customHeight="true" outlineLevel="0" collapsed="false">
      <c r="A38" s="21" t="s">
        <v>88</v>
      </c>
      <c r="B38" s="21" t="s">
        <v>38</v>
      </c>
      <c r="C38" s="21" t="s">
        <v>27</v>
      </c>
      <c r="D38" s="21" t="n">
        <v>953</v>
      </c>
      <c r="E38" s="21" t="n">
        <v>30</v>
      </c>
      <c r="F38" s="23" t="n">
        <v>46227</v>
      </c>
      <c r="G38" s="21" t="n">
        <v>67</v>
      </c>
      <c r="H38" s="21" t="s">
        <v>42</v>
      </c>
      <c r="I38" s="21" t="str">
        <f aca="false">IFERROR(VLOOKUP(B38,Restaurant_Details!$A$2:$C$9,2,FALSE()),"Not Found")</f>
        <v>Pizza Corner</v>
      </c>
      <c r="J38" s="21" t="str">
        <f aca="false">TEXT(F38,"dddd")</f>
        <v>Friday</v>
      </c>
    </row>
    <row r="39" customFormat="false" ht="15" hidden="false" customHeight="true" outlineLevel="0" collapsed="false">
      <c r="A39" s="21" t="s">
        <v>89</v>
      </c>
      <c r="B39" s="21" t="s">
        <v>49</v>
      </c>
      <c r="C39" s="21" t="s">
        <v>25</v>
      </c>
      <c r="D39" s="21" t="n">
        <v>1213</v>
      </c>
      <c r="E39" s="21" t="n">
        <v>70</v>
      </c>
      <c r="F39" s="23" t="n">
        <v>46229</v>
      </c>
      <c r="G39" s="21" t="n">
        <v>25</v>
      </c>
      <c r="H39" s="21" t="s">
        <v>52</v>
      </c>
      <c r="I39" s="21" t="str">
        <f aca="false">IFERROR(VLOOKUP(B39,Restaurant_Details!$A$2:$C$9,2,FALSE()),"Not Found")</f>
        <v>Spice Hub</v>
      </c>
      <c r="J39" s="21" t="str">
        <f aca="false">TEXT(F39,"dddd")</f>
        <v>Sunday</v>
      </c>
    </row>
    <row r="40" customFormat="false" ht="15" hidden="false" customHeight="true" outlineLevel="0" collapsed="false">
      <c r="A40" s="21" t="s">
        <v>90</v>
      </c>
      <c r="B40" s="21" t="s">
        <v>46</v>
      </c>
      <c r="C40" s="21" t="s">
        <v>27</v>
      </c>
      <c r="D40" s="21" t="n">
        <v>1130</v>
      </c>
      <c r="E40" s="21" t="n">
        <v>20</v>
      </c>
      <c r="F40" s="23" t="n">
        <v>46228</v>
      </c>
      <c r="G40" s="21" t="n">
        <v>47</v>
      </c>
      <c r="H40" s="21" t="s">
        <v>42</v>
      </c>
      <c r="I40" s="21" t="str">
        <f aca="false">IFERROR(VLOOKUP(B40,Restaurant_Details!$A$2:$C$9,2,FALSE()),"Not Found")</f>
        <v>Pasta Street</v>
      </c>
      <c r="J40" s="21" t="str">
        <f aca="false">TEXT(F40,"dddd")</f>
        <v>Saturday</v>
      </c>
    </row>
    <row r="41" customFormat="false" ht="15" hidden="false" customHeight="true" outlineLevel="0" collapsed="false">
      <c r="A41" s="21" t="s">
        <v>91</v>
      </c>
      <c r="B41" s="21" t="s">
        <v>38</v>
      </c>
      <c r="C41" s="21" t="s">
        <v>27</v>
      </c>
      <c r="D41" s="21" t="n">
        <v>657</v>
      </c>
      <c r="E41" s="21" t="n">
        <v>40</v>
      </c>
      <c r="F41" s="23" t="n">
        <v>46223</v>
      </c>
      <c r="G41" s="21" t="n">
        <v>66</v>
      </c>
      <c r="H41" s="21" t="s">
        <v>39</v>
      </c>
      <c r="I41" s="21" t="str">
        <f aca="false">IFERROR(VLOOKUP(B41,Restaurant_Details!$A$2:$C$9,2,FALSE()),"Not Found")</f>
        <v>Pizza Corner</v>
      </c>
      <c r="J41" s="21" t="str">
        <f aca="false">TEXT(F41,"dddd")</f>
        <v>Monday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4" min="3" style="1" width="32"/>
  </cols>
  <sheetData>
    <row r="1" customFormat="false" ht="15" hidden="false" customHeight="true" outlineLevel="0" collapsed="false">
      <c r="A1" s="20" t="s">
        <v>30</v>
      </c>
      <c r="B1" s="20" t="s">
        <v>31</v>
      </c>
      <c r="C1" s="20" t="s">
        <v>103</v>
      </c>
      <c r="D1" s="20" t="s">
        <v>104</v>
      </c>
    </row>
    <row r="2" customFormat="false" ht="15" hidden="false" customHeight="true" outlineLevel="0" collapsed="false">
      <c r="A2" s="21" t="s">
        <v>37</v>
      </c>
      <c r="B2" s="21" t="s">
        <v>38</v>
      </c>
      <c r="C2" s="21" t="e">
        <f aca="false">xlookup(B2,Restaurant_Details!$A$2:$A$9,Restaurant_Details!$B$2:$B$9,"Not Found")</f>
        <v>#NAME?</v>
      </c>
      <c r="D2" s="21" t="str">
        <f aca="false">VLOOKUP(B2,Restaurant_Details!$A$2:$C$9,2,FALSE())</f>
        <v>Pizza Corner</v>
      </c>
    </row>
    <row r="3" customFormat="false" ht="15" hidden="false" customHeight="true" outlineLevel="0" collapsed="false">
      <c r="A3" s="21" t="s">
        <v>40</v>
      </c>
      <c r="B3" s="21" t="s">
        <v>41</v>
      </c>
      <c r="C3" s="21" t="e">
        <f aca="false">xlookup(B3,Restaurant_Details!$A$2:$A$9,Restaurant_Details!$B$2:$B$9,"Not Found")</f>
        <v>#NAME?</v>
      </c>
      <c r="D3" s="21" t="str">
        <f aca="false">VLOOKUP(B3,Restaurant_Details!$A$2:$C$9,2,FALSE())</f>
        <v>Dosa Junction</v>
      </c>
    </row>
    <row r="4" customFormat="false" ht="15" hidden="false" customHeight="true" outlineLevel="0" collapsed="false">
      <c r="A4" s="21" t="s">
        <v>43</v>
      </c>
      <c r="B4" s="21" t="s">
        <v>44</v>
      </c>
      <c r="C4" s="21" t="e">
        <f aca="false">xlookup(B4,Restaurant_Details!$A$2:$A$9,Restaurant_Details!$B$2:$B$9,"Not Found")</f>
        <v>#NAME?</v>
      </c>
      <c r="D4" s="21" t="str">
        <f aca="false">VLOOKUP(B4,Restaurant_Details!$A$2:$C$9,2,FALSE())</f>
        <v>Biryani House</v>
      </c>
    </row>
    <row r="5" customFormat="false" ht="15" hidden="false" customHeight="true" outlineLevel="0" collapsed="false">
      <c r="A5" s="21" t="s">
        <v>45</v>
      </c>
      <c r="B5" s="21" t="s">
        <v>46</v>
      </c>
      <c r="C5" s="21" t="e">
        <f aca="false">xlookup(B5,Restaurant_Details!$A$2:$A$9,Restaurant_Details!$B$2:$B$9,"Not Found")</f>
        <v>#NAME?</v>
      </c>
      <c r="D5" s="21" t="str">
        <f aca="false">VLOOKUP(B5,Restaurant_Details!$A$2:$C$9,2,FALSE())</f>
        <v>Pasta Street</v>
      </c>
    </row>
    <row r="6" customFormat="false" ht="15" hidden="false" customHeight="true" outlineLevel="0" collapsed="false">
      <c r="A6" s="21" t="s">
        <v>48</v>
      </c>
      <c r="B6" s="21" t="s">
        <v>49</v>
      </c>
      <c r="C6" s="21" t="e">
        <f aca="false">xlookup(B6,Restaurant_Details!$A$2:$A$9,Restaurant_Details!$B$2:$B$9,"Not Found")</f>
        <v>#NAME?</v>
      </c>
      <c r="D6" s="21" t="str">
        <f aca="false">VLOOKUP(B6,Restaurant_Details!$A$2:$C$9,2,FALSE())</f>
        <v>Spice Hub</v>
      </c>
    </row>
    <row r="7" customFormat="false" ht="15" hidden="false" customHeight="true" outlineLevel="0" collapsed="false">
      <c r="A7" s="21" t="s">
        <v>51</v>
      </c>
      <c r="B7" s="21" t="s">
        <v>49</v>
      </c>
      <c r="C7" s="21" t="e">
        <f aca="false">xlookup(B7,Restaurant_Details!$A$2:$A$9,Restaurant_Details!$B$2:$B$9,"Not Found")</f>
        <v>#NAME?</v>
      </c>
      <c r="D7" s="21" t="str">
        <f aca="false">VLOOKUP(B7,Restaurant_Details!$A$2:$C$9,2,FALSE())</f>
        <v>Spice Hub</v>
      </c>
    </row>
    <row r="8" customFormat="false" ht="15" hidden="false" customHeight="true" outlineLevel="0" collapsed="false">
      <c r="A8" s="21" t="s">
        <v>53</v>
      </c>
      <c r="B8" s="21" t="s">
        <v>54</v>
      </c>
      <c r="C8" s="21" t="e">
        <f aca="false">xlookup(B8,Restaurant_Details!$A$2:$A$9,Restaurant_Details!$B$2:$B$9,"Not Found")</f>
        <v>#NAME?</v>
      </c>
      <c r="D8" s="21" t="str">
        <f aca="false">VLOOKUP(B8,Restaurant_Details!$A$2:$C$9,2,FALSE())</f>
        <v>Dragon Wok</v>
      </c>
    </row>
    <row r="9" customFormat="false" ht="15" hidden="false" customHeight="true" outlineLevel="0" collapsed="false">
      <c r="A9" s="21" t="s">
        <v>55</v>
      </c>
      <c r="B9" s="21" t="s">
        <v>41</v>
      </c>
      <c r="C9" s="21" t="e">
        <f aca="false">xlookup(B9,Restaurant_Details!$A$2:$A$9,Restaurant_Details!$B$2:$B$9,"Not Found")</f>
        <v>#NAME?</v>
      </c>
      <c r="D9" s="21" t="str">
        <f aca="false">VLOOKUP(B9,Restaurant_Details!$A$2:$C$9,2,FALSE())</f>
        <v>Dosa Junction</v>
      </c>
    </row>
    <row r="10" customFormat="false" ht="15" hidden="false" customHeight="true" outlineLevel="0" collapsed="false">
      <c r="A10" s="21" t="s">
        <v>56</v>
      </c>
      <c r="B10" s="21" t="s">
        <v>41</v>
      </c>
      <c r="C10" s="21" t="e">
        <f aca="false">xlookup(B10,Restaurant_Details!$A$2:$A$9,Restaurant_Details!$B$2:$B$9,"Not Found")</f>
        <v>#NAME?</v>
      </c>
      <c r="D10" s="21" t="str">
        <f aca="false">VLOOKUP(B10,Restaurant_Details!$A$2:$C$9,2,FALSE())</f>
        <v>Dosa Junction</v>
      </c>
    </row>
    <row r="11" customFormat="false" ht="15" hidden="false" customHeight="true" outlineLevel="0" collapsed="false">
      <c r="A11" s="21" t="s">
        <v>58</v>
      </c>
      <c r="B11" s="21" t="s">
        <v>44</v>
      </c>
      <c r="C11" s="21" t="e">
        <f aca="false">xlookup(B11,Restaurant_Details!$A$2:$A$9,Restaurant_Details!$B$2:$B$9,"Not Found")</f>
        <v>#NAME?</v>
      </c>
      <c r="D11" s="21" t="str">
        <f aca="false">VLOOKUP(B11,Restaurant_Details!$A$2:$C$9,2,FALSE())</f>
        <v>Biryani House</v>
      </c>
    </row>
    <row r="12" customFormat="false" ht="15" hidden="false" customHeight="true" outlineLevel="0" collapsed="false">
      <c r="A12" s="21" t="s">
        <v>59</v>
      </c>
      <c r="B12" s="21" t="s">
        <v>60</v>
      </c>
      <c r="C12" s="21" t="e">
        <f aca="false">xlookup(B12,Restaurant_Details!$A$2:$A$9,Restaurant_Details!$B$2:$B$9,"Not Found")</f>
        <v>#NAME?</v>
      </c>
      <c r="D12" s="21" t="str">
        <f aca="false">VLOOKUP(B12,Restaurant_Details!$A$2:$C$9,2,FALSE())</f>
        <v>Food Palace</v>
      </c>
    </row>
    <row r="13" customFormat="false" ht="15" hidden="false" customHeight="true" outlineLevel="0" collapsed="false">
      <c r="A13" s="21" t="s">
        <v>61</v>
      </c>
      <c r="B13" s="21" t="s">
        <v>44</v>
      </c>
      <c r="C13" s="21" t="e">
        <f aca="false">xlookup(B13,Restaurant_Details!$A$2:$A$9,Restaurant_Details!$B$2:$B$9,"Not Found")</f>
        <v>#NAME?</v>
      </c>
      <c r="D13" s="21" t="str">
        <f aca="false">VLOOKUP(B13,Restaurant_Details!$A$2:$C$9,2,FALSE())</f>
        <v>Biryani House</v>
      </c>
    </row>
    <row r="14" customFormat="false" ht="15" hidden="false" customHeight="true" outlineLevel="0" collapsed="false">
      <c r="A14" s="21" t="s">
        <v>62</v>
      </c>
      <c r="B14" s="21" t="s">
        <v>54</v>
      </c>
      <c r="C14" s="21" t="e">
        <f aca="false">xlookup(B14,Restaurant_Details!$A$2:$A$9,Restaurant_Details!$B$2:$B$9,"Not Found")</f>
        <v>#NAME?</v>
      </c>
      <c r="D14" s="21" t="str">
        <f aca="false">VLOOKUP(B14,Restaurant_Details!$A$2:$C$9,2,FALSE())</f>
        <v>Dragon Wok</v>
      </c>
    </row>
    <row r="15" customFormat="false" ht="15" hidden="false" customHeight="true" outlineLevel="0" collapsed="false">
      <c r="A15" s="21" t="s">
        <v>63</v>
      </c>
      <c r="B15" s="21" t="s">
        <v>46</v>
      </c>
      <c r="C15" s="21" t="e">
        <f aca="false">xlookup(B15,Restaurant_Details!$A$2:$A$9,Restaurant_Details!$B$2:$B$9,"Not Found")</f>
        <v>#NAME?</v>
      </c>
      <c r="D15" s="21" t="str">
        <f aca="false">VLOOKUP(B15,Restaurant_Details!$A$2:$C$9,2,FALSE())</f>
        <v>Pasta Street</v>
      </c>
    </row>
    <row r="16" customFormat="false" ht="15" hidden="false" customHeight="true" outlineLevel="0" collapsed="false">
      <c r="A16" s="21" t="s">
        <v>64</v>
      </c>
      <c r="B16" s="21" t="s">
        <v>41</v>
      </c>
      <c r="C16" s="21" t="e">
        <f aca="false">xlookup(B16,Restaurant_Details!$A$2:$A$9,Restaurant_Details!$B$2:$B$9,"Not Found")</f>
        <v>#NAME?</v>
      </c>
      <c r="D16" s="21" t="str">
        <f aca="false">VLOOKUP(B16,Restaurant_Details!$A$2:$C$9,2,FALSE())</f>
        <v>Dosa Junction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25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0" t="s">
        <v>23</v>
      </c>
      <c r="B1" s="20" t="s">
        <v>105</v>
      </c>
      <c r="C1" s="20" t="s">
        <v>106</v>
      </c>
      <c r="D1" s="20" t="s">
        <v>107</v>
      </c>
    </row>
    <row r="2" customFormat="false" ht="15" hidden="false" customHeight="true" outlineLevel="0" collapsed="false">
      <c r="A2" s="21" t="s">
        <v>25</v>
      </c>
      <c r="B2" s="21" t="n">
        <f aca="false">COUNTIF(Cleaned_Orders!$C$2:$C$41,A2)</f>
        <v>10</v>
      </c>
      <c r="C2" s="21" t="n">
        <f aca="false">SUMIF(Cleaned_Orders!$C$2:$C$41,A2,Cleaned_Orders!$E$2:$E$41)</f>
        <v>530</v>
      </c>
      <c r="D2" s="21" t="n">
        <f aca="false">ROUND(AVERAGEIF(Cleaned_Orders!$C$2:$C$41,A2,Cleaned_Orders!$G$2:$G$41),1)</f>
        <v>40.8</v>
      </c>
    </row>
    <row r="3" customFormat="false" ht="15" hidden="false" customHeight="true" outlineLevel="0" collapsed="false">
      <c r="A3" s="21" t="s">
        <v>26</v>
      </c>
      <c r="B3" s="21" t="n">
        <f aca="false">COUNTIF(Cleaned_Orders!$C$2:$C$41,A3)</f>
        <v>5</v>
      </c>
      <c r="C3" s="21" t="n">
        <f aca="false">SUMIF(Cleaned_Orders!$C$2:$C$41,A3,Cleaned_Orders!$E$2:$E$41)</f>
        <v>270</v>
      </c>
      <c r="D3" s="21" t="n">
        <f aca="false">ROUND(AVERAGEIF(Cleaned_Orders!$C$2:$C$41,A3,Cleaned_Orders!$G$2:$G$41),1)</f>
        <v>43</v>
      </c>
    </row>
    <row r="4" customFormat="false" ht="15" hidden="false" customHeight="true" outlineLevel="0" collapsed="false">
      <c r="A4" s="21" t="s">
        <v>27</v>
      </c>
      <c r="B4" s="21" t="n">
        <f aca="false">COUNTIF(Cleaned_Orders!$C$2:$C$41,A4)</f>
        <v>12</v>
      </c>
      <c r="C4" s="21" t="n">
        <f aca="false">SUMIF(Cleaned_Orders!$C$2:$C$41,A4,Cleaned_Orders!$E$2:$E$41)</f>
        <v>450</v>
      </c>
      <c r="D4" s="21" t="n">
        <f aca="false">ROUND(AVERAGEIF(Cleaned_Orders!$C$2:$C$41,A4,Cleaned_Orders!$G$2:$G$41),1)</f>
        <v>50.3</v>
      </c>
    </row>
    <row r="5" customFormat="false" ht="15" hidden="false" customHeight="true" outlineLevel="0" collapsed="false">
      <c r="A5" s="21" t="s">
        <v>28</v>
      </c>
      <c r="B5" s="21" t="n">
        <f aca="false">COUNTIF(Cleaned_Orders!$C$2:$C$41,A5)</f>
        <v>13</v>
      </c>
      <c r="C5" s="21" t="n">
        <f aca="false">SUMIF(Cleaned_Orders!$C$2:$C$41,A5,Cleaned_Orders!$E$2:$E$41)</f>
        <v>520</v>
      </c>
      <c r="D5" s="21" t="n">
        <f aca="false">ROUND(AVERAGEIF(Cleaned_Orders!$C$2:$C$41,A5,Cleaned_Orders!$G$2:$G$41),1)</f>
        <v>48.6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0" t="s">
        <v>92</v>
      </c>
      <c r="B1" s="20" t="s">
        <v>108</v>
      </c>
    </row>
    <row r="2" customFormat="false" ht="15" hidden="false" customHeight="true" outlineLevel="0" collapsed="false">
      <c r="A2" s="21" t="s">
        <v>100</v>
      </c>
      <c r="B2" s="21" t="n">
        <f aca="false">COUNTIF(Cleaned_Orders!$I$2:$I$41,A2)</f>
        <v>8</v>
      </c>
    </row>
    <row r="3" customFormat="false" ht="15" hidden="false" customHeight="true" outlineLevel="0" collapsed="false">
      <c r="A3" s="21" t="s">
        <v>99</v>
      </c>
      <c r="B3" s="21" t="n">
        <f aca="false">COUNTIF(Cleaned_Orders!$I$2:$I$41,A3)</f>
        <v>6</v>
      </c>
    </row>
    <row r="4" customFormat="false" ht="15" hidden="false" customHeight="true" outlineLevel="0" collapsed="false">
      <c r="A4" s="21" t="s">
        <v>95</v>
      </c>
      <c r="B4" s="21" t="n">
        <f aca="false">COUNTIF(Cleaned_Orders!$I$2:$I$41,A4)</f>
        <v>6</v>
      </c>
    </row>
    <row r="5" customFormat="false" ht="15" hidden="false" customHeight="true" outlineLevel="0" collapsed="false">
      <c r="A5" s="21" t="s">
        <v>93</v>
      </c>
      <c r="B5" s="21" t="n">
        <f aca="false">COUNTIF(Cleaned_Orders!$I$2:$I$41,A5)</f>
        <v>6</v>
      </c>
    </row>
    <row r="6" customFormat="false" ht="15" hidden="false" customHeight="true" outlineLevel="0" collapsed="false">
      <c r="A6" s="21" t="s">
        <v>96</v>
      </c>
      <c r="B6" s="21" t="n">
        <f aca="false">COUNTIF(Cleaned_Orders!$I$2:$I$41,A6)</f>
        <v>5</v>
      </c>
    </row>
    <row r="7" customFormat="false" ht="15" hidden="false" customHeight="true" outlineLevel="0" collapsed="false">
      <c r="A7" s="21" t="s">
        <v>97</v>
      </c>
      <c r="B7" s="21" t="n">
        <f aca="false">COUNTIF(Cleaned_Orders!$I$2:$I$41,A7)</f>
        <v>4</v>
      </c>
    </row>
    <row r="8" customFormat="false" ht="15" hidden="false" customHeight="true" outlineLevel="0" collapsed="false">
      <c r="A8" s="21" t="s">
        <v>98</v>
      </c>
      <c r="B8" s="21" t="n">
        <f aca="false">COUNTIF(Cleaned_Orders!$I$2:$I$41,A8)</f>
        <v>3</v>
      </c>
    </row>
    <row r="9" customFormat="false" ht="15" hidden="false" customHeight="true" outlineLevel="0" collapsed="false">
      <c r="A9" s="21" t="s">
        <v>94</v>
      </c>
      <c r="B9" s="2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3" style="1" width="80"/>
  </cols>
  <sheetData>
    <row r="1" customFormat="false" ht="15" hidden="false" customHeight="true" outlineLevel="0" collapsed="false">
      <c r="A1" s="1" t="s">
        <v>109</v>
      </c>
      <c r="C1" s="24" t="s">
        <v>110</v>
      </c>
    </row>
    <row r="2" customFormat="false" ht="15" hidden="false" customHeight="true" outlineLevel="0" collapsed="false">
      <c r="A2" s="1" t="s">
        <v>24</v>
      </c>
    </row>
    <row r="3" customFormat="false" ht="15" hidden="false" customHeight="true" outlineLevel="0" collapsed="false">
      <c r="A3" s="1" t="s">
        <v>25</v>
      </c>
    </row>
    <row r="4" customFormat="false" ht="15" hidden="false" customHeight="true" outlineLevel="0" collapsed="false">
      <c r="A4" s="1" t="s">
        <v>26</v>
      </c>
    </row>
    <row r="5" customFormat="false" ht="15" hidden="false" customHeight="true" outlineLevel="0" collapsed="false">
      <c r="A5" s="1" t="s">
        <v>27</v>
      </c>
    </row>
    <row r="6" customFormat="false" ht="15" hidden="false" customHeight="true" outlineLevel="0" collapsed="false">
      <c r="A6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2026-08-08T14:12:57Z</dcterms:created>
  <dc:creator>openpyxl</dc:creator>
  <dc:description/>
  <dc:language>en-US</dc:language>
  <cp:lastModifiedBy/>
  <dcterms:modified xsi:type="dcterms:W3CDTF">2026-08-08T16:37:30Z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