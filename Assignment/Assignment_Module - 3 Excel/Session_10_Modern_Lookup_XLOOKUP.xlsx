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XLOOKUP" sheetId="1" state="visible" r:id="rId1"/>
    <sheet xmlns:r="http://schemas.openxmlformats.org/officeDocument/2006/relationships" name="Task2_Reverse_XLOOKUP" sheetId="2" state="visible" r:id="rId2"/>
    <sheet xmlns:r="http://schemas.openxmlformats.org/officeDocument/2006/relationships" name="Task3_XLOOKUP_Error" sheetId="3" state="visible" r:id="rId3"/>
    <sheet xmlns:r="http://schemas.openxmlformats.org/officeDocument/2006/relationships" name="Task4_Booking_Status" sheetId="4" state="visible" r:id="rId4"/>
    <sheet xmlns:r="http://schemas.openxmlformats.org/officeDocument/2006/relationships" name="Task5_ChatGPT_XLOOKUP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'Task1_XLOOKUP'!$A$3:$D$13</definedName>
    <definedName name="_xlnm._FilterDatabase" localSheetId="1" hidden="1">'Task2_Reverse_XLOOKUP'!$A$3:$D$13</definedName>
    <definedName name="_xlnm._FilterDatabase" localSheetId="2" hidden="1">'Task3_XLOOKUP_Error'!$A$3:$D$9</definedName>
    <definedName name="_xlnm._FilterDatabase" localSheetId="3" hidden="1">'Task4_Booking_Status'!$A$3:$D$8</definedName>
    <definedName name="_xlnm._FilterDatabase" localSheetId="4" hidden="1">'Task5_ChatGPT_XLOOKUP'!$A$3:$D$8</definedName>
    <definedName name="_xlnm._FilterDatabase" localSheetId="5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166" fontId="0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5" borderId="1" pivotButton="0" quotePrefix="0" xfId="0"/>
    <xf numFmtId="0" fontId="2" fillId="3" borderId="0" pivotButton="0" quotePrefix="0" xfId="0"/>
    <xf numFmtId="166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2" customWidth="1" min="6" max="6"/>
    <col width="30" customWidth="1" min="7" max="7"/>
  </cols>
  <sheetData>
    <row r="1">
      <c r="A1" s="1" t="inlineStr">
        <is>
          <t>Task 1 – XLOOKUP: Product Name by Product ID</t>
        </is>
      </c>
    </row>
    <row r="3">
      <c r="A3" s="2" t="inlineStr">
        <is>
          <t>Product ID</t>
        </is>
      </c>
      <c r="B3" s="2" t="inlineStr">
        <is>
          <t>Product Name</t>
        </is>
      </c>
      <c r="C3" s="2" t="inlineStr">
        <is>
          <t>Category</t>
        </is>
      </c>
      <c r="D3" s="2" t="inlineStr">
        <is>
          <t>Price (₹)</t>
        </is>
      </c>
      <c r="F3" s="3" t="inlineStr">
        <is>
          <t>Product ID Lookup</t>
        </is>
      </c>
      <c r="G3" s="3" t="inlineStr">
        <is>
          <t>XLOOKUP Product Name</t>
        </is>
      </c>
    </row>
    <row r="4">
      <c r="A4" s="4" t="inlineStr">
        <is>
          <t>FK001</t>
        </is>
      </c>
      <c r="B4" s="5" t="inlineStr">
        <is>
          <t>Wireless Headphones</t>
        </is>
      </c>
      <c r="C4" s="5" t="inlineStr">
        <is>
          <t>Electronics</t>
        </is>
      </c>
      <c r="D4" s="6" t="n">
        <v>1499</v>
      </c>
      <c r="F4" s="7" t="inlineStr">
        <is>
          <t>FK003</t>
        </is>
      </c>
      <c r="G4" s="8">
        <f>XLOOKUP(F4,A4:A13,B4:B13,"Product Not Found")</f>
        <v/>
      </c>
    </row>
    <row r="5">
      <c r="A5" s="4" t="inlineStr">
        <is>
          <t>FK002</t>
        </is>
      </c>
      <c r="B5" s="5" t="inlineStr">
        <is>
          <t>Smart Watch</t>
        </is>
      </c>
      <c r="C5" s="5" t="inlineStr">
        <is>
          <t>Electronics</t>
        </is>
      </c>
      <c r="D5" s="6" t="n">
        <v>2299</v>
      </c>
      <c r="F5" s="7" t="inlineStr">
        <is>
          <t>FK007</t>
        </is>
      </c>
      <c r="G5" s="8">
        <f>XLOOKUP(F5,A4:A13,B4:B13,"Product Not Found")</f>
        <v/>
      </c>
    </row>
    <row r="6">
      <c r="A6" s="4" t="inlineStr">
        <is>
          <t>FK003</t>
        </is>
      </c>
      <c r="B6" s="5" t="inlineStr">
        <is>
          <t>Laptop Stand</t>
        </is>
      </c>
      <c r="C6" s="5" t="inlineStr">
        <is>
          <t>Accessories</t>
        </is>
      </c>
      <c r="D6" s="6" t="n">
        <v>899</v>
      </c>
      <c r="F6" s="7" t="inlineStr">
        <is>
          <t>FK010</t>
        </is>
      </c>
      <c r="G6" s="8">
        <f>XLOOKUP(F6,A4:A13,B4:B13,"Product Not Found")</f>
        <v/>
      </c>
    </row>
    <row r="7">
      <c r="A7" s="4" t="inlineStr">
        <is>
          <t>FK004</t>
        </is>
      </c>
      <c r="B7" s="5" t="inlineStr">
        <is>
          <t>Bluetooth Speaker</t>
        </is>
      </c>
      <c r="C7" s="5" t="inlineStr">
        <is>
          <t>Electronics</t>
        </is>
      </c>
      <c r="D7" s="6" t="n">
        <v>1799</v>
      </c>
    </row>
    <row r="8">
      <c r="A8" s="4" t="inlineStr">
        <is>
          <t>FK005</t>
        </is>
      </c>
      <c r="B8" s="5" t="inlineStr">
        <is>
          <t>USB-C Charger</t>
        </is>
      </c>
      <c r="C8" s="5" t="inlineStr">
        <is>
          <t>Electronics</t>
        </is>
      </c>
      <c r="D8" s="6" t="n">
        <v>699</v>
      </c>
    </row>
    <row r="9">
      <c r="A9" s="4" t="inlineStr">
        <is>
          <t>FK006</t>
        </is>
      </c>
      <c r="B9" s="5" t="inlineStr">
        <is>
          <t>Power Bank</t>
        </is>
      </c>
      <c r="C9" s="5" t="inlineStr">
        <is>
          <t>Electronics</t>
        </is>
      </c>
      <c r="D9" s="6" t="n">
        <v>1299</v>
      </c>
    </row>
    <row r="10">
      <c r="A10" s="4" t="inlineStr">
        <is>
          <t>FK007</t>
        </is>
      </c>
      <c r="B10" s="5" t="inlineStr">
        <is>
          <t>Mechanical Keyboard</t>
        </is>
      </c>
      <c r="C10" s="5" t="inlineStr">
        <is>
          <t>Accessories</t>
        </is>
      </c>
      <c r="D10" s="6" t="n">
        <v>2499</v>
      </c>
    </row>
    <row r="11">
      <c r="A11" s="4" t="inlineStr">
        <is>
          <t>FK008</t>
        </is>
      </c>
      <c r="B11" s="5" t="inlineStr">
        <is>
          <t>Gaming Mouse</t>
        </is>
      </c>
      <c r="C11" s="5" t="inlineStr">
        <is>
          <t>Accessories</t>
        </is>
      </c>
      <c r="D11" s="6" t="n">
        <v>1199</v>
      </c>
    </row>
    <row r="12">
      <c r="A12" s="4" t="inlineStr">
        <is>
          <t>FK009</t>
        </is>
      </c>
      <c r="B12" s="5" t="inlineStr">
        <is>
          <t>Phone Cover</t>
        </is>
      </c>
      <c r="C12" s="5" t="inlineStr">
        <is>
          <t>Mobile Accessories</t>
        </is>
      </c>
      <c r="D12" s="6" t="n">
        <v>399</v>
      </c>
    </row>
    <row r="13">
      <c r="A13" s="4" t="inlineStr">
        <is>
          <t>FK010</t>
        </is>
      </c>
      <c r="B13" s="5" t="inlineStr">
        <is>
          <t>Water Bottle</t>
        </is>
      </c>
      <c r="C13" s="5" t="inlineStr">
        <is>
          <t>Home &amp; Kitchen</t>
        </is>
      </c>
      <c r="D13" s="6" t="n">
        <v>549</v>
      </c>
    </row>
  </sheetData>
  <autoFilter ref="A3:D13"/>
  <mergeCells count="1">
    <mergeCell ref="A1:D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4" customWidth="1" min="6" max="6"/>
    <col width="25" customWidth="1" min="7" max="7"/>
  </cols>
  <sheetData>
    <row r="1">
      <c r="A1" s="1" t="inlineStr">
        <is>
          <t>Task 2 – XLOOKUP Reverse Search: Last Restaurant Order Amount</t>
        </is>
      </c>
    </row>
    <row r="3">
      <c r="A3" s="2" t="inlineStr">
        <is>
          <t>Order ID</t>
        </is>
      </c>
      <c r="B3" s="2" t="inlineStr">
        <is>
          <t>Restaurant Name</t>
        </is>
      </c>
      <c r="C3" s="2" t="inlineStr">
        <is>
          <t>Order Date</t>
        </is>
      </c>
      <c r="D3" s="2" t="inlineStr">
        <is>
          <t>Amount (₹)</t>
        </is>
      </c>
      <c r="F3" s="3" t="inlineStr">
        <is>
          <t>Restaurant</t>
        </is>
      </c>
      <c r="G3" s="3" t="inlineStr">
        <is>
          <t>Last Order Amount</t>
        </is>
      </c>
    </row>
    <row r="4">
      <c r="A4" s="4" t="inlineStr">
        <is>
          <t>ZO1001</t>
        </is>
      </c>
      <c r="B4" s="5" t="inlineStr">
        <is>
          <t>Spice Hub</t>
        </is>
      </c>
      <c r="C4" s="9" t="n">
        <v>46204</v>
      </c>
      <c r="D4" s="6" t="n">
        <v>420</v>
      </c>
      <c r="F4" s="7" t="inlineStr">
        <is>
          <t>Spice Hub</t>
        </is>
      </c>
      <c r="G4" s="10">
        <f>XLOOKUP(F4,B4:B13,D4:D13,"No orders",0,-1)</f>
        <v/>
      </c>
    </row>
    <row r="5">
      <c r="A5" s="4" t="inlineStr">
        <is>
          <t>ZO1002</t>
        </is>
      </c>
      <c r="B5" s="5" t="inlineStr">
        <is>
          <t>Pizza Point</t>
        </is>
      </c>
      <c r="C5" s="9" t="n">
        <v>46206</v>
      </c>
      <c r="D5" s="6" t="n">
        <v>650</v>
      </c>
    </row>
    <row r="6">
      <c r="A6" s="4" t="inlineStr">
        <is>
          <t>ZO1003</t>
        </is>
      </c>
      <c r="B6" s="5" t="inlineStr">
        <is>
          <t>Spice Hub</t>
        </is>
      </c>
      <c r="C6" s="9" t="n">
        <v>46210</v>
      </c>
      <c r="D6" s="6" t="n">
        <v>780</v>
      </c>
    </row>
    <row r="7">
      <c r="A7" s="4" t="inlineStr">
        <is>
          <t>ZO1004</t>
        </is>
      </c>
      <c r="B7" s="5" t="inlineStr">
        <is>
          <t>Burger House</t>
        </is>
      </c>
      <c r="C7" s="9" t="n">
        <v>46213</v>
      </c>
      <c r="D7" s="6" t="n">
        <v>520</v>
      </c>
    </row>
    <row r="8">
      <c r="A8" s="4" t="inlineStr">
        <is>
          <t>ZO1005</t>
        </is>
      </c>
      <c r="B8" s="5" t="inlineStr">
        <is>
          <t>Pizza Point</t>
        </is>
      </c>
      <c r="C8" s="9" t="n">
        <v>46216</v>
      </c>
      <c r="D8" s="6" t="n">
        <v>890</v>
      </c>
    </row>
    <row r="9">
      <c r="A9" s="4" t="inlineStr">
        <is>
          <t>ZO1006</t>
        </is>
      </c>
      <c r="B9" s="5" t="inlineStr">
        <is>
          <t>Spice Hub</t>
        </is>
      </c>
      <c r="C9" s="9" t="n">
        <v>46219</v>
      </c>
      <c r="D9" s="6" t="n">
        <v>610</v>
      </c>
    </row>
    <row r="10">
      <c r="A10" s="4" t="inlineStr">
        <is>
          <t>ZO1007</t>
        </is>
      </c>
      <c r="B10" s="5" t="inlineStr">
        <is>
          <t>Burger House</t>
        </is>
      </c>
      <c r="C10" s="9" t="n">
        <v>46222</v>
      </c>
      <c r="D10" s="6" t="n">
        <v>740</v>
      </c>
    </row>
    <row r="11">
      <c r="A11" s="4" t="inlineStr">
        <is>
          <t>ZO1008</t>
        </is>
      </c>
      <c r="B11" s="5" t="inlineStr">
        <is>
          <t>Spice Hub</t>
        </is>
      </c>
      <c r="C11" s="9" t="n">
        <v>46226</v>
      </c>
      <c r="D11" s="6" t="n">
        <v>950</v>
      </c>
    </row>
    <row r="12">
      <c r="A12" s="4" t="inlineStr">
        <is>
          <t>ZO1009</t>
        </is>
      </c>
      <c r="B12" s="5" t="inlineStr">
        <is>
          <t>Pizza Point</t>
        </is>
      </c>
      <c r="C12" s="9" t="n">
        <v>46229</v>
      </c>
      <c r="D12" s="6" t="n">
        <v>720</v>
      </c>
    </row>
    <row r="13">
      <c r="A13" s="4" t="inlineStr">
        <is>
          <t>ZO1010</t>
        </is>
      </c>
      <c r="B13" s="5" t="inlineStr">
        <is>
          <t>Burger House</t>
        </is>
      </c>
      <c r="C13" s="9" t="n">
        <v>46233</v>
      </c>
      <c r="D13" s="6" t="n">
        <v>810</v>
      </c>
    </row>
  </sheetData>
  <autoFilter ref="A3:D13"/>
  <mergeCells count="1">
    <mergeCell ref="A1:D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2" customWidth="1" min="6" max="6"/>
    <col width="30" customWidth="1" min="7" max="7"/>
  </cols>
  <sheetData>
    <row r="1">
      <c r="A1" s="1" t="inlineStr">
        <is>
          <t>Task 3 – XLOOKUP: Playlist by Genre with Default Value</t>
        </is>
      </c>
    </row>
    <row r="3">
      <c r="A3" s="2" t="inlineStr">
        <is>
          <t>Playlist Name</t>
        </is>
      </c>
      <c r="B3" s="2" t="inlineStr">
        <is>
          <t>Genre</t>
        </is>
      </c>
      <c r="C3" s="2" t="inlineStr">
        <is>
          <t>Created By</t>
        </is>
      </c>
      <c r="D3" s="2" t="inlineStr">
        <is>
          <t>Number of Songs</t>
        </is>
      </c>
      <c r="F3" s="3" t="inlineStr">
        <is>
          <t>Genre Search</t>
        </is>
      </c>
      <c r="G3" s="3" t="inlineStr">
        <is>
          <t>Playlist Name</t>
        </is>
      </c>
    </row>
    <row r="4">
      <c r="A4" s="4" t="inlineStr">
        <is>
          <t>Chill Vibes</t>
        </is>
      </c>
      <c r="B4" s="5" t="inlineStr">
        <is>
          <t>Lo-fi</t>
        </is>
      </c>
      <c r="C4" s="5" t="inlineStr">
        <is>
          <t>Aarav</t>
        </is>
      </c>
      <c r="D4" s="5" t="n">
        <v>42</v>
      </c>
      <c r="F4" s="7" t="inlineStr">
        <is>
          <t>Pop</t>
        </is>
      </c>
      <c r="G4" s="8">
        <f>XLOOKUP(F4,B4:B9,A4:A9,"No playlist available")</f>
        <v/>
      </c>
    </row>
    <row r="5">
      <c r="A5" s="4" t="inlineStr">
        <is>
          <t>Workout Beats</t>
        </is>
      </c>
      <c r="B5" s="5" t="inlineStr">
        <is>
          <t>EDM</t>
        </is>
      </c>
      <c r="C5" s="5" t="inlineStr">
        <is>
          <t>Riya</t>
        </is>
      </c>
      <c r="D5" s="5" t="n">
        <v>58</v>
      </c>
      <c r="F5" s="7" t="inlineStr">
        <is>
          <t>Jazz</t>
        </is>
      </c>
      <c r="G5" s="8">
        <f>XLOOKUP(F5,B4:B9,A4:A9,"No playlist available")</f>
        <v/>
      </c>
    </row>
    <row r="6">
      <c r="A6" s="4" t="inlineStr">
        <is>
          <t>Bollywood Hits</t>
        </is>
      </c>
      <c r="B6" s="5" t="inlineStr">
        <is>
          <t>Bollywood</t>
        </is>
      </c>
      <c r="C6" s="5" t="inlineStr">
        <is>
          <t>Neha</t>
        </is>
      </c>
      <c r="D6" s="5" t="n">
        <v>75</v>
      </c>
    </row>
    <row r="7">
      <c r="A7" s="4" t="inlineStr">
        <is>
          <t>Road Trip</t>
        </is>
      </c>
      <c r="B7" s="5" t="inlineStr">
        <is>
          <t>Pop</t>
        </is>
      </c>
      <c r="C7" s="5" t="inlineStr">
        <is>
          <t>Karan</t>
        </is>
      </c>
      <c r="D7" s="5" t="n">
        <v>51</v>
      </c>
    </row>
    <row r="8">
      <c r="A8" s="4" t="inlineStr">
        <is>
          <t>Focus Flow</t>
        </is>
      </c>
      <c r="B8" s="5" t="inlineStr">
        <is>
          <t>Instrumental</t>
        </is>
      </c>
      <c r="C8" s="5" t="inlineStr">
        <is>
          <t>Meera</t>
        </is>
      </c>
      <c r="D8" s="5" t="n">
        <v>36</v>
      </c>
    </row>
    <row r="9">
      <c r="A9" s="4" t="inlineStr">
        <is>
          <t>Indie Discoveries</t>
        </is>
      </c>
      <c r="B9" s="5" t="inlineStr">
        <is>
          <t>Indie</t>
        </is>
      </c>
      <c r="C9" s="5" t="inlineStr">
        <is>
          <t>Sahil</t>
        </is>
      </c>
      <c r="D9" s="5" t="n">
        <v>44</v>
      </c>
    </row>
  </sheetData>
  <autoFilter ref="A3:D9"/>
  <mergeCells count="1">
    <mergeCell ref="A1:D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3" customWidth="1" min="6" max="6"/>
    <col width="25" customWidth="1" min="7" max="7"/>
    <col width="28" customWidth="1" min="8" max="8"/>
  </cols>
  <sheetData>
    <row r="1">
      <c r="A1" s="1" t="inlineStr">
        <is>
          <t>Task 4 – XLOOKUP: IRCTC Booking Status &amp; Error Handling</t>
        </is>
      </c>
    </row>
    <row r="3">
      <c r="A3" s="2" t="inlineStr">
        <is>
          <t>Booking ID</t>
        </is>
      </c>
      <c r="B3" s="2" t="inlineStr">
        <is>
          <t>Passenger Name</t>
        </is>
      </c>
      <c r="C3" s="2" t="inlineStr">
        <is>
          <t>Train Number</t>
        </is>
      </c>
      <c r="D3" s="2" t="inlineStr">
        <is>
          <t>Status</t>
        </is>
      </c>
      <c r="F3" s="3" t="inlineStr">
        <is>
          <t>Wrong Booking ID</t>
        </is>
      </c>
      <c r="G3" s="3" t="inlineStr">
        <is>
          <t>Default XLOOKUP</t>
        </is>
      </c>
      <c r="H3" s="3" t="inlineStr">
        <is>
          <t>Handled XLOOKUP</t>
        </is>
      </c>
    </row>
    <row r="4">
      <c r="A4" s="4" t="inlineStr">
        <is>
          <t>BK1001</t>
        </is>
      </c>
      <c r="B4" s="5" t="inlineStr">
        <is>
          <t>Aarav Shah</t>
        </is>
      </c>
      <c r="C4" s="5" t="inlineStr">
        <is>
          <t>12951</t>
        </is>
      </c>
      <c r="D4" s="5" t="inlineStr">
        <is>
          <t>Confirmed</t>
        </is>
      </c>
      <c r="F4" s="7" t="inlineStr">
        <is>
          <t>BK9999</t>
        </is>
      </c>
      <c r="G4" s="11">
        <f>XLOOKUP(F4,A4:A8,D4:D8)</f>
        <v/>
      </c>
      <c r="H4" s="8">
        <f>XLOOKUP(F4,A4:A8,D4:D8,"Booking Not Found")</f>
        <v/>
      </c>
    </row>
    <row r="5">
      <c r="A5" s="4" t="inlineStr">
        <is>
          <t>BK1002</t>
        </is>
      </c>
      <c r="B5" s="5" t="inlineStr">
        <is>
          <t>Riya Patel</t>
        </is>
      </c>
      <c r="C5" s="5" t="inlineStr">
        <is>
          <t>12952</t>
        </is>
      </c>
      <c r="D5" s="5" t="inlineStr">
        <is>
          <t>RAC</t>
        </is>
      </c>
    </row>
    <row r="6">
      <c r="A6" s="4" t="inlineStr">
        <is>
          <t>BK1003</t>
        </is>
      </c>
      <c r="B6" s="5" t="inlineStr">
        <is>
          <t>Neha Mehta</t>
        </is>
      </c>
      <c r="C6" s="5" t="inlineStr">
        <is>
          <t>12953</t>
        </is>
      </c>
      <c r="D6" s="5" t="inlineStr">
        <is>
          <t>Waitlisted</t>
        </is>
      </c>
      <c r="F6" s="12" t="inlineStr">
        <is>
          <t>Correct Booking ID</t>
        </is>
      </c>
      <c r="G6" s="12" t="inlineStr">
        <is>
          <t>Handled Result</t>
        </is>
      </c>
    </row>
    <row r="7">
      <c r="A7" s="4" t="inlineStr">
        <is>
          <t>BK1004</t>
        </is>
      </c>
      <c r="B7" s="5" t="inlineStr">
        <is>
          <t>Karan Joshi</t>
        </is>
      </c>
      <c r="C7" s="5" t="inlineStr">
        <is>
          <t>12954</t>
        </is>
      </c>
      <c r="D7" s="5" t="inlineStr">
        <is>
          <t>Confirmed</t>
        </is>
      </c>
      <c r="F7" s="7" t="inlineStr">
        <is>
          <t>BK1004</t>
        </is>
      </c>
      <c r="G7" s="8">
        <f>XLOOKUP(F7,A4:A8,D4:D8,"Booking Not Found")</f>
        <v/>
      </c>
    </row>
    <row r="8">
      <c r="A8" s="4" t="inlineStr">
        <is>
          <t>BK1005</t>
        </is>
      </c>
      <c r="B8" s="5" t="inlineStr">
        <is>
          <t>Priya Shah</t>
        </is>
      </c>
      <c r="C8" s="5" t="inlineStr">
        <is>
          <t>12955</t>
        </is>
      </c>
      <c r="D8" s="5" t="inlineStr">
        <is>
          <t>Cancelled</t>
        </is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5" customWidth="1" min="6" max="6"/>
    <col width="38" customWidth="1" min="7" max="7"/>
    <col width="20" customWidth="1" min="8" max="8"/>
  </cols>
  <sheetData>
    <row r="1">
      <c r="A1" s="1" t="inlineStr">
        <is>
          <t>Task 5 – ChatGPT-Generated XLOOKUP: Myntra Delivery Date</t>
        </is>
      </c>
    </row>
    <row r="3">
      <c r="A3" s="2" t="inlineStr">
        <is>
          <t>Order ID</t>
        </is>
      </c>
      <c r="B3" s="2" t="inlineStr">
        <is>
          <t>Product</t>
        </is>
      </c>
      <c r="C3" s="2" t="inlineStr">
        <is>
          <t>Order Date</t>
        </is>
      </c>
      <c r="D3" s="2" t="inlineStr">
        <is>
          <t>Delivery Date</t>
        </is>
      </c>
      <c r="F3" s="3" t="inlineStr">
        <is>
          <t>Order ID</t>
        </is>
      </c>
      <c r="G3" s="3" t="inlineStr">
        <is>
          <t>Delivery Date</t>
        </is>
      </c>
    </row>
    <row r="4">
      <c r="A4" s="4" t="inlineStr">
        <is>
          <t>MY1001</t>
        </is>
      </c>
      <c r="B4" s="5" t="inlineStr">
        <is>
          <t>Running Shoes</t>
        </is>
      </c>
      <c r="C4" s="9" t="n">
        <v>46205</v>
      </c>
      <c r="D4" s="9" t="n">
        <v>46209</v>
      </c>
      <c r="F4" s="7" t="inlineStr">
        <is>
          <t>MY1003</t>
        </is>
      </c>
      <c r="G4" s="13">
        <f>XLOOKUP(F4,A4:A8,D4:D8,"Order Not Found")</f>
        <v/>
      </c>
    </row>
    <row r="5">
      <c r="A5" s="4" t="inlineStr">
        <is>
          <t>MY1002</t>
        </is>
      </c>
      <c r="B5" s="5" t="inlineStr">
        <is>
          <t>Denim Jacket</t>
        </is>
      </c>
      <c r="C5" s="9" t="n">
        <v>46211</v>
      </c>
      <c r="D5" s="9" t="n">
        <v>46215</v>
      </c>
    </row>
    <row r="6">
      <c r="A6" s="4" t="inlineStr">
        <is>
          <t>MY1003</t>
        </is>
      </c>
      <c r="B6" s="5" t="inlineStr">
        <is>
          <t>Sneakers</t>
        </is>
      </c>
      <c r="C6" s="9" t="n">
        <v>46217</v>
      </c>
      <c r="D6" s="9" t="n">
        <v>46221</v>
      </c>
      <c r="F6" s="14" t="inlineStr">
        <is>
          <t>ChatGPT-generated formula:</t>
        </is>
      </c>
      <c r="G6" s="15">
        <f>XLOOKUP(F4,A4:A8,D4:D8,"Order Not Found")</f>
        <v/>
      </c>
    </row>
    <row r="7">
      <c r="A7" s="4" t="inlineStr">
        <is>
          <t>MY1004</t>
        </is>
      </c>
      <c r="B7" s="5" t="inlineStr">
        <is>
          <t>T-Shirt</t>
        </is>
      </c>
      <c r="C7" s="9" t="n">
        <v>46223</v>
      </c>
      <c r="D7" s="9" t="n">
        <v>46226</v>
      </c>
    </row>
    <row r="8">
      <c r="A8" s="4" t="inlineStr">
        <is>
          <t>MY1005</t>
        </is>
      </c>
      <c r="B8" s="5" t="inlineStr">
        <is>
          <t>Backpack</t>
        </is>
      </c>
      <c r="C8" s="9" t="n">
        <v>46228</v>
      </c>
      <c r="D8" s="9" t="n">
        <v>46232</v>
      </c>
    </row>
  </sheetData>
  <autoFilter ref="A3:D8"/>
  <mergeCells count="2">
    <mergeCell ref="A1:D1"/>
    <mergeCell ref="G6:H7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2" customWidth="1" min="3" max="3"/>
    <col width="30" customWidth="1" min="4" max="4"/>
    <col width="40" customWidth="1" min="5" max="5"/>
    <col width="42" customWidth="1" min="6" max="6"/>
  </cols>
  <sheetData>
    <row r="1">
      <c r="A1" s="1" t="inlineStr">
        <is>
          <t>Session 10 – Modern Lookup Functions (XLOOKUP) | Submission Answers</t>
        </is>
      </c>
    </row>
    <row r="3">
      <c r="A3" s="3" t="inlineStr">
        <is>
          <t>Task</t>
        </is>
      </c>
      <c r="B3" s="3" t="inlineStr">
        <is>
          <t>Function / Concept</t>
        </is>
      </c>
      <c r="C3" s="3" t="inlineStr">
        <is>
          <t>Formula</t>
        </is>
      </c>
      <c r="D3" s="3" t="inlineStr">
        <is>
          <t>Example Input</t>
        </is>
      </c>
      <c r="E3" s="3" t="inlineStr">
        <is>
          <t>Expected Result</t>
        </is>
      </c>
      <c r="F3" s="3" t="inlineStr">
        <is>
          <t>Purpose</t>
        </is>
      </c>
    </row>
    <row r="4">
      <c r="A4" s="4" t="n">
        <v>1</v>
      </c>
      <c r="B4" s="4" t="inlineStr">
        <is>
          <t>XLOOKUP</t>
        </is>
      </c>
      <c r="C4" s="5">
        <f>XLOOKUP(F4,A4:A13,B4:B13,"Product Not Found")</f>
        <v/>
      </c>
      <c r="D4" s="4" t="inlineStr">
        <is>
          <t>FK003</t>
        </is>
      </c>
      <c r="E4" s="5" t="inlineStr">
        <is>
          <t>Laptop Stand</t>
        </is>
      </c>
      <c r="F4" s="4" t="inlineStr">
        <is>
          <t>Fetch product name by Product ID</t>
        </is>
      </c>
    </row>
    <row r="5">
      <c r="A5" s="4" t="n">
        <v>2</v>
      </c>
      <c r="B5" s="4" t="inlineStr">
        <is>
          <t>Reverse XLOOKUP</t>
        </is>
      </c>
      <c r="C5" s="5">
        <f>XLOOKUP(F4,B4:B13,D4:D13,"No orders",0,-1)</f>
        <v/>
      </c>
      <c r="D5" s="4" t="inlineStr">
        <is>
          <t>Spice Hub</t>
        </is>
      </c>
      <c r="E5" s="5" t="inlineStr">
        <is>
          <t>₹950</t>
        </is>
      </c>
      <c r="F5" s="4" t="inlineStr">
        <is>
          <t>Find the last matching restaurant order</t>
        </is>
      </c>
    </row>
    <row r="6">
      <c r="A6" s="4" t="n">
        <v>3</v>
      </c>
      <c r="B6" s="4" t="inlineStr">
        <is>
          <t>XLOOKUP + default</t>
        </is>
      </c>
      <c r="C6" s="5">
        <f>XLOOKUP(F4,B4:B9,A4:A9,"No playlist available")</f>
        <v/>
      </c>
      <c r="D6" s="4" t="inlineStr">
        <is>
          <t>Jazz</t>
        </is>
      </c>
      <c r="E6" s="5" t="inlineStr">
        <is>
          <t>No playlist available</t>
        </is>
      </c>
      <c r="F6" s="4" t="inlineStr">
        <is>
          <t>Handle missing genre</t>
        </is>
      </c>
    </row>
    <row r="7">
      <c r="A7" s="4" t="n">
        <v>4</v>
      </c>
      <c r="B7" s="4" t="inlineStr">
        <is>
          <t>XLOOKUP error handling</t>
        </is>
      </c>
      <c r="C7" s="5">
        <f>XLOOKUP(F4,A4:A8,D4:D8,"Booking Not Found")</f>
        <v/>
      </c>
      <c r="D7" s="4" t="inlineStr">
        <is>
          <t>BK9999</t>
        </is>
      </c>
      <c r="E7" s="5" t="inlineStr">
        <is>
          <t>Booking Not Found</t>
        </is>
      </c>
      <c r="F7" s="4" t="inlineStr">
        <is>
          <t>Replace #N/A with custom message</t>
        </is>
      </c>
    </row>
    <row r="8">
      <c r="A8" s="4" t="n">
        <v>5</v>
      </c>
      <c r="B8" s="4" t="inlineStr">
        <is>
          <t>XLOOKUP</t>
        </is>
      </c>
      <c r="C8" s="5">
        <f>XLOOKUP(F4,A4:A8,D4:D8,"Order Not Found")</f>
        <v/>
      </c>
      <c r="D8" s="4" t="inlineStr">
        <is>
          <t>MY1003</t>
        </is>
      </c>
      <c r="E8" s="5" t="inlineStr">
        <is>
          <t>18-Jul-2026</t>
        </is>
      </c>
      <c r="F8" s="4" t="inlineStr">
        <is>
          <t>Find delivery date by Order ID</t>
        </is>
      </c>
    </row>
    <row r="11">
      <c r="A11" s="14" t="inlineStr">
        <is>
          <t>Trainer Coverage</t>
        </is>
      </c>
      <c r="B11" t="inlineStr">
        <is>
          <t>XLOOKUP | Reverse Lookup | Search from Top/Bottom | Default Error Value</t>
        </is>
      </c>
    </row>
  </sheetData>
  <autoFilter ref="A3:F8"/>
  <mergeCells count="2">
    <mergeCell ref="A1:F1"/>
    <mergeCell ref="B11:F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2026-08-08T13:25:18Z</dcterms:created>
  <dcterms:modified xmlns:dcterms="http://purl.org/dc/terms/" xmlns:xsi="http://www.w3.org/2001/XMLSchema-instance" xsi:type="dcterms:W3CDTF">2026-08-08T13:25:18Z</dcterms:modified>
</cp:coreProperties>
</file>